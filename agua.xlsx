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alyss\Desktop\"/>
    </mc:Choice>
  </mc:AlternateContent>
  <xr:revisionPtr revIDLastSave="17124" documentId="13_ncr:1_{0CF083AA-357C-4076-8878-3DF2CD88BBD9}" xr6:coauthVersionLast="47" xr6:coauthVersionMax="47" xr10:uidLastSave="{DF0E33D7-CC8A-461E-8546-EFBB39FE2191}"/>
  <bookViews>
    <workbookView xWindow="-108" yWindow="-108" windowWidth="23256" windowHeight="12456" firstSheet="2" activeTab="2" xr2:uid="{00000000-000D-0000-FFFF-FFFF00000000}"/>
  </bookViews>
  <sheets>
    <sheet name="GLOBALIZADA COPASA" sheetId="17" r:id="rId1"/>
    <sheet name="GLOBALIZADA CESAMA" sheetId="13" r:id="rId2"/>
    <sheet name="DIVERSAS" sheetId="14" r:id="rId3"/>
    <sheet name="SUASE" sheetId="15" r:id="rId4"/>
    <sheet name="SUINT" sheetId="16" r:id="rId5"/>
    <sheet name="RESUMO LIQUIDAÇÕES" sheetId="19" r:id="rId6"/>
    <sheet name="Folha1" sheetId="12" state="hidden" r:id="rId7"/>
    <sheet name="SOLICITAÇÕES DE DEA" sheetId="18" r:id="rId8"/>
    <sheet name="INCONSISTÊNCIAS" sheetId="21" r:id="rId9"/>
    <sheet name="OBSERVAÇÕES FATURAS" sheetId="22" r:id="rId10"/>
    <sheet name="OBSERVAÇÕES" sheetId="2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5" i="19" l="1"/>
  <c r="S225" i="19"/>
  <c r="R227" i="19" s="1"/>
  <c r="M82" i="19"/>
  <c r="M83" i="19"/>
  <c r="M84" i="19"/>
  <c r="M81" i="19"/>
  <c r="O86" i="19"/>
  <c r="N86" i="19"/>
  <c r="M86" i="19"/>
  <c r="D132" i="19"/>
  <c r="E132" i="19"/>
  <c r="F132" i="19"/>
  <c r="E110" i="19"/>
  <c r="F110" i="19"/>
  <c r="D110" i="19"/>
  <c r="O56" i="19"/>
  <c r="N56" i="19"/>
  <c r="M56" i="19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5" i="16"/>
  <c r="AI6" i="15"/>
  <c r="AI7" i="15"/>
  <c r="AI8" i="15"/>
  <c r="AI9" i="15"/>
  <c r="AI10" i="15"/>
  <c r="AI11" i="15"/>
  <c r="AI12" i="15"/>
  <c r="AI14" i="15"/>
  <c r="AI15" i="15"/>
  <c r="AI5" i="15"/>
  <c r="EQ5" i="16"/>
  <c r="EQ6" i="16"/>
  <c r="EQ7" i="16"/>
  <c r="EQ8" i="16"/>
  <c r="EQ9" i="16"/>
  <c r="EQ10" i="16"/>
  <c r="EQ11" i="16"/>
  <c r="EQ12" i="16"/>
  <c r="EQ13" i="16"/>
  <c r="EQ14" i="16"/>
  <c r="EQ15" i="16"/>
  <c r="EQ16" i="16"/>
  <c r="EQ17" i="16"/>
  <c r="EQ18" i="16"/>
  <c r="EQ19" i="16"/>
  <c r="EQ20" i="16"/>
  <c r="EQ21" i="16"/>
  <c r="EF5" i="16"/>
  <c r="EF6" i="16"/>
  <c r="EF7" i="16"/>
  <c r="EF8" i="16"/>
  <c r="EF9" i="16"/>
  <c r="EF10" i="16"/>
  <c r="EF11" i="16"/>
  <c r="EF12" i="16"/>
  <c r="EF13" i="16"/>
  <c r="EF14" i="16"/>
  <c r="EF15" i="16"/>
  <c r="EF16" i="16"/>
  <c r="EF17" i="16"/>
  <c r="EF18" i="16"/>
  <c r="EF19" i="16"/>
  <c r="EF20" i="16"/>
  <c r="EF21" i="16"/>
  <c r="DU5" i="16"/>
  <c r="DU6" i="16"/>
  <c r="DU7" i="16"/>
  <c r="DU8" i="16"/>
  <c r="DU9" i="16"/>
  <c r="DU10" i="16"/>
  <c r="DU11" i="16"/>
  <c r="DU12" i="16"/>
  <c r="DU13" i="16"/>
  <c r="DU14" i="16"/>
  <c r="DU15" i="16"/>
  <c r="DU16" i="16"/>
  <c r="DU17" i="16"/>
  <c r="DU18" i="16"/>
  <c r="DU19" i="16"/>
  <c r="DU20" i="16"/>
  <c r="DU21" i="16"/>
  <c r="DJ5" i="16"/>
  <c r="DJ6" i="16"/>
  <c r="DJ7" i="16"/>
  <c r="DJ8" i="16"/>
  <c r="DJ9" i="16"/>
  <c r="DJ10" i="16"/>
  <c r="DJ11" i="16"/>
  <c r="DJ12" i="16"/>
  <c r="DJ13" i="16"/>
  <c r="DJ14" i="16"/>
  <c r="DJ15" i="16"/>
  <c r="DJ16" i="16"/>
  <c r="DJ17" i="16"/>
  <c r="DJ18" i="16"/>
  <c r="DJ19" i="16"/>
  <c r="DJ20" i="16"/>
  <c r="DJ21" i="16"/>
  <c r="CY5" i="16"/>
  <c r="CY6" i="16"/>
  <c r="CY7" i="16"/>
  <c r="CY8" i="16"/>
  <c r="CY9" i="16"/>
  <c r="CY10" i="16"/>
  <c r="CY11" i="16"/>
  <c r="CY12" i="16"/>
  <c r="CY13" i="16"/>
  <c r="CY14" i="16"/>
  <c r="CY15" i="16"/>
  <c r="CY16" i="16"/>
  <c r="CY17" i="16"/>
  <c r="CY18" i="16"/>
  <c r="CY19" i="16"/>
  <c r="CY20" i="16"/>
  <c r="CY21" i="16"/>
  <c r="CN5" i="16"/>
  <c r="CN6" i="16"/>
  <c r="CN7" i="16"/>
  <c r="CN8" i="16"/>
  <c r="CN9" i="16"/>
  <c r="CN10" i="16"/>
  <c r="CN11" i="16"/>
  <c r="CN12" i="16"/>
  <c r="CN13" i="16"/>
  <c r="CN14" i="16"/>
  <c r="CN15" i="16"/>
  <c r="CN16" i="16"/>
  <c r="CN17" i="16"/>
  <c r="CN18" i="16"/>
  <c r="CN19" i="16"/>
  <c r="CN20" i="16"/>
  <c r="CN21" i="16"/>
  <c r="CC5" i="16"/>
  <c r="CC6" i="16"/>
  <c r="CC7" i="16"/>
  <c r="CC8" i="16"/>
  <c r="CC9" i="16"/>
  <c r="CC10" i="16"/>
  <c r="CC11" i="16"/>
  <c r="CC12" i="16"/>
  <c r="CC13" i="16"/>
  <c r="CC14" i="16"/>
  <c r="CC15" i="16"/>
  <c r="CC16" i="16"/>
  <c r="CC17" i="16"/>
  <c r="CC18" i="16"/>
  <c r="CC19" i="16"/>
  <c r="CC20" i="16"/>
  <c r="CC21" i="16"/>
  <c r="BR5" i="16"/>
  <c r="BR6" i="16"/>
  <c r="BR7" i="16"/>
  <c r="BR8" i="16"/>
  <c r="BR9" i="16"/>
  <c r="BR10" i="16"/>
  <c r="BR11" i="16"/>
  <c r="BR12" i="16"/>
  <c r="BR13" i="16"/>
  <c r="BR14" i="16"/>
  <c r="BR15" i="16"/>
  <c r="BR16" i="16"/>
  <c r="BR17" i="16"/>
  <c r="BR18" i="16"/>
  <c r="BR19" i="16"/>
  <c r="BR20" i="16"/>
  <c r="BR21" i="16"/>
  <c r="BG5" i="16"/>
  <c r="BG6" i="16"/>
  <c r="BG7" i="16"/>
  <c r="BG8" i="16"/>
  <c r="BG9" i="16"/>
  <c r="BG10" i="16"/>
  <c r="BG11" i="16"/>
  <c r="BG12" i="16"/>
  <c r="BG13" i="16"/>
  <c r="BG14" i="16"/>
  <c r="BG15" i="16"/>
  <c r="BG16" i="16"/>
  <c r="BG17" i="16"/>
  <c r="BG18" i="16"/>
  <c r="BG19" i="16"/>
  <c r="BG20" i="16"/>
  <c r="BG21" i="16"/>
  <c r="AV5" i="16"/>
  <c r="AV6" i="16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AT53" i="14"/>
  <c r="AT52" i="14"/>
  <c r="AT49" i="14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93" i="19"/>
  <c r="R225" i="19" s="1"/>
  <c r="P225" i="19"/>
  <c r="R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6" i="19" a="1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T2" i="19"/>
  <c r="T3" i="19"/>
  <c r="T4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AT11" i="14"/>
  <c r="AT12" i="14"/>
  <c r="AT13" i="14"/>
  <c r="AT14" i="14"/>
  <c r="AT15" i="14"/>
  <c r="AT18" i="14"/>
  <c r="AT19" i="14"/>
  <c r="Q55" i="19"/>
  <c r="Q54" i="19"/>
  <c r="P55" i="19"/>
  <c r="P54" i="19"/>
  <c r="N55" i="19"/>
  <c r="N54" i="19"/>
  <c r="M55" i="19"/>
  <c r="M54" i="19"/>
  <c r="EY5" i="15"/>
  <c r="EY6" i="15"/>
  <c r="EY7" i="15"/>
  <c r="EY8" i="15"/>
  <c r="EY9" i="15"/>
  <c r="EY10" i="15"/>
  <c r="EY11" i="15"/>
  <c r="EY12" i="15"/>
  <c r="EY13" i="15"/>
  <c r="EY14" i="15"/>
  <c r="EY15" i="15"/>
  <c r="EX5" i="15"/>
  <c r="EX6" i="15"/>
  <c r="EX7" i="15"/>
  <c r="EX8" i="15"/>
  <c r="EX9" i="15"/>
  <c r="EX10" i="15"/>
  <c r="EX11" i="15"/>
  <c r="EX12" i="15"/>
  <c r="EX13" i="15"/>
  <c r="EX14" i="15"/>
  <c r="EX15" i="15"/>
  <c r="EN5" i="15"/>
  <c r="EN6" i="15"/>
  <c r="EN7" i="15"/>
  <c r="EN8" i="15"/>
  <c r="EN9" i="15"/>
  <c r="EN10" i="15"/>
  <c r="EN11" i="15"/>
  <c r="EN12" i="15"/>
  <c r="EN13" i="15"/>
  <c r="EN14" i="15"/>
  <c r="EN15" i="15"/>
  <c r="EM5" i="15"/>
  <c r="EM6" i="15"/>
  <c r="EM7" i="15"/>
  <c r="EM8" i="15"/>
  <c r="EM9" i="15"/>
  <c r="EM10" i="15"/>
  <c r="EM11" i="15"/>
  <c r="EM12" i="15"/>
  <c r="EM13" i="15"/>
  <c r="EM14" i="15"/>
  <c r="EM15" i="15"/>
  <c r="EC5" i="15"/>
  <c r="EC6" i="15"/>
  <c r="EC7" i="15"/>
  <c r="EC8" i="15"/>
  <c r="EC9" i="15"/>
  <c r="EC10" i="15"/>
  <c r="EC11" i="15"/>
  <c r="EC12" i="15"/>
  <c r="EC13" i="15"/>
  <c r="EC14" i="15"/>
  <c r="EC15" i="15"/>
  <c r="EB5" i="15"/>
  <c r="EB6" i="15"/>
  <c r="EB7" i="15"/>
  <c r="EB8" i="15"/>
  <c r="EB9" i="15"/>
  <c r="EB10" i="15"/>
  <c r="EB11" i="15"/>
  <c r="EB12" i="15"/>
  <c r="EB13" i="15"/>
  <c r="EB14" i="15"/>
  <c r="EB15" i="15"/>
  <c r="DR5" i="15"/>
  <c r="DR6" i="15"/>
  <c r="DR7" i="15"/>
  <c r="DR8" i="15"/>
  <c r="DR9" i="15"/>
  <c r="DR10" i="15"/>
  <c r="DR11" i="15"/>
  <c r="DR12" i="15"/>
  <c r="DR13" i="15"/>
  <c r="DR14" i="15"/>
  <c r="DR15" i="15"/>
  <c r="DQ5" i="15"/>
  <c r="DQ6" i="15"/>
  <c r="DQ7" i="15"/>
  <c r="DQ8" i="15"/>
  <c r="DQ9" i="15"/>
  <c r="DQ10" i="15"/>
  <c r="DQ11" i="15"/>
  <c r="DQ12" i="15"/>
  <c r="DQ13" i="15"/>
  <c r="DQ14" i="15"/>
  <c r="DQ15" i="15"/>
  <c r="DG5" i="15"/>
  <c r="DG6" i="15"/>
  <c r="DG7" i="15"/>
  <c r="DG8" i="15"/>
  <c r="DG9" i="15"/>
  <c r="DG10" i="15"/>
  <c r="DG11" i="15"/>
  <c r="DG12" i="15"/>
  <c r="DG13" i="15"/>
  <c r="DG14" i="15"/>
  <c r="DG15" i="15"/>
  <c r="DF5" i="15"/>
  <c r="DF6" i="15"/>
  <c r="DF7" i="15"/>
  <c r="DF8" i="15"/>
  <c r="DF9" i="15"/>
  <c r="DF10" i="15"/>
  <c r="DF11" i="15"/>
  <c r="DF12" i="15"/>
  <c r="DF13" i="15"/>
  <c r="DF14" i="15"/>
  <c r="DF15" i="15"/>
  <c r="CV5" i="15"/>
  <c r="CV6" i="15"/>
  <c r="CV7" i="15"/>
  <c r="CV8" i="15"/>
  <c r="CV9" i="15"/>
  <c r="CV10" i="15"/>
  <c r="CV11" i="15"/>
  <c r="CV12" i="15"/>
  <c r="CV13" i="15"/>
  <c r="CV14" i="15"/>
  <c r="CV15" i="15"/>
  <c r="CU5" i="15"/>
  <c r="CU6" i="15"/>
  <c r="CU7" i="15"/>
  <c r="CU8" i="15"/>
  <c r="CU9" i="15"/>
  <c r="CU10" i="15"/>
  <c r="CU11" i="15"/>
  <c r="CU12" i="15"/>
  <c r="CU13" i="15"/>
  <c r="CU14" i="15"/>
  <c r="CU15" i="15"/>
  <c r="CK5" i="15"/>
  <c r="CK6" i="15"/>
  <c r="CK7" i="15"/>
  <c r="CK8" i="15"/>
  <c r="CK9" i="15"/>
  <c r="CK10" i="15"/>
  <c r="CK11" i="15"/>
  <c r="CK12" i="15"/>
  <c r="CK13" i="15"/>
  <c r="CK14" i="15"/>
  <c r="CK15" i="15"/>
  <c r="CJ5" i="15"/>
  <c r="CJ6" i="15"/>
  <c r="CJ7" i="15"/>
  <c r="CJ8" i="15"/>
  <c r="CJ9" i="15"/>
  <c r="CJ10" i="15"/>
  <c r="CJ11" i="15"/>
  <c r="CJ12" i="15"/>
  <c r="CJ13" i="15"/>
  <c r="CJ14" i="15"/>
  <c r="CJ15" i="15"/>
  <c r="BZ5" i="15"/>
  <c r="BZ6" i="15"/>
  <c r="BZ7" i="15"/>
  <c r="BZ8" i="15"/>
  <c r="BZ9" i="15"/>
  <c r="BZ10" i="15"/>
  <c r="BZ11" i="15"/>
  <c r="BZ12" i="15"/>
  <c r="BZ13" i="15"/>
  <c r="BZ14" i="15"/>
  <c r="BZ15" i="15"/>
  <c r="BY5" i="15"/>
  <c r="BY6" i="15"/>
  <c r="BY7" i="15"/>
  <c r="BY8" i="15"/>
  <c r="BY9" i="15"/>
  <c r="BY10" i="15"/>
  <c r="BY11" i="15"/>
  <c r="BY12" i="15"/>
  <c r="BY13" i="15"/>
  <c r="BY14" i="15"/>
  <c r="BY15" i="15"/>
  <c r="BO5" i="15"/>
  <c r="BO6" i="15"/>
  <c r="BO7" i="15"/>
  <c r="BO8" i="15"/>
  <c r="BO9" i="15"/>
  <c r="BO10" i="15"/>
  <c r="BO11" i="15"/>
  <c r="BO12" i="15"/>
  <c r="BO13" i="15"/>
  <c r="BO14" i="15"/>
  <c r="BO15" i="15"/>
  <c r="BN5" i="15"/>
  <c r="BN6" i="15"/>
  <c r="BN7" i="15"/>
  <c r="BN8" i="15"/>
  <c r="BN9" i="15"/>
  <c r="BN10" i="15"/>
  <c r="BN11" i="15"/>
  <c r="BN12" i="15"/>
  <c r="BN13" i="15"/>
  <c r="BN14" i="15"/>
  <c r="BN15" i="15"/>
  <c r="BD5" i="15"/>
  <c r="BD6" i="15"/>
  <c r="BD7" i="15"/>
  <c r="BD8" i="15"/>
  <c r="BD9" i="15"/>
  <c r="BD10" i="15"/>
  <c r="BD11" i="15"/>
  <c r="BD12" i="15"/>
  <c r="BD13" i="15"/>
  <c r="BD14" i="15"/>
  <c r="BD15" i="15"/>
  <c r="BC5" i="15"/>
  <c r="BC6" i="15"/>
  <c r="BC7" i="15"/>
  <c r="BC8" i="15"/>
  <c r="BC9" i="15"/>
  <c r="BC10" i="15"/>
  <c r="BC11" i="15"/>
  <c r="BC12" i="15"/>
  <c r="BC13" i="15"/>
  <c r="BC14" i="15"/>
  <c r="BC15" i="15"/>
  <c r="AS15" i="15"/>
  <c r="AR5" i="15"/>
  <c r="AR6" i="15"/>
  <c r="AR7" i="15"/>
  <c r="AR8" i="15"/>
  <c r="AR9" i="15"/>
  <c r="AR10" i="15"/>
  <c r="AR11" i="15"/>
  <c r="AR12" i="15"/>
  <c r="AR13" i="15"/>
  <c r="AR14" i="15"/>
  <c r="AR15" i="15"/>
  <c r="AI81" i="14"/>
  <c r="AI82" i="14"/>
  <c r="X83" i="14"/>
  <c r="X82" i="14"/>
  <c r="AH82" i="14" s="1"/>
  <c r="AG82" i="14"/>
  <c r="AR82" i="14"/>
  <c r="AT82" i="14"/>
  <c r="BE82" i="14"/>
  <c r="BP82" i="14"/>
  <c r="CA82" i="14"/>
  <c r="CL82" i="14"/>
  <c r="CW82" i="14"/>
  <c r="DF82" i="14"/>
  <c r="DO82" i="14"/>
  <c r="DP82" i="14"/>
  <c r="DQ82" i="14"/>
  <c r="DZ82" i="14"/>
  <c r="EB82" i="14"/>
  <c r="EA82" i="14" s="1"/>
  <c r="EM82" i="14"/>
  <c r="EX82" i="14"/>
  <c r="AG83" i="14"/>
  <c r="AR83" i="14"/>
  <c r="AT83" i="14"/>
  <c r="BE83" i="14"/>
  <c r="BP83" i="14"/>
  <c r="CA83" i="14"/>
  <c r="CL83" i="14"/>
  <c r="CW83" i="14"/>
  <c r="DF83" i="14"/>
  <c r="DO83" i="14"/>
  <c r="DP83" i="14"/>
  <c r="DQ83" i="14"/>
  <c r="DZ83" i="14"/>
  <c r="EB83" i="14"/>
  <c r="EA83" i="14" s="1"/>
  <c r="EM83" i="14"/>
  <c r="EX83" i="14"/>
  <c r="AT25" i="14"/>
  <c r="AT39" i="14"/>
  <c r="AT42" i="14"/>
  <c r="AT43" i="14"/>
  <c r="AT44" i="14"/>
  <c r="AT45" i="14"/>
  <c r="AT54" i="14"/>
  <c r="AT55" i="14"/>
  <c r="AT56" i="14"/>
  <c r="AT57" i="14"/>
  <c r="AT60" i="14"/>
  <c r="AT61" i="14"/>
  <c r="AT64" i="14"/>
  <c r="AT65" i="14"/>
  <c r="AT68" i="14"/>
  <c r="AT69" i="14"/>
  <c r="AT74" i="14"/>
  <c r="AT75" i="14"/>
  <c r="AT76" i="14"/>
  <c r="AT77" i="14"/>
  <c r="AT78" i="14"/>
  <c r="AT79" i="14"/>
  <c r="AT80" i="14"/>
  <c r="AT81" i="14"/>
  <c r="BE5" i="14"/>
  <c r="BE6" i="14"/>
  <c r="BE7" i="14"/>
  <c r="BE8" i="14"/>
  <c r="BE9" i="14"/>
  <c r="BE10" i="14"/>
  <c r="BE11" i="14"/>
  <c r="BE12" i="14"/>
  <c r="BE13" i="14"/>
  <c r="BE14" i="14"/>
  <c r="BE15" i="14"/>
  <c r="BE16" i="14"/>
  <c r="BE17" i="14"/>
  <c r="BE18" i="14"/>
  <c r="BE19" i="14"/>
  <c r="BE20" i="14"/>
  <c r="BE21" i="14"/>
  <c r="BE22" i="14"/>
  <c r="BE23" i="14"/>
  <c r="BE24" i="14"/>
  <c r="BE25" i="14"/>
  <c r="BE26" i="14"/>
  <c r="BE27" i="14"/>
  <c r="BE28" i="14"/>
  <c r="BE29" i="14"/>
  <c r="BE31" i="14"/>
  <c r="BE32" i="14"/>
  <c r="BE33" i="14"/>
  <c r="BE34" i="14"/>
  <c r="BE35" i="14"/>
  <c r="BE36" i="14"/>
  <c r="BE37" i="14"/>
  <c r="BE38" i="14"/>
  <c r="BE39" i="14"/>
  <c r="BE40" i="14"/>
  <c r="BE41" i="14"/>
  <c r="BE42" i="14"/>
  <c r="BE43" i="14"/>
  <c r="BE44" i="14"/>
  <c r="BE45" i="14"/>
  <c r="BE46" i="14"/>
  <c r="BE47" i="14"/>
  <c r="BE48" i="14"/>
  <c r="BE49" i="14"/>
  <c r="BE50" i="14"/>
  <c r="BE51" i="14"/>
  <c r="BE52" i="14"/>
  <c r="BE53" i="14"/>
  <c r="BE54" i="14"/>
  <c r="BE55" i="14"/>
  <c r="BE56" i="14"/>
  <c r="BE57" i="14"/>
  <c r="BE58" i="14"/>
  <c r="BE59" i="14"/>
  <c r="BE60" i="14"/>
  <c r="BE61" i="14"/>
  <c r="BE62" i="14"/>
  <c r="BE63" i="14"/>
  <c r="BE64" i="14"/>
  <c r="BE65" i="14"/>
  <c r="BE66" i="14"/>
  <c r="BE67" i="14"/>
  <c r="BE68" i="14"/>
  <c r="BE69" i="14"/>
  <c r="BE70" i="14"/>
  <c r="BE71" i="14"/>
  <c r="BE72" i="14"/>
  <c r="BE73" i="14"/>
  <c r="BE74" i="14"/>
  <c r="BE75" i="14"/>
  <c r="BE76" i="14"/>
  <c r="BE77" i="14"/>
  <c r="BE78" i="14"/>
  <c r="BE79" i="14"/>
  <c r="BE80" i="14"/>
  <c r="BE81" i="14"/>
  <c r="BP5" i="14"/>
  <c r="BP6" i="14"/>
  <c r="BP7" i="14"/>
  <c r="BP8" i="14"/>
  <c r="BP9" i="14"/>
  <c r="BP10" i="14"/>
  <c r="BP11" i="14"/>
  <c r="BP12" i="14"/>
  <c r="BP13" i="14"/>
  <c r="BP14" i="14"/>
  <c r="BP15" i="14"/>
  <c r="BP16" i="14"/>
  <c r="BP17" i="14"/>
  <c r="BP18" i="14"/>
  <c r="BP19" i="14"/>
  <c r="BP20" i="14"/>
  <c r="BP21" i="14"/>
  <c r="BP22" i="14"/>
  <c r="BP23" i="14"/>
  <c r="BP24" i="14"/>
  <c r="BP25" i="14"/>
  <c r="BP26" i="14"/>
  <c r="BP27" i="14"/>
  <c r="BP28" i="14"/>
  <c r="BP29" i="14"/>
  <c r="BP30" i="14"/>
  <c r="BP31" i="14"/>
  <c r="BP32" i="14"/>
  <c r="BP33" i="14"/>
  <c r="BP34" i="14"/>
  <c r="BP35" i="14"/>
  <c r="BP36" i="14"/>
  <c r="BP37" i="14"/>
  <c r="BP38" i="14"/>
  <c r="BP39" i="14"/>
  <c r="BP40" i="14"/>
  <c r="BP41" i="14"/>
  <c r="BP42" i="14"/>
  <c r="BP43" i="14"/>
  <c r="BP44" i="14"/>
  <c r="BP45" i="14"/>
  <c r="BP46" i="14"/>
  <c r="BP47" i="14"/>
  <c r="BP48" i="14"/>
  <c r="BP49" i="14"/>
  <c r="BP50" i="14"/>
  <c r="BP51" i="14"/>
  <c r="BP52" i="14"/>
  <c r="BP53" i="14"/>
  <c r="BP54" i="14"/>
  <c r="BP55" i="14"/>
  <c r="BP56" i="14"/>
  <c r="BP57" i="14"/>
  <c r="BP58" i="14"/>
  <c r="BP59" i="14"/>
  <c r="BP60" i="14"/>
  <c r="BP61" i="14"/>
  <c r="BP62" i="14"/>
  <c r="BP63" i="14"/>
  <c r="BP64" i="14"/>
  <c r="BP65" i="14"/>
  <c r="BP66" i="14"/>
  <c r="BP67" i="14"/>
  <c r="BP68" i="14"/>
  <c r="BP69" i="14"/>
  <c r="BP70" i="14"/>
  <c r="BP71" i="14"/>
  <c r="BP72" i="14"/>
  <c r="BP73" i="14"/>
  <c r="BP74" i="14"/>
  <c r="BP75" i="14"/>
  <c r="BP76" i="14"/>
  <c r="BP77" i="14"/>
  <c r="BP78" i="14"/>
  <c r="BP79" i="14"/>
  <c r="BP80" i="14"/>
  <c r="BP81" i="14"/>
  <c r="CA5" i="14"/>
  <c r="CA6" i="14"/>
  <c r="CA7" i="14"/>
  <c r="CA8" i="14"/>
  <c r="CA9" i="14"/>
  <c r="CA10" i="14"/>
  <c r="CA11" i="14"/>
  <c r="CA12" i="14"/>
  <c r="CA13" i="14"/>
  <c r="CA14" i="14"/>
  <c r="CA15" i="14"/>
  <c r="CA16" i="14"/>
  <c r="CA17" i="14"/>
  <c r="CA18" i="14"/>
  <c r="CA19" i="14"/>
  <c r="CA20" i="14"/>
  <c r="CA21" i="14"/>
  <c r="CA22" i="14"/>
  <c r="CA23" i="14"/>
  <c r="CA24" i="14"/>
  <c r="CA25" i="14"/>
  <c r="CA26" i="14"/>
  <c r="CA27" i="14"/>
  <c r="CA28" i="14"/>
  <c r="CA29" i="14"/>
  <c r="CA30" i="14"/>
  <c r="CA31" i="14"/>
  <c r="CA32" i="14"/>
  <c r="CA33" i="14"/>
  <c r="CA34" i="14"/>
  <c r="CA35" i="14"/>
  <c r="CA36" i="14"/>
  <c r="CA37" i="14"/>
  <c r="CA38" i="14"/>
  <c r="CA39" i="14"/>
  <c r="CA40" i="14"/>
  <c r="CA41" i="14"/>
  <c r="CA42" i="14"/>
  <c r="CA43" i="14"/>
  <c r="CA44" i="14"/>
  <c r="CA45" i="14"/>
  <c r="CA46" i="14"/>
  <c r="CA47" i="14"/>
  <c r="CA48" i="14"/>
  <c r="CA49" i="14"/>
  <c r="CA50" i="14"/>
  <c r="CA51" i="14"/>
  <c r="CA52" i="14"/>
  <c r="CA53" i="14"/>
  <c r="CA54" i="14"/>
  <c r="CA55" i="14"/>
  <c r="CA56" i="14"/>
  <c r="CA57" i="14"/>
  <c r="CA58" i="14"/>
  <c r="CA59" i="14"/>
  <c r="CA60" i="14"/>
  <c r="CA61" i="14"/>
  <c r="CA62" i="14"/>
  <c r="CA63" i="14"/>
  <c r="CA64" i="14"/>
  <c r="CA65" i="14"/>
  <c r="CA66" i="14"/>
  <c r="CA67" i="14"/>
  <c r="CA68" i="14"/>
  <c r="CA69" i="14"/>
  <c r="CA70" i="14"/>
  <c r="CA71" i="14"/>
  <c r="CA72" i="14"/>
  <c r="CA73" i="14"/>
  <c r="CA74" i="14"/>
  <c r="CA75" i="14"/>
  <c r="CA76" i="14"/>
  <c r="CA77" i="14"/>
  <c r="CA78" i="14"/>
  <c r="CA79" i="14"/>
  <c r="CA80" i="14"/>
  <c r="CA81" i="14"/>
  <c r="CL5" i="14"/>
  <c r="CL6" i="14"/>
  <c r="CL7" i="14"/>
  <c r="CL8" i="14"/>
  <c r="CL9" i="14"/>
  <c r="CL10" i="14"/>
  <c r="CL11" i="14"/>
  <c r="CL12" i="14"/>
  <c r="CL13" i="14"/>
  <c r="CL14" i="14"/>
  <c r="CL15" i="14"/>
  <c r="CL16" i="14"/>
  <c r="CL17" i="14"/>
  <c r="CL18" i="14"/>
  <c r="CL19" i="14"/>
  <c r="CL20" i="14"/>
  <c r="CL21" i="14"/>
  <c r="CL22" i="14"/>
  <c r="CL23" i="14"/>
  <c r="CL24" i="14"/>
  <c r="CL25" i="14"/>
  <c r="CL26" i="14"/>
  <c r="CL27" i="14"/>
  <c r="CL28" i="14"/>
  <c r="CL29" i="14"/>
  <c r="CL30" i="14"/>
  <c r="CL31" i="14"/>
  <c r="CL32" i="14"/>
  <c r="CL33" i="14"/>
  <c r="CL34" i="14"/>
  <c r="CL35" i="14"/>
  <c r="CL36" i="14"/>
  <c r="CL37" i="14"/>
  <c r="CL38" i="14"/>
  <c r="CL39" i="14"/>
  <c r="CL40" i="14"/>
  <c r="CL41" i="14"/>
  <c r="CL42" i="14"/>
  <c r="CL43" i="14"/>
  <c r="CL44" i="14"/>
  <c r="CL45" i="14"/>
  <c r="CL46" i="14"/>
  <c r="CL47" i="14"/>
  <c r="CL48" i="14"/>
  <c r="CL49" i="14"/>
  <c r="CL50" i="14"/>
  <c r="CL51" i="14"/>
  <c r="CL52" i="14"/>
  <c r="CL53" i="14"/>
  <c r="CL54" i="14"/>
  <c r="CL55" i="14"/>
  <c r="CL56" i="14"/>
  <c r="CL57" i="14"/>
  <c r="CL58" i="14"/>
  <c r="CL59" i="14"/>
  <c r="CL60" i="14"/>
  <c r="CL61" i="14"/>
  <c r="CL62" i="14"/>
  <c r="CL63" i="14"/>
  <c r="CL64" i="14"/>
  <c r="CL65" i="14"/>
  <c r="CL66" i="14"/>
  <c r="CL67" i="14"/>
  <c r="CL68" i="14"/>
  <c r="CL69" i="14"/>
  <c r="CL70" i="14"/>
  <c r="CL71" i="14"/>
  <c r="CL72" i="14"/>
  <c r="CL73" i="14"/>
  <c r="CL74" i="14"/>
  <c r="CL75" i="14"/>
  <c r="CL76" i="14"/>
  <c r="CL77" i="14"/>
  <c r="CL78" i="14"/>
  <c r="CL79" i="14"/>
  <c r="CL80" i="14"/>
  <c r="CL81" i="14"/>
  <c r="CW5" i="14"/>
  <c r="CW6" i="14"/>
  <c r="CW7" i="14"/>
  <c r="CW8" i="14"/>
  <c r="CW9" i="14"/>
  <c r="CW10" i="14"/>
  <c r="CW11" i="14"/>
  <c r="CW12" i="14"/>
  <c r="CW13" i="14"/>
  <c r="CW14" i="14"/>
  <c r="CW15" i="14"/>
  <c r="CW16" i="14"/>
  <c r="CW17" i="14"/>
  <c r="CW18" i="14"/>
  <c r="CW19" i="14"/>
  <c r="CW20" i="14"/>
  <c r="CW21" i="14"/>
  <c r="CW22" i="14"/>
  <c r="CW23" i="14"/>
  <c r="CW24" i="14"/>
  <c r="CW25" i="14"/>
  <c r="CW26" i="14"/>
  <c r="CW27" i="14"/>
  <c r="CW28" i="14"/>
  <c r="CW29" i="14"/>
  <c r="CW30" i="14"/>
  <c r="CW31" i="14"/>
  <c r="CW32" i="14"/>
  <c r="CW33" i="14"/>
  <c r="CW34" i="14"/>
  <c r="CW35" i="14"/>
  <c r="CW36" i="14"/>
  <c r="CW37" i="14"/>
  <c r="CW38" i="14"/>
  <c r="CW39" i="14"/>
  <c r="CW40" i="14"/>
  <c r="CW41" i="14"/>
  <c r="CW42" i="14"/>
  <c r="CW43" i="14"/>
  <c r="CW44" i="14"/>
  <c r="CW45" i="14"/>
  <c r="CW46" i="14"/>
  <c r="CW47" i="14"/>
  <c r="CW48" i="14"/>
  <c r="CW49" i="14"/>
  <c r="CW50" i="14"/>
  <c r="CW51" i="14"/>
  <c r="CW52" i="14"/>
  <c r="CW53" i="14"/>
  <c r="CW54" i="14"/>
  <c r="CW55" i="14"/>
  <c r="CW56" i="14"/>
  <c r="CW57" i="14"/>
  <c r="CW58" i="14"/>
  <c r="CW59" i="14"/>
  <c r="CW60" i="14"/>
  <c r="CW61" i="14"/>
  <c r="CW62" i="14"/>
  <c r="CW63" i="14"/>
  <c r="CW64" i="14"/>
  <c r="CW65" i="14"/>
  <c r="CW66" i="14"/>
  <c r="CW67" i="14"/>
  <c r="CW68" i="14"/>
  <c r="CW69" i="14"/>
  <c r="CW70" i="14"/>
  <c r="CW71" i="14"/>
  <c r="CW72" i="14"/>
  <c r="CW73" i="14"/>
  <c r="CW74" i="14"/>
  <c r="CW75" i="14"/>
  <c r="CW76" i="14"/>
  <c r="CW77" i="14"/>
  <c r="CW78" i="14"/>
  <c r="CW79" i="14"/>
  <c r="CW80" i="14"/>
  <c r="CW81" i="14"/>
  <c r="DH5" i="14"/>
  <c r="DH6" i="14"/>
  <c r="DH7" i="14"/>
  <c r="DH8" i="14"/>
  <c r="DH9" i="14"/>
  <c r="DH10" i="14"/>
  <c r="DH11" i="14"/>
  <c r="DH12" i="14"/>
  <c r="DH13" i="14"/>
  <c r="DH14" i="14"/>
  <c r="DH15" i="14"/>
  <c r="DH16" i="14"/>
  <c r="DH17" i="14"/>
  <c r="DH18" i="14"/>
  <c r="DH19" i="14"/>
  <c r="DH20" i="14"/>
  <c r="DH21" i="14"/>
  <c r="DH22" i="14"/>
  <c r="DH23" i="14"/>
  <c r="DH24" i="14"/>
  <c r="DH25" i="14"/>
  <c r="DH26" i="14"/>
  <c r="DH27" i="14"/>
  <c r="DH28" i="14"/>
  <c r="DH29" i="14"/>
  <c r="DH30" i="14"/>
  <c r="DH31" i="14"/>
  <c r="DH32" i="14"/>
  <c r="DH33" i="14"/>
  <c r="DH34" i="14"/>
  <c r="DH35" i="14"/>
  <c r="DH36" i="14"/>
  <c r="DH37" i="14"/>
  <c r="DH38" i="14"/>
  <c r="DH39" i="14"/>
  <c r="DH40" i="14"/>
  <c r="DH41" i="14"/>
  <c r="DH42" i="14"/>
  <c r="DH43" i="14"/>
  <c r="DH44" i="14"/>
  <c r="DH45" i="14"/>
  <c r="DH46" i="14"/>
  <c r="DH47" i="14"/>
  <c r="DH48" i="14"/>
  <c r="DH49" i="14"/>
  <c r="DH50" i="14"/>
  <c r="DH51" i="14"/>
  <c r="DH52" i="14"/>
  <c r="DH53" i="14"/>
  <c r="DH54" i="14"/>
  <c r="DH55" i="14"/>
  <c r="DH56" i="14"/>
  <c r="DH57" i="14"/>
  <c r="DH58" i="14"/>
  <c r="DH59" i="14"/>
  <c r="DH60" i="14"/>
  <c r="DH61" i="14"/>
  <c r="DH62" i="14"/>
  <c r="DH63" i="14"/>
  <c r="DH64" i="14"/>
  <c r="DH65" i="14"/>
  <c r="DH66" i="14"/>
  <c r="DH67" i="14"/>
  <c r="DH68" i="14"/>
  <c r="DH69" i="14"/>
  <c r="DH70" i="14"/>
  <c r="DH71" i="14"/>
  <c r="DH72" i="14"/>
  <c r="DH73" i="14"/>
  <c r="DH74" i="14"/>
  <c r="DH75" i="14"/>
  <c r="DH76" i="14"/>
  <c r="DH77" i="14"/>
  <c r="DH78" i="14"/>
  <c r="DH79" i="14"/>
  <c r="DH80" i="14"/>
  <c r="DH81" i="14"/>
  <c r="DS5" i="14"/>
  <c r="DS6" i="14"/>
  <c r="DS7" i="14"/>
  <c r="DS8" i="14"/>
  <c r="DS9" i="14"/>
  <c r="DS10" i="14"/>
  <c r="DS11" i="14"/>
  <c r="DS12" i="14"/>
  <c r="DS13" i="14"/>
  <c r="DS14" i="14"/>
  <c r="DS15" i="14"/>
  <c r="DS16" i="14"/>
  <c r="DS17" i="14"/>
  <c r="DS18" i="14"/>
  <c r="DS19" i="14"/>
  <c r="DS20" i="14"/>
  <c r="DS21" i="14"/>
  <c r="DS22" i="14"/>
  <c r="DS23" i="14"/>
  <c r="DS24" i="14"/>
  <c r="DS25" i="14"/>
  <c r="DS26" i="14"/>
  <c r="DS27" i="14"/>
  <c r="DS28" i="14"/>
  <c r="DS29" i="14"/>
  <c r="DS30" i="14"/>
  <c r="DS31" i="14"/>
  <c r="DS32" i="14"/>
  <c r="DS33" i="14"/>
  <c r="DS34" i="14"/>
  <c r="DS35" i="14"/>
  <c r="DS36" i="14"/>
  <c r="DS37" i="14"/>
  <c r="DS38" i="14"/>
  <c r="DS39" i="14"/>
  <c r="DS40" i="14"/>
  <c r="DS41" i="14"/>
  <c r="DS42" i="14"/>
  <c r="DS43" i="14"/>
  <c r="DS44" i="14"/>
  <c r="DS45" i="14"/>
  <c r="DS46" i="14"/>
  <c r="DS47" i="14"/>
  <c r="DS48" i="14"/>
  <c r="DS49" i="14"/>
  <c r="DS50" i="14"/>
  <c r="DS51" i="14"/>
  <c r="DS52" i="14"/>
  <c r="DS53" i="14"/>
  <c r="DS54" i="14"/>
  <c r="DS55" i="14"/>
  <c r="DS56" i="14"/>
  <c r="DS57" i="14"/>
  <c r="DS58" i="14"/>
  <c r="DS59" i="14"/>
  <c r="DS60" i="14"/>
  <c r="DS61" i="14"/>
  <c r="DS62" i="14"/>
  <c r="DS63" i="14"/>
  <c r="DS64" i="14"/>
  <c r="DS65" i="14"/>
  <c r="DS66" i="14"/>
  <c r="DS67" i="14"/>
  <c r="DS68" i="14"/>
  <c r="DS69" i="14"/>
  <c r="DS70" i="14"/>
  <c r="DS71" i="14"/>
  <c r="DS72" i="14"/>
  <c r="DS73" i="14"/>
  <c r="DS74" i="14"/>
  <c r="DS75" i="14"/>
  <c r="DS76" i="14"/>
  <c r="DS77" i="14"/>
  <c r="DS78" i="14"/>
  <c r="DS79" i="14"/>
  <c r="DS80" i="14"/>
  <c r="DS81" i="14"/>
  <c r="ED5" i="14"/>
  <c r="ED6" i="14"/>
  <c r="ED7" i="14"/>
  <c r="ED8" i="14"/>
  <c r="ED9" i="14"/>
  <c r="ED10" i="14"/>
  <c r="ED11" i="14"/>
  <c r="ED12" i="14"/>
  <c r="ED13" i="14"/>
  <c r="ED14" i="14"/>
  <c r="ED15" i="14"/>
  <c r="ED16" i="14"/>
  <c r="ED17" i="14"/>
  <c r="ED18" i="14"/>
  <c r="ED19" i="14"/>
  <c r="ED20" i="14"/>
  <c r="ED21" i="14"/>
  <c r="ED22" i="14"/>
  <c r="ED23" i="14"/>
  <c r="ED24" i="14"/>
  <c r="ED25" i="14"/>
  <c r="ED26" i="14"/>
  <c r="ED27" i="14"/>
  <c r="ED28" i="14"/>
  <c r="ED29" i="14"/>
  <c r="ED30" i="14"/>
  <c r="ED31" i="14"/>
  <c r="ED32" i="14"/>
  <c r="ED33" i="14"/>
  <c r="ED34" i="14"/>
  <c r="ED35" i="14"/>
  <c r="ED36" i="14"/>
  <c r="ED37" i="14"/>
  <c r="ED38" i="14"/>
  <c r="ED39" i="14"/>
  <c r="ED40" i="14"/>
  <c r="ED41" i="14"/>
  <c r="ED42" i="14"/>
  <c r="ED43" i="14"/>
  <c r="ED44" i="14"/>
  <c r="ED45" i="14"/>
  <c r="ED46" i="14"/>
  <c r="ED47" i="14"/>
  <c r="ED48" i="14"/>
  <c r="ED49" i="14"/>
  <c r="ED50" i="14"/>
  <c r="ED51" i="14"/>
  <c r="ED52" i="14"/>
  <c r="ED53" i="14"/>
  <c r="ED54" i="14"/>
  <c r="ED55" i="14"/>
  <c r="ED56" i="14"/>
  <c r="ED57" i="14"/>
  <c r="ED58" i="14"/>
  <c r="ED59" i="14"/>
  <c r="ED60" i="14"/>
  <c r="ED61" i="14"/>
  <c r="ED62" i="14"/>
  <c r="ED63" i="14"/>
  <c r="ED64" i="14"/>
  <c r="ED65" i="14"/>
  <c r="ED66" i="14"/>
  <c r="ED67" i="14"/>
  <c r="ED68" i="14"/>
  <c r="ED69" i="14"/>
  <c r="ED70" i="14"/>
  <c r="ED71" i="14"/>
  <c r="ED72" i="14"/>
  <c r="ED73" i="14"/>
  <c r="ED74" i="14"/>
  <c r="ED75" i="14"/>
  <c r="ED76" i="14"/>
  <c r="ED77" i="14"/>
  <c r="ED78" i="14"/>
  <c r="ED79" i="14"/>
  <c r="ED80" i="14"/>
  <c r="ED81" i="14"/>
  <c r="EO5" i="14"/>
  <c r="EO6" i="14"/>
  <c r="EO7" i="14"/>
  <c r="EO8" i="14"/>
  <c r="EO9" i="14"/>
  <c r="EO10" i="14"/>
  <c r="EO11" i="14"/>
  <c r="EO12" i="14"/>
  <c r="EO13" i="14"/>
  <c r="EO14" i="14"/>
  <c r="EO15" i="14"/>
  <c r="EO16" i="14"/>
  <c r="EO17" i="14"/>
  <c r="EO18" i="14"/>
  <c r="EO19" i="14"/>
  <c r="EO20" i="14"/>
  <c r="EO21" i="14"/>
  <c r="EO22" i="14"/>
  <c r="EO23" i="14"/>
  <c r="EO24" i="14"/>
  <c r="EO25" i="14"/>
  <c r="EO26" i="14"/>
  <c r="EO27" i="14"/>
  <c r="EO28" i="14"/>
  <c r="EO29" i="14"/>
  <c r="EO30" i="14"/>
  <c r="EO31" i="14"/>
  <c r="EO32" i="14"/>
  <c r="EO33" i="14"/>
  <c r="EO34" i="14"/>
  <c r="EO35" i="14"/>
  <c r="EO36" i="14"/>
  <c r="EO37" i="14"/>
  <c r="EO38" i="14"/>
  <c r="EO39" i="14"/>
  <c r="EO40" i="14"/>
  <c r="EO41" i="14"/>
  <c r="EO42" i="14"/>
  <c r="EO43" i="14"/>
  <c r="EO44" i="14"/>
  <c r="EO45" i="14"/>
  <c r="EO46" i="14"/>
  <c r="EO47" i="14"/>
  <c r="EO48" i="14"/>
  <c r="EO49" i="14"/>
  <c r="EO50" i="14"/>
  <c r="EO51" i="14"/>
  <c r="EO52" i="14"/>
  <c r="EO53" i="14"/>
  <c r="EO54" i="14"/>
  <c r="EO55" i="14"/>
  <c r="EO56" i="14"/>
  <c r="EO57" i="14"/>
  <c r="EO58" i="14"/>
  <c r="EO59" i="14"/>
  <c r="EO60" i="14"/>
  <c r="EO61" i="14"/>
  <c r="EO62" i="14"/>
  <c r="EO63" i="14"/>
  <c r="EO64" i="14"/>
  <c r="EO65" i="14"/>
  <c r="EO66" i="14"/>
  <c r="EO67" i="14"/>
  <c r="EO68" i="14"/>
  <c r="EO69" i="14"/>
  <c r="EO70" i="14"/>
  <c r="EO71" i="14"/>
  <c r="EO72" i="14"/>
  <c r="EO73" i="14"/>
  <c r="EO74" i="14"/>
  <c r="EO75" i="14"/>
  <c r="EO76" i="14"/>
  <c r="EO77" i="14"/>
  <c r="EO78" i="14"/>
  <c r="EO79" i="14"/>
  <c r="EO80" i="14"/>
  <c r="EO81" i="14"/>
  <c r="G86" i="19"/>
  <c r="H86" i="19"/>
  <c r="J86" i="19"/>
  <c r="K86" i="19"/>
  <c r="L86" i="19"/>
  <c r="D86" i="19"/>
  <c r="Q53" i="19"/>
  <c r="E82" i="19"/>
  <c r="AJ5" i="16"/>
  <c r="AJ6" i="16"/>
  <c r="AJ7" i="16"/>
  <c r="AJ8" i="16"/>
  <c r="AJ9" i="16"/>
  <c r="AJ10" i="16"/>
  <c r="AJ11" i="16"/>
  <c r="AJ12" i="16"/>
  <c r="AJ13" i="16"/>
  <c r="AJ14" i="16"/>
  <c r="AJ15" i="16"/>
  <c r="AJ17" i="16"/>
  <c r="AJ18" i="16"/>
  <c r="AJ19" i="16"/>
  <c r="AJ20" i="16"/>
  <c r="AJ21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AH15" i="15"/>
  <c r="AG5" i="15"/>
  <c r="AG6" i="15"/>
  <c r="AG7" i="15"/>
  <c r="AG8" i="15"/>
  <c r="AG9" i="15"/>
  <c r="AG10" i="15"/>
  <c r="AG11" i="15"/>
  <c r="AG12" i="15"/>
  <c r="AG13" i="15"/>
  <c r="AG14" i="15"/>
  <c r="AG15" i="15"/>
  <c r="R11" i="15"/>
  <c r="R10" i="15"/>
  <c r="R9" i="15"/>
  <c r="R8" i="15"/>
  <c r="R7" i="15"/>
  <c r="R6" i="15"/>
  <c r="R5" i="15"/>
  <c r="R12" i="15"/>
  <c r="AF12" i="13"/>
  <c r="AF13" i="13"/>
  <c r="AF9" i="13"/>
  <c r="AF10" i="13"/>
  <c r="AF11" i="13"/>
  <c r="AF7" i="13"/>
  <c r="AF8" i="13"/>
  <c r="AF6" i="13"/>
  <c r="AF5" i="13"/>
  <c r="AE13" i="13"/>
  <c r="AE8" i="13"/>
  <c r="AE9" i="13"/>
  <c r="AE10" i="13"/>
  <c r="AE11" i="13"/>
  <c r="AE12" i="13"/>
  <c r="AE7" i="13"/>
  <c r="AE6" i="13"/>
  <c r="AE5" i="13"/>
  <c r="AR113" i="17"/>
  <c r="AR5" i="17"/>
  <c r="AR6" i="17"/>
  <c r="AR7" i="17"/>
  <c r="AR8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8" i="17"/>
  <c r="AR59" i="17"/>
  <c r="AR60" i="17"/>
  <c r="AR61" i="17"/>
  <c r="AR62" i="17"/>
  <c r="AR63" i="17"/>
  <c r="AR64" i="17"/>
  <c r="AR65" i="17"/>
  <c r="AR68" i="17"/>
  <c r="AR69" i="17"/>
  <c r="AR70" i="17"/>
  <c r="AR71" i="17"/>
  <c r="AR72" i="17"/>
  <c r="AR73" i="17"/>
  <c r="AR74" i="17"/>
  <c r="AR75" i="17"/>
  <c r="AR76" i="17"/>
  <c r="AR78" i="17"/>
  <c r="AR79" i="17"/>
  <c r="AR80" i="17"/>
  <c r="AR81" i="17"/>
  <c r="AR82" i="17"/>
  <c r="AR83" i="17"/>
  <c r="AR84" i="17"/>
  <c r="AR85" i="17"/>
  <c r="AR86" i="17"/>
  <c r="AR87" i="17"/>
  <c r="AR88" i="17"/>
  <c r="AR89" i="17"/>
  <c r="AR90" i="17"/>
  <c r="AR91" i="17"/>
  <c r="AR92" i="17"/>
  <c r="AR93" i="17"/>
  <c r="AR94" i="17"/>
  <c r="AR95" i="17"/>
  <c r="AR96" i="17"/>
  <c r="AR97" i="17"/>
  <c r="AR98" i="17"/>
  <c r="AR99" i="17"/>
  <c r="AR100" i="17"/>
  <c r="AR101" i="17"/>
  <c r="AR102" i="17"/>
  <c r="AR103" i="17"/>
  <c r="AR104" i="17"/>
  <c r="AR105" i="17"/>
  <c r="AR106" i="17"/>
  <c r="AR107" i="17"/>
  <c r="AR108" i="17"/>
  <c r="AR109" i="17"/>
  <c r="AR110" i="17"/>
  <c r="AR111" i="17"/>
  <c r="AR112" i="17"/>
  <c r="AR114" i="17"/>
  <c r="AR115" i="17"/>
  <c r="AR116" i="17"/>
  <c r="AR117" i="17"/>
  <c r="AR118" i="17"/>
  <c r="AR119" i="17"/>
  <c r="AR120" i="17"/>
  <c r="AR121" i="17"/>
  <c r="AR122" i="17"/>
  <c r="AR123" i="17"/>
  <c r="AR124" i="17"/>
  <c r="AR125" i="17"/>
  <c r="AR126" i="17"/>
  <c r="AR127" i="17"/>
  <c r="AR128" i="17"/>
  <c r="AR129" i="17"/>
  <c r="AR130" i="17"/>
  <c r="AR131" i="17"/>
  <c r="AR132" i="17"/>
  <c r="AR133" i="17"/>
  <c r="AR134" i="17"/>
  <c r="AR135" i="17"/>
  <c r="AR136" i="17"/>
  <c r="AR137" i="17"/>
  <c r="AR138" i="17"/>
  <c r="AR139" i="17"/>
  <c r="AR140" i="17"/>
  <c r="AR141" i="17"/>
  <c r="AR142" i="17"/>
  <c r="AR143" i="17"/>
  <c r="AR144" i="17"/>
  <c r="AR145" i="17"/>
  <c r="AR146" i="17"/>
  <c r="AR147" i="17"/>
  <c r="AR148" i="17"/>
  <c r="AR149" i="17"/>
  <c r="AR150" i="17"/>
  <c r="AR151" i="17"/>
  <c r="AR152" i="17"/>
  <c r="AR153" i="17"/>
  <c r="AR154" i="17"/>
  <c r="AR155" i="17"/>
  <c r="AR156" i="17"/>
  <c r="AR157" i="17"/>
  <c r="AR158" i="17"/>
  <c r="AR159" i="17"/>
  <c r="AR160" i="17"/>
  <c r="AR161" i="17"/>
  <c r="AR162" i="17"/>
  <c r="AR163" i="17"/>
  <c r="AR164" i="17"/>
  <c r="AR165" i="17"/>
  <c r="AR166" i="17"/>
  <c r="AR167" i="17"/>
  <c r="AR168" i="17"/>
  <c r="AR169" i="17"/>
  <c r="AR170" i="17"/>
  <c r="AR171" i="17"/>
  <c r="AR172" i="17"/>
  <c r="AR173" i="17"/>
  <c r="AR174" i="17"/>
  <c r="AR175" i="17"/>
  <c r="AR176" i="17"/>
  <c r="AR177" i="17"/>
  <c r="AR178" i="17"/>
  <c r="AR179" i="17"/>
  <c r="AR180" i="17"/>
  <c r="AR181" i="17"/>
  <c r="AR182" i="17"/>
  <c r="AR183" i="17"/>
  <c r="AR184" i="17"/>
  <c r="AR185" i="17"/>
  <c r="AR186" i="17"/>
  <c r="AR187" i="17"/>
  <c r="AR188" i="17"/>
  <c r="AR189" i="17"/>
  <c r="AR190" i="17"/>
  <c r="AR191" i="17"/>
  <c r="AR192" i="17"/>
  <c r="E81" i="19"/>
  <c r="E86" i="19" s="1"/>
  <c r="O60" i="19"/>
  <c r="O61" i="19" s="1"/>
  <c r="N60" i="19"/>
  <c r="N61" i="19" s="1"/>
  <c r="O58" i="19"/>
  <c r="N58" i="19"/>
  <c r="EO190" i="17"/>
  <c r="ED190" i="17"/>
  <c r="EO189" i="17"/>
  <c r="ED189" i="17"/>
  <c r="EY186" i="17"/>
  <c r="EX186" i="17"/>
  <c r="EO186" i="17"/>
  <c r="EN186" i="17"/>
  <c r="EM186" i="17"/>
  <c r="ED186" i="17"/>
  <c r="EY185" i="17"/>
  <c r="EX185" i="17"/>
  <c r="EO185" i="17"/>
  <c r="EN185" i="17"/>
  <c r="EM185" i="17"/>
  <c r="ED185" i="17"/>
  <c r="EY182" i="17"/>
  <c r="EX182" i="17"/>
  <c r="EO182" i="17"/>
  <c r="EN182" i="17"/>
  <c r="EM182" i="17"/>
  <c r="ED182" i="17"/>
  <c r="EY181" i="17"/>
  <c r="EX181" i="17"/>
  <c r="EO181" i="17"/>
  <c r="EN181" i="17"/>
  <c r="EM181" i="17"/>
  <c r="ED181" i="17"/>
  <c r="EY180" i="17"/>
  <c r="EX180" i="17"/>
  <c r="EO180" i="17"/>
  <c r="EN180" i="17"/>
  <c r="EM180" i="17"/>
  <c r="ED180" i="17"/>
  <c r="EY179" i="17"/>
  <c r="EX179" i="17"/>
  <c r="EO179" i="17"/>
  <c r="EN179" i="17"/>
  <c r="EM179" i="17"/>
  <c r="ED179" i="17"/>
  <c r="EY178" i="17"/>
  <c r="EX178" i="17"/>
  <c r="EO178" i="17"/>
  <c r="EN178" i="17"/>
  <c r="EM178" i="17"/>
  <c r="ED178" i="17"/>
  <c r="EY177" i="17"/>
  <c r="EX177" i="17"/>
  <c r="EO177" i="17"/>
  <c r="EN177" i="17"/>
  <c r="EM177" i="17"/>
  <c r="ED177" i="17"/>
  <c r="EY176" i="17"/>
  <c r="EX176" i="17"/>
  <c r="EO176" i="17"/>
  <c r="EN176" i="17"/>
  <c r="EM176" i="17"/>
  <c r="ED176" i="17"/>
  <c r="EY175" i="17"/>
  <c r="EX175" i="17"/>
  <c r="EO175" i="17"/>
  <c r="EN175" i="17"/>
  <c r="EM175" i="17"/>
  <c r="ED175" i="17"/>
  <c r="EY174" i="17"/>
  <c r="EX174" i="17"/>
  <c r="EO174" i="17"/>
  <c r="EN174" i="17"/>
  <c r="EM174" i="17"/>
  <c r="ED174" i="17"/>
  <c r="EY173" i="17"/>
  <c r="EX173" i="17"/>
  <c r="EO173" i="17"/>
  <c r="EN173" i="17"/>
  <c r="EM173" i="17"/>
  <c r="ED173" i="17"/>
  <c r="EY172" i="17"/>
  <c r="EX172" i="17"/>
  <c r="EO172" i="17"/>
  <c r="EN172" i="17"/>
  <c r="EM172" i="17"/>
  <c r="ED172" i="17"/>
  <c r="EY171" i="17"/>
  <c r="EX171" i="17"/>
  <c r="EO171" i="17"/>
  <c r="EN171" i="17"/>
  <c r="EM171" i="17"/>
  <c r="ED171" i="17"/>
  <c r="EY170" i="17"/>
  <c r="EX170" i="17"/>
  <c r="EO170" i="17"/>
  <c r="EN170" i="17"/>
  <c r="EM170" i="17"/>
  <c r="ED170" i="17"/>
  <c r="EY169" i="17"/>
  <c r="EX169" i="17"/>
  <c r="EO169" i="17"/>
  <c r="EN169" i="17"/>
  <c r="EM169" i="17"/>
  <c r="ED169" i="17"/>
  <c r="EY168" i="17"/>
  <c r="EX168" i="17"/>
  <c r="EO168" i="17"/>
  <c r="EN168" i="17"/>
  <c r="EM168" i="17"/>
  <c r="ED168" i="17"/>
  <c r="EY167" i="17"/>
  <c r="EX167" i="17"/>
  <c r="EO167" i="17"/>
  <c r="EN167" i="17"/>
  <c r="EM167" i="17"/>
  <c r="ED167" i="17"/>
  <c r="EY166" i="17"/>
  <c r="EX166" i="17"/>
  <c r="EO166" i="17"/>
  <c r="EN166" i="17"/>
  <c r="EM166" i="17"/>
  <c r="ED166" i="17"/>
  <c r="EY165" i="17"/>
  <c r="EX165" i="17"/>
  <c r="EO165" i="17"/>
  <c r="EN165" i="17"/>
  <c r="EM165" i="17"/>
  <c r="ED165" i="17"/>
  <c r="EY164" i="17"/>
  <c r="EX164" i="17"/>
  <c r="EO164" i="17"/>
  <c r="EN164" i="17"/>
  <c r="EM164" i="17"/>
  <c r="ED164" i="17"/>
  <c r="EY163" i="17"/>
  <c r="EX163" i="17"/>
  <c r="EO163" i="17"/>
  <c r="EN163" i="17"/>
  <c r="EM163" i="17"/>
  <c r="ED163" i="17"/>
  <c r="EY162" i="17"/>
  <c r="EX162" i="17"/>
  <c r="EO162" i="17"/>
  <c r="EN162" i="17"/>
  <c r="EM162" i="17"/>
  <c r="ED162" i="17"/>
  <c r="EY161" i="17"/>
  <c r="EX161" i="17"/>
  <c r="EO161" i="17"/>
  <c r="EN161" i="17"/>
  <c r="EM161" i="17"/>
  <c r="ED161" i="17"/>
  <c r="EY160" i="17"/>
  <c r="EX160" i="17"/>
  <c r="EO160" i="17"/>
  <c r="EN160" i="17"/>
  <c r="EM160" i="17"/>
  <c r="ED160" i="17"/>
  <c r="EY159" i="17"/>
  <c r="EX159" i="17"/>
  <c r="EO159" i="17"/>
  <c r="EN159" i="17"/>
  <c r="EM159" i="17"/>
  <c r="ED159" i="17"/>
  <c r="EY158" i="17"/>
  <c r="EX158" i="17"/>
  <c r="EO158" i="17"/>
  <c r="EN158" i="17"/>
  <c r="EM158" i="17"/>
  <c r="ED158" i="17"/>
  <c r="EY157" i="17"/>
  <c r="EX157" i="17"/>
  <c r="EO157" i="17"/>
  <c r="EN157" i="17"/>
  <c r="EM157" i="17"/>
  <c r="ED157" i="17"/>
  <c r="EY156" i="17"/>
  <c r="EX156" i="17"/>
  <c r="EO156" i="17"/>
  <c r="EN156" i="17"/>
  <c r="EM156" i="17"/>
  <c r="ED156" i="17"/>
  <c r="EY155" i="17"/>
  <c r="EX155" i="17"/>
  <c r="EO155" i="17"/>
  <c r="EN155" i="17"/>
  <c r="EM155" i="17"/>
  <c r="ED155" i="17"/>
  <c r="EY154" i="17"/>
  <c r="EX154" i="17"/>
  <c r="EO154" i="17"/>
  <c r="EN154" i="17"/>
  <c r="EM154" i="17"/>
  <c r="ED154" i="17"/>
  <c r="EY153" i="17"/>
  <c r="EX153" i="17"/>
  <c r="EO153" i="17"/>
  <c r="EN153" i="17"/>
  <c r="EM153" i="17"/>
  <c r="ED153" i="17"/>
  <c r="EY152" i="17"/>
  <c r="EX152" i="17"/>
  <c r="EO152" i="17"/>
  <c r="EN152" i="17"/>
  <c r="EM152" i="17"/>
  <c r="ED152" i="17"/>
  <c r="EY151" i="17"/>
  <c r="EX151" i="17"/>
  <c r="EO151" i="17"/>
  <c r="EN151" i="17"/>
  <c r="EM151" i="17"/>
  <c r="ED151" i="17"/>
  <c r="EY150" i="17"/>
  <c r="EX150" i="17"/>
  <c r="EO150" i="17"/>
  <c r="EN150" i="17"/>
  <c r="EM150" i="17"/>
  <c r="ED150" i="17"/>
  <c r="EY149" i="17"/>
  <c r="EX149" i="17"/>
  <c r="EO149" i="17"/>
  <c r="EN149" i="17"/>
  <c r="EM149" i="17"/>
  <c r="ED149" i="17"/>
  <c r="EY148" i="17"/>
  <c r="EX148" i="17"/>
  <c r="EO148" i="17"/>
  <c r="EN148" i="17"/>
  <c r="EM148" i="17"/>
  <c r="ED148" i="17"/>
  <c r="EY147" i="17"/>
  <c r="EX147" i="17"/>
  <c r="EO147" i="17"/>
  <c r="EN147" i="17"/>
  <c r="EM147" i="17"/>
  <c r="ED147" i="17"/>
  <c r="EY146" i="17"/>
  <c r="EX146" i="17"/>
  <c r="EO146" i="17"/>
  <c r="EN146" i="17"/>
  <c r="EM146" i="17"/>
  <c r="ED146" i="17"/>
  <c r="EY145" i="17"/>
  <c r="EX145" i="17"/>
  <c r="EO145" i="17"/>
  <c r="EN145" i="17"/>
  <c r="EM145" i="17"/>
  <c r="ED145" i="17"/>
  <c r="EY144" i="17"/>
  <c r="EX144" i="17"/>
  <c r="EO144" i="17"/>
  <c r="EN144" i="17"/>
  <c r="EM144" i="17"/>
  <c r="ED144" i="17"/>
  <c r="EY143" i="17"/>
  <c r="EX143" i="17"/>
  <c r="EO143" i="17"/>
  <c r="EN143" i="17"/>
  <c r="EM143" i="17"/>
  <c r="ED143" i="17"/>
  <c r="EY142" i="17"/>
  <c r="EX142" i="17"/>
  <c r="EO142" i="17"/>
  <c r="EN142" i="17"/>
  <c r="EM142" i="17"/>
  <c r="ED142" i="17"/>
  <c r="EY141" i="17"/>
  <c r="EX141" i="17"/>
  <c r="EO141" i="17"/>
  <c r="EN141" i="17"/>
  <c r="EM141" i="17"/>
  <c r="ED141" i="17"/>
  <c r="EY140" i="17"/>
  <c r="EX140" i="17"/>
  <c r="EO140" i="17"/>
  <c r="EN140" i="17"/>
  <c r="EM140" i="17"/>
  <c r="ED140" i="17"/>
  <c r="EY139" i="17"/>
  <c r="EX139" i="17"/>
  <c r="EO139" i="17"/>
  <c r="EN139" i="17"/>
  <c r="EM139" i="17"/>
  <c r="ED139" i="17"/>
  <c r="EY138" i="17"/>
  <c r="EX138" i="17"/>
  <c r="EO138" i="17"/>
  <c r="EN138" i="17"/>
  <c r="EM138" i="17"/>
  <c r="ED138" i="17"/>
  <c r="EY137" i="17"/>
  <c r="EX137" i="17"/>
  <c r="EO137" i="17"/>
  <c r="EN137" i="17"/>
  <c r="EM137" i="17"/>
  <c r="ED137" i="17"/>
  <c r="EY136" i="17"/>
  <c r="EX136" i="17"/>
  <c r="EO136" i="17"/>
  <c r="EN136" i="17"/>
  <c r="EM136" i="17"/>
  <c r="ED136" i="17"/>
  <c r="EY135" i="17"/>
  <c r="EX135" i="17"/>
  <c r="EO135" i="17"/>
  <c r="EN135" i="17"/>
  <c r="EM135" i="17"/>
  <c r="ED135" i="17"/>
  <c r="EY134" i="17"/>
  <c r="EX134" i="17"/>
  <c r="EO134" i="17"/>
  <c r="EN134" i="17"/>
  <c r="EM134" i="17"/>
  <c r="ED134" i="17"/>
  <c r="EY133" i="17"/>
  <c r="EX133" i="17"/>
  <c r="EO133" i="17"/>
  <c r="EN133" i="17"/>
  <c r="EM133" i="17"/>
  <c r="ED133" i="17"/>
  <c r="EY132" i="17"/>
  <c r="EX132" i="17"/>
  <c r="EO132" i="17"/>
  <c r="EN132" i="17"/>
  <c r="EM132" i="17"/>
  <c r="ED132" i="17"/>
  <c r="EY131" i="17"/>
  <c r="EX131" i="17"/>
  <c r="EO131" i="17"/>
  <c r="EN131" i="17"/>
  <c r="EM131" i="17"/>
  <c r="ED131" i="17"/>
  <c r="EY130" i="17"/>
  <c r="EX130" i="17"/>
  <c r="EO130" i="17"/>
  <c r="EN130" i="17"/>
  <c r="EM130" i="17"/>
  <c r="ED130" i="17"/>
  <c r="EY129" i="17"/>
  <c r="EX129" i="17"/>
  <c r="EO129" i="17"/>
  <c r="EN129" i="17"/>
  <c r="EM129" i="17"/>
  <c r="ED129" i="17"/>
  <c r="EY128" i="17"/>
  <c r="EX128" i="17"/>
  <c r="EO128" i="17"/>
  <c r="EN128" i="17"/>
  <c r="EM128" i="17"/>
  <c r="ED128" i="17"/>
  <c r="EY127" i="17"/>
  <c r="EX127" i="17"/>
  <c r="EO127" i="17"/>
  <c r="EN127" i="17"/>
  <c r="EM127" i="17"/>
  <c r="ED127" i="17"/>
  <c r="EY126" i="17"/>
  <c r="EX126" i="17"/>
  <c r="EO126" i="17"/>
  <c r="EN126" i="17"/>
  <c r="EM126" i="17"/>
  <c r="ED126" i="17"/>
  <c r="EY125" i="17"/>
  <c r="EX125" i="17"/>
  <c r="EO125" i="17"/>
  <c r="EN125" i="17"/>
  <c r="EM125" i="17"/>
  <c r="ED125" i="17"/>
  <c r="EY124" i="17"/>
  <c r="EX124" i="17"/>
  <c r="EO124" i="17"/>
  <c r="EN124" i="17"/>
  <c r="EM124" i="17"/>
  <c r="ED124" i="17"/>
  <c r="EY123" i="17"/>
  <c r="EX123" i="17"/>
  <c r="EO123" i="17"/>
  <c r="EN123" i="17"/>
  <c r="EM123" i="17"/>
  <c r="ED123" i="17"/>
  <c r="EY122" i="17"/>
  <c r="EX122" i="17"/>
  <c r="EO122" i="17"/>
  <c r="EN122" i="17"/>
  <c r="EM122" i="17"/>
  <c r="ED122" i="17"/>
  <c r="EY121" i="17"/>
  <c r="EX121" i="17"/>
  <c r="EO121" i="17"/>
  <c r="EN121" i="17"/>
  <c r="EM121" i="17"/>
  <c r="ED121" i="17"/>
  <c r="EY120" i="17"/>
  <c r="EX120" i="17"/>
  <c r="EO120" i="17"/>
  <c r="EN120" i="17"/>
  <c r="EM120" i="17"/>
  <c r="ED120" i="17"/>
  <c r="EY119" i="17"/>
  <c r="EX119" i="17"/>
  <c r="EO119" i="17"/>
  <c r="EN119" i="17"/>
  <c r="EM119" i="17"/>
  <c r="ED119" i="17"/>
  <c r="EY118" i="17"/>
  <c r="EX118" i="17"/>
  <c r="EO118" i="17"/>
  <c r="EN118" i="17"/>
  <c r="EM118" i="17"/>
  <c r="ED118" i="17"/>
  <c r="EY117" i="17"/>
  <c r="EX117" i="17"/>
  <c r="EO117" i="17"/>
  <c r="EN117" i="17"/>
  <c r="EM117" i="17"/>
  <c r="ED117" i="17"/>
  <c r="EY116" i="17"/>
  <c r="EX116" i="17"/>
  <c r="EO116" i="17"/>
  <c r="EN116" i="17"/>
  <c r="EM116" i="17"/>
  <c r="ED116" i="17"/>
  <c r="EY115" i="17"/>
  <c r="EX115" i="17"/>
  <c r="EO115" i="17"/>
  <c r="EN115" i="17"/>
  <c r="EM115" i="17"/>
  <c r="ED115" i="17"/>
  <c r="EY114" i="17"/>
  <c r="EX114" i="17"/>
  <c r="EO114" i="17"/>
  <c r="EN114" i="17"/>
  <c r="EM114" i="17"/>
  <c r="ED114" i="17"/>
  <c r="EY113" i="17"/>
  <c r="EX113" i="17"/>
  <c r="EO113" i="17"/>
  <c r="EN113" i="17"/>
  <c r="EM113" i="17"/>
  <c r="ED113" i="17"/>
  <c r="EY112" i="17"/>
  <c r="EX112" i="17"/>
  <c r="EO112" i="17"/>
  <c r="EN112" i="17"/>
  <c r="EM112" i="17"/>
  <c r="ED112" i="17"/>
  <c r="EY111" i="17"/>
  <c r="EX111" i="17"/>
  <c r="EO111" i="17"/>
  <c r="EN111" i="17"/>
  <c r="EM111" i="17"/>
  <c r="ED111" i="17"/>
  <c r="EY110" i="17"/>
  <c r="EX110" i="17"/>
  <c r="EO110" i="17"/>
  <c r="EN110" i="17"/>
  <c r="EM110" i="17"/>
  <c r="ED110" i="17"/>
  <c r="EY109" i="17"/>
  <c r="EX109" i="17"/>
  <c r="EO109" i="17"/>
  <c r="EN109" i="17"/>
  <c r="EM109" i="17"/>
  <c r="ED109" i="17"/>
  <c r="EY108" i="17"/>
  <c r="EX108" i="17"/>
  <c r="EO108" i="17"/>
  <c r="EN108" i="17"/>
  <c r="EM108" i="17"/>
  <c r="ED108" i="17"/>
  <c r="EY107" i="17"/>
  <c r="EX107" i="17"/>
  <c r="EO107" i="17"/>
  <c r="EN107" i="17"/>
  <c r="EM107" i="17"/>
  <c r="ED107" i="17"/>
  <c r="EY106" i="17"/>
  <c r="EX106" i="17"/>
  <c r="EO106" i="17"/>
  <c r="EN106" i="17"/>
  <c r="EM106" i="17"/>
  <c r="ED106" i="17"/>
  <c r="EY105" i="17"/>
  <c r="EX105" i="17"/>
  <c r="EO105" i="17"/>
  <c r="EN105" i="17"/>
  <c r="EM105" i="17"/>
  <c r="ED105" i="17"/>
  <c r="EY104" i="17"/>
  <c r="EX104" i="17"/>
  <c r="EO104" i="17"/>
  <c r="EN104" i="17"/>
  <c r="EM104" i="17"/>
  <c r="ED104" i="17"/>
  <c r="EY103" i="17"/>
  <c r="EX103" i="17"/>
  <c r="EO103" i="17"/>
  <c r="EN103" i="17"/>
  <c r="EM103" i="17"/>
  <c r="ED103" i="17"/>
  <c r="EY102" i="17"/>
  <c r="EX102" i="17"/>
  <c r="EO102" i="17"/>
  <c r="EN102" i="17"/>
  <c r="EM102" i="17"/>
  <c r="ED102" i="17"/>
  <c r="EY101" i="17"/>
  <c r="EX101" i="17"/>
  <c r="EO101" i="17"/>
  <c r="EN101" i="17"/>
  <c r="EM101" i="17"/>
  <c r="ED101" i="17"/>
  <c r="EY100" i="17"/>
  <c r="EX100" i="17"/>
  <c r="EO100" i="17"/>
  <c r="EN100" i="17"/>
  <c r="EM100" i="17"/>
  <c r="ED100" i="17"/>
  <c r="EY99" i="17"/>
  <c r="EX99" i="17"/>
  <c r="EO99" i="17"/>
  <c r="EN99" i="17"/>
  <c r="EM99" i="17"/>
  <c r="ED99" i="17"/>
  <c r="EY98" i="17"/>
  <c r="EX98" i="17"/>
  <c r="EO98" i="17"/>
  <c r="EN98" i="17"/>
  <c r="EM98" i="17"/>
  <c r="ED98" i="17"/>
  <c r="EY97" i="17"/>
  <c r="EX97" i="17"/>
  <c r="EO97" i="17"/>
  <c r="EN97" i="17"/>
  <c r="EM97" i="17"/>
  <c r="ED97" i="17"/>
  <c r="EY96" i="17"/>
  <c r="EX96" i="17"/>
  <c r="EO96" i="17"/>
  <c r="EN96" i="17"/>
  <c r="EM96" i="17"/>
  <c r="ED96" i="17"/>
  <c r="EY95" i="17"/>
  <c r="EX95" i="17"/>
  <c r="EO95" i="17"/>
  <c r="EN95" i="17"/>
  <c r="EM95" i="17"/>
  <c r="ED95" i="17"/>
  <c r="EY94" i="17"/>
  <c r="EX94" i="17"/>
  <c r="EO94" i="17"/>
  <c r="EN94" i="17"/>
  <c r="EM94" i="17"/>
  <c r="ED94" i="17"/>
  <c r="EY93" i="17"/>
  <c r="EX93" i="17"/>
  <c r="EO93" i="17"/>
  <c r="EN93" i="17"/>
  <c r="EM93" i="17"/>
  <c r="ED93" i="17"/>
  <c r="EY92" i="17"/>
  <c r="EX92" i="17"/>
  <c r="EO92" i="17"/>
  <c r="EN92" i="17"/>
  <c r="EM92" i="17"/>
  <c r="ED92" i="17"/>
  <c r="EY91" i="17"/>
  <c r="EX91" i="17"/>
  <c r="EO91" i="17"/>
  <c r="EN91" i="17"/>
  <c r="EM91" i="17"/>
  <c r="ED91" i="17"/>
  <c r="EY90" i="17"/>
  <c r="EX90" i="17"/>
  <c r="EO90" i="17"/>
  <c r="EN90" i="17"/>
  <c r="EM90" i="17"/>
  <c r="ED90" i="17"/>
  <c r="EY89" i="17"/>
  <c r="EX89" i="17"/>
  <c r="EO89" i="17"/>
  <c r="EN89" i="17"/>
  <c r="EM89" i="17"/>
  <c r="ED89" i="17"/>
  <c r="EY88" i="17"/>
  <c r="EX88" i="17"/>
  <c r="EO88" i="17"/>
  <c r="EN88" i="17"/>
  <c r="EM88" i="17"/>
  <c r="ED88" i="17"/>
  <c r="EY87" i="17"/>
  <c r="EX87" i="17"/>
  <c r="EO87" i="17"/>
  <c r="EN87" i="17"/>
  <c r="EM87" i="17"/>
  <c r="ED87" i="17"/>
  <c r="EY86" i="17"/>
  <c r="EX86" i="17"/>
  <c r="EO86" i="17"/>
  <c r="EN86" i="17"/>
  <c r="EM86" i="17"/>
  <c r="ED86" i="17"/>
  <c r="EY85" i="17"/>
  <c r="EX85" i="17"/>
  <c r="EO85" i="17"/>
  <c r="EN85" i="17"/>
  <c r="EM85" i="17"/>
  <c r="ED85" i="17"/>
  <c r="EY84" i="17"/>
  <c r="EX84" i="17"/>
  <c r="EO84" i="17"/>
  <c r="EN84" i="17"/>
  <c r="EM84" i="17"/>
  <c r="ED84" i="17"/>
  <c r="EY83" i="17"/>
  <c r="EX83" i="17"/>
  <c r="EO83" i="17"/>
  <c r="EN83" i="17"/>
  <c r="EM83" i="17"/>
  <c r="ED83" i="17"/>
  <c r="EY82" i="17"/>
  <c r="EX82" i="17"/>
  <c r="EO82" i="17"/>
  <c r="EN82" i="17"/>
  <c r="EM82" i="17"/>
  <c r="ED82" i="17"/>
  <c r="EY81" i="17"/>
  <c r="EX81" i="17"/>
  <c r="EO81" i="17"/>
  <c r="EN81" i="17"/>
  <c r="EM81" i="17"/>
  <c r="ED81" i="17"/>
  <c r="EY80" i="17"/>
  <c r="EX80" i="17"/>
  <c r="EO80" i="17"/>
  <c r="EN80" i="17"/>
  <c r="EM80" i="17"/>
  <c r="ED80" i="17"/>
  <c r="EY79" i="17"/>
  <c r="EX79" i="17"/>
  <c r="EO79" i="17"/>
  <c r="EN79" i="17"/>
  <c r="EM79" i="17"/>
  <c r="ED79" i="17"/>
  <c r="EY78" i="17"/>
  <c r="EX78" i="17"/>
  <c r="EO78" i="17"/>
  <c r="EN78" i="17"/>
  <c r="EM78" i="17"/>
  <c r="ED78" i="17"/>
  <c r="EY77" i="17"/>
  <c r="EX77" i="17"/>
  <c r="EO77" i="17"/>
  <c r="EN77" i="17"/>
  <c r="EM77" i="17"/>
  <c r="ED77" i="17"/>
  <c r="EY76" i="17"/>
  <c r="EX76" i="17"/>
  <c r="EO76" i="17"/>
  <c r="EN76" i="17"/>
  <c r="EM76" i="17"/>
  <c r="ED76" i="17"/>
  <c r="EY75" i="17"/>
  <c r="EX75" i="17"/>
  <c r="EO75" i="17"/>
  <c r="EN75" i="17"/>
  <c r="EM75" i="17"/>
  <c r="ED75" i="17"/>
  <c r="EY74" i="17"/>
  <c r="EX74" i="17"/>
  <c r="EO74" i="17"/>
  <c r="EN74" i="17"/>
  <c r="EM74" i="17"/>
  <c r="ED74" i="17"/>
  <c r="EY73" i="17"/>
  <c r="EX73" i="17"/>
  <c r="EO73" i="17"/>
  <c r="EN73" i="17"/>
  <c r="EM73" i="17"/>
  <c r="ED73" i="17"/>
  <c r="EY72" i="17"/>
  <c r="EX72" i="17"/>
  <c r="EO72" i="17"/>
  <c r="EN72" i="17"/>
  <c r="EM72" i="17"/>
  <c r="ED72" i="17"/>
  <c r="EY71" i="17"/>
  <c r="EX71" i="17"/>
  <c r="EO71" i="17"/>
  <c r="EN71" i="17"/>
  <c r="EM71" i="17"/>
  <c r="ED71" i="17"/>
  <c r="EY70" i="17"/>
  <c r="EX70" i="17"/>
  <c r="EO70" i="17"/>
  <c r="EN70" i="17"/>
  <c r="EM70" i="17"/>
  <c r="ED70" i="17"/>
  <c r="EY69" i="17"/>
  <c r="EX69" i="17"/>
  <c r="EO69" i="17"/>
  <c r="EN69" i="17"/>
  <c r="EM69" i="17"/>
  <c r="ED69" i="17"/>
  <c r="EY68" i="17"/>
  <c r="EX68" i="17"/>
  <c r="EO68" i="17"/>
  <c r="EN68" i="17"/>
  <c r="EM68" i="17"/>
  <c r="ED68" i="17"/>
  <c r="EY67" i="17"/>
  <c r="EX67" i="17"/>
  <c r="EO67" i="17"/>
  <c r="EN67" i="17"/>
  <c r="EM67" i="17"/>
  <c r="ED67" i="17"/>
  <c r="EY66" i="17"/>
  <c r="EX66" i="17"/>
  <c r="EO66" i="17"/>
  <c r="EN66" i="17"/>
  <c r="EM66" i="17"/>
  <c r="ED66" i="17"/>
  <c r="EY65" i="17"/>
  <c r="EX65" i="17"/>
  <c r="EO65" i="17"/>
  <c r="EN65" i="17"/>
  <c r="EM65" i="17"/>
  <c r="ED65" i="17"/>
  <c r="EY64" i="17"/>
  <c r="EX64" i="17"/>
  <c r="EO64" i="17"/>
  <c r="EN64" i="17"/>
  <c r="EM64" i="17"/>
  <c r="ED64" i="17"/>
  <c r="EY63" i="17"/>
  <c r="EX63" i="17"/>
  <c r="EO63" i="17"/>
  <c r="EN63" i="17"/>
  <c r="EM63" i="17"/>
  <c r="ED63" i="17"/>
  <c r="EY62" i="17"/>
  <c r="EX62" i="17"/>
  <c r="EO62" i="17"/>
  <c r="EN62" i="17"/>
  <c r="EM62" i="17"/>
  <c r="ED62" i="17"/>
  <c r="EY61" i="17"/>
  <c r="EX61" i="17"/>
  <c r="EO61" i="17"/>
  <c r="EN61" i="17"/>
  <c r="EM61" i="17"/>
  <c r="ED61" i="17"/>
  <c r="EY60" i="17"/>
  <c r="EX60" i="17"/>
  <c r="EO60" i="17"/>
  <c r="EN60" i="17"/>
  <c r="EM60" i="17"/>
  <c r="ED60" i="17"/>
  <c r="EY59" i="17"/>
  <c r="EX59" i="17"/>
  <c r="EO59" i="17"/>
  <c r="EN59" i="17"/>
  <c r="EM59" i="17"/>
  <c r="ED59" i="17"/>
  <c r="EY58" i="17"/>
  <c r="EX58" i="17"/>
  <c r="EO58" i="17"/>
  <c r="EN58" i="17"/>
  <c r="EM58" i="17"/>
  <c r="ED58" i="17"/>
  <c r="EY57" i="17"/>
  <c r="EX57" i="17"/>
  <c r="EO57" i="17"/>
  <c r="EN57" i="17"/>
  <c r="EM57" i="17"/>
  <c r="ED57" i="17"/>
  <c r="EY56" i="17"/>
  <c r="EX56" i="17"/>
  <c r="EO56" i="17"/>
  <c r="EN56" i="17"/>
  <c r="EM56" i="17"/>
  <c r="ED56" i="17"/>
  <c r="EY55" i="17"/>
  <c r="EX55" i="17"/>
  <c r="EO55" i="17"/>
  <c r="EN55" i="17"/>
  <c r="EM55" i="17"/>
  <c r="ED55" i="17"/>
  <c r="EY54" i="17"/>
  <c r="EX54" i="17"/>
  <c r="EO54" i="17"/>
  <c r="EN54" i="17"/>
  <c r="EM54" i="17"/>
  <c r="ED54" i="17"/>
  <c r="EY53" i="17"/>
  <c r="EX53" i="17"/>
  <c r="EO53" i="17"/>
  <c r="EN53" i="17"/>
  <c r="EM53" i="17"/>
  <c r="ED53" i="17"/>
  <c r="EY52" i="17"/>
  <c r="EX52" i="17"/>
  <c r="EO52" i="17"/>
  <c r="EN52" i="17"/>
  <c r="EM52" i="17"/>
  <c r="ED52" i="17"/>
  <c r="EY51" i="17"/>
  <c r="EX51" i="17"/>
  <c r="EO51" i="17"/>
  <c r="EN51" i="17"/>
  <c r="EM51" i="17"/>
  <c r="ED51" i="17"/>
  <c r="EY50" i="17"/>
  <c r="EX50" i="17"/>
  <c r="EO50" i="17"/>
  <c r="EN50" i="17"/>
  <c r="EM50" i="17"/>
  <c r="ED50" i="17"/>
  <c r="EY49" i="17"/>
  <c r="EX49" i="17"/>
  <c r="EO49" i="17"/>
  <c r="EN49" i="17"/>
  <c r="EM49" i="17"/>
  <c r="ED49" i="17"/>
  <c r="EY48" i="17"/>
  <c r="EX48" i="17"/>
  <c r="EO48" i="17"/>
  <c r="EN48" i="17"/>
  <c r="EM48" i="17"/>
  <c r="ED48" i="17"/>
  <c r="EY47" i="17"/>
  <c r="EX47" i="17"/>
  <c r="EO47" i="17"/>
  <c r="EN47" i="17"/>
  <c r="EM47" i="17"/>
  <c r="ED47" i="17"/>
  <c r="EY46" i="17"/>
  <c r="EX46" i="17"/>
  <c r="EO46" i="17"/>
  <c r="EN46" i="17"/>
  <c r="EM46" i="17"/>
  <c r="ED46" i="17"/>
  <c r="EY45" i="17"/>
  <c r="EX45" i="17"/>
  <c r="EO45" i="17"/>
  <c r="EN45" i="17"/>
  <c r="EM45" i="17"/>
  <c r="ED45" i="17"/>
  <c r="EY44" i="17"/>
  <c r="EX44" i="17"/>
  <c r="EO44" i="17"/>
  <c r="EN44" i="17"/>
  <c r="EM44" i="17"/>
  <c r="ED44" i="17"/>
  <c r="EY43" i="17"/>
  <c r="EX43" i="17"/>
  <c r="EO43" i="17"/>
  <c r="EN43" i="17"/>
  <c r="EM43" i="17"/>
  <c r="ED43" i="17"/>
  <c r="EY42" i="17"/>
  <c r="EX42" i="17"/>
  <c r="EO42" i="17"/>
  <c r="EN42" i="17"/>
  <c r="EM42" i="17"/>
  <c r="ED42" i="17"/>
  <c r="EY41" i="17"/>
  <c r="EX41" i="17"/>
  <c r="EO41" i="17"/>
  <c r="EN41" i="17"/>
  <c r="EM41" i="17"/>
  <c r="ED41" i="17"/>
  <c r="EY40" i="17"/>
  <c r="EX40" i="17"/>
  <c r="EO40" i="17"/>
  <c r="EN40" i="17"/>
  <c r="EM40" i="17"/>
  <c r="ED40" i="17"/>
  <c r="EY39" i="17"/>
  <c r="EX39" i="17"/>
  <c r="EO39" i="17"/>
  <c r="EN39" i="17"/>
  <c r="EM39" i="17"/>
  <c r="ED39" i="17"/>
  <c r="EY38" i="17"/>
  <c r="EX38" i="17"/>
  <c r="EO38" i="17"/>
  <c r="EN38" i="17"/>
  <c r="EM38" i="17"/>
  <c r="ED38" i="17"/>
  <c r="EY37" i="17"/>
  <c r="EX37" i="17"/>
  <c r="EO37" i="17"/>
  <c r="EN37" i="17"/>
  <c r="EM37" i="17"/>
  <c r="ED37" i="17"/>
  <c r="EY36" i="17"/>
  <c r="EX36" i="17"/>
  <c r="EO36" i="17"/>
  <c r="EN36" i="17"/>
  <c r="EM36" i="17"/>
  <c r="ED36" i="17"/>
  <c r="EY35" i="17"/>
  <c r="EX35" i="17"/>
  <c r="EO35" i="17"/>
  <c r="EN35" i="17"/>
  <c r="EM35" i="17"/>
  <c r="ED35" i="17"/>
  <c r="EY34" i="17"/>
  <c r="EX34" i="17"/>
  <c r="EO34" i="17"/>
  <c r="EN34" i="17"/>
  <c r="EM34" i="17"/>
  <c r="ED34" i="17"/>
  <c r="EY33" i="17"/>
  <c r="EX33" i="17"/>
  <c r="EO33" i="17"/>
  <c r="EN33" i="17"/>
  <c r="EM33" i="17"/>
  <c r="ED33" i="17"/>
  <c r="EY32" i="17"/>
  <c r="EX32" i="17"/>
  <c r="EO32" i="17"/>
  <c r="EN32" i="17"/>
  <c r="EM32" i="17"/>
  <c r="ED32" i="17"/>
  <c r="EY31" i="17"/>
  <c r="EX31" i="17"/>
  <c r="EO31" i="17"/>
  <c r="EN31" i="17"/>
  <c r="EM31" i="17"/>
  <c r="ED31" i="17"/>
  <c r="EY30" i="17"/>
  <c r="EX30" i="17"/>
  <c r="EO30" i="17"/>
  <c r="EN30" i="17"/>
  <c r="EM30" i="17"/>
  <c r="ED30" i="17"/>
  <c r="EY29" i="17"/>
  <c r="EX29" i="17"/>
  <c r="EO29" i="17"/>
  <c r="EN29" i="17"/>
  <c r="EM29" i="17"/>
  <c r="ED29" i="17"/>
  <c r="EY28" i="17"/>
  <c r="EX28" i="17"/>
  <c r="EO28" i="17"/>
  <c r="EN28" i="17"/>
  <c r="EM28" i="17"/>
  <c r="ED28" i="17"/>
  <c r="EY27" i="17"/>
  <c r="EX27" i="17"/>
  <c r="EO27" i="17"/>
  <c r="EN27" i="17"/>
  <c r="EM27" i="17"/>
  <c r="ED27" i="17"/>
  <c r="EY26" i="17"/>
  <c r="EX26" i="17"/>
  <c r="EO26" i="17"/>
  <c r="EN26" i="17"/>
  <c r="EM26" i="17"/>
  <c r="ED26" i="17"/>
  <c r="EY25" i="17"/>
  <c r="EX25" i="17"/>
  <c r="EO25" i="17"/>
  <c r="EN25" i="17"/>
  <c r="EM25" i="17"/>
  <c r="ED25" i="17"/>
  <c r="EY24" i="17"/>
  <c r="EX24" i="17"/>
  <c r="EO24" i="17"/>
  <c r="EN24" i="17"/>
  <c r="EM24" i="17"/>
  <c r="ED24" i="17"/>
  <c r="EY23" i="17"/>
  <c r="EX23" i="17"/>
  <c r="EO23" i="17"/>
  <c r="EN23" i="17"/>
  <c r="EM23" i="17"/>
  <c r="ED23" i="17"/>
  <c r="EY22" i="17"/>
  <c r="EX22" i="17"/>
  <c r="EO22" i="17"/>
  <c r="EN22" i="17"/>
  <c r="EM22" i="17"/>
  <c r="ED22" i="17"/>
  <c r="EY21" i="17"/>
  <c r="EX21" i="17"/>
  <c r="EO21" i="17"/>
  <c r="EN21" i="17"/>
  <c r="EM21" i="17"/>
  <c r="ED21" i="17"/>
  <c r="EY20" i="17"/>
  <c r="EX20" i="17"/>
  <c r="EO20" i="17"/>
  <c r="EN20" i="17"/>
  <c r="EM20" i="17"/>
  <c r="ED20" i="17"/>
  <c r="EY19" i="17"/>
  <c r="EX19" i="17"/>
  <c r="EO19" i="17"/>
  <c r="EN19" i="17"/>
  <c r="EM19" i="17"/>
  <c r="ED19" i="17"/>
  <c r="EY18" i="17"/>
  <c r="EX18" i="17"/>
  <c r="EO18" i="17"/>
  <c r="EN18" i="17"/>
  <c r="EM18" i="17"/>
  <c r="ED18" i="17"/>
  <c r="EY17" i="17"/>
  <c r="EX17" i="17"/>
  <c r="EO17" i="17"/>
  <c r="EN17" i="17"/>
  <c r="EM17" i="17"/>
  <c r="ED17" i="17"/>
  <c r="EY16" i="17"/>
  <c r="EX16" i="17"/>
  <c r="EO16" i="17"/>
  <c r="EN16" i="17"/>
  <c r="EM16" i="17"/>
  <c r="ED16" i="17"/>
  <c r="EY15" i="17"/>
  <c r="EX15" i="17"/>
  <c r="EO15" i="17"/>
  <c r="EN15" i="17"/>
  <c r="EM15" i="17"/>
  <c r="ED15" i="17"/>
  <c r="EY14" i="17"/>
  <c r="EX14" i="17"/>
  <c r="EO14" i="17"/>
  <c r="EN14" i="17"/>
  <c r="EM14" i="17"/>
  <c r="ED14" i="17"/>
  <c r="EY13" i="17"/>
  <c r="EX13" i="17"/>
  <c r="EO13" i="17"/>
  <c r="EN13" i="17"/>
  <c r="EM13" i="17"/>
  <c r="ED13" i="17"/>
  <c r="EY12" i="17"/>
  <c r="EX12" i="17"/>
  <c r="EO12" i="17"/>
  <c r="EN12" i="17"/>
  <c r="EM12" i="17"/>
  <c r="ED12" i="17"/>
  <c r="EY11" i="17"/>
  <c r="EX11" i="17"/>
  <c r="EO11" i="17"/>
  <c r="EN11" i="17"/>
  <c r="EM11" i="17"/>
  <c r="ED11" i="17"/>
  <c r="EY10" i="17"/>
  <c r="EX10" i="17"/>
  <c r="EO10" i="17"/>
  <c r="EN10" i="17"/>
  <c r="EM10" i="17"/>
  <c r="ED10" i="17"/>
  <c r="EY9" i="17"/>
  <c r="EX9" i="17"/>
  <c r="EO9" i="17"/>
  <c r="EN9" i="17"/>
  <c r="EM9" i="17"/>
  <c r="ED9" i="17"/>
  <c r="EY8" i="17"/>
  <c r="EX8" i="17"/>
  <c r="EO8" i="17"/>
  <c r="EN8" i="17"/>
  <c r="EM8" i="17"/>
  <c r="ED8" i="17"/>
  <c r="EY7" i="17"/>
  <c r="EX7" i="17"/>
  <c r="EO7" i="17"/>
  <c r="EN7" i="17"/>
  <c r="EM7" i="17"/>
  <c r="ED7" i="17"/>
  <c r="EY6" i="17"/>
  <c r="EX6" i="17"/>
  <c r="EO6" i="17"/>
  <c r="EN6" i="17"/>
  <c r="EM6" i="17"/>
  <c r="ED6" i="17"/>
  <c r="EY5" i="17"/>
  <c r="EX5" i="17"/>
  <c r="EO5" i="17"/>
  <c r="EN5" i="17"/>
  <c r="EM5" i="17"/>
  <c r="ED5" i="17"/>
  <c r="DS190" i="17"/>
  <c r="DH190" i="17"/>
  <c r="DS189" i="17"/>
  <c r="DH189" i="17"/>
  <c r="EC186" i="17"/>
  <c r="EB186" i="17"/>
  <c r="DS186" i="17"/>
  <c r="DR186" i="17"/>
  <c r="DQ186" i="17"/>
  <c r="DH186" i="17"/>
  <c r="EC185" i="17"/>
  <c r="EB185" i="17"/>
  <c r="DS185" i="17"/>
  <c r="DR185" i="17"/>
  <c r="DQ185" i="17"/>
  <c r="DH185" i="17"/>
  <c r="EC182" i="17"/>
  <c r="EB182" i="17"/>
  <c r="DS182" i="17"/>
  <c r="DR182" i="17"/>
  <c r="DQ182" i="17"/>
  <c r="DH182" i="17"/>
  <c r="EC181" i="17"/>
  <c r="EB181" i="17"/>
  <c r="DS181" i="17"/>
  <c r="DR181" i="17"/>
  <c r="DQ181" i="17"/>
  <c r="DH181" i="17"/>
  <c r="EC180" i="17"/>
  <c r="EB180" i="17"/>
  <c r="DS180" i="17"/>
  <c r="DR180" i="17"/>
  <c r="DQ180" i="17"/>
  <c r="DH180" i="17"/>
  <c r="EC179" i="17"/>
  <c r="EB179" i="17"/>
  <c r="DS179" i="17"/>
  <c r="DR179" i="17"/>
  <c r="DQ179" i="17"/>
  <c r="DH179" i="17"/>
  <c r="EC178" i="17"/>
  <c r="EB178" i="17"/>
  <c r="DS178" i="17"/>
  <c r="DR178" i="17"/>
  <c r="DQ178" i="17"/>
  <c r="DH178" i="17"/>
  <c r="EC177" i="17"/>
  <c r="EB177" i="17"/>
  <c r="DS177" i="17"/>
  <c r="DR177" i="17"/>
  <c r="DQ177" i="17"/>
  <c r="DH177" i="17"/>
  <c r="EC176" i="17"/>
  <c r="EB176" i="17"/>
  <c r="DS176" i="17"/>
  <c r="DR176" i="17"/>
  <c r="DQ176" i="17"/>
  <c r="DH176" i="17"/>
  <c r="EC175" i="17"/>
  <c r="EB175" i="17"/>
  <c r="DS175" i="17"/>
  <c r="DR175" i="17"/>
  <c r="DQ175" i="17"/>
  <c r="DH175" i="17"/>
  <c r="EC174" i="17"/>
  <c r="EB174" i="17"/>
  <c r="DS174" i="17"/>
  <c r="DR174" i="17"/>
  <c r="DQ174" i="17"/>
  <c r="DH174" i="17"/>
  <c r="EC173" i="17"/>
  <c r="EB173" i="17"/>
  <c r="DS173" i="17"/>
  <c r="DR173" i="17"/>
  <c r="DQ173" i="17"/>
  <c r="DH173" i="17"/>
  <c r="EC172" i="17"/>
  <c r="EB172" i="17"/>
  <c r="DS172" i="17"/>
  <c r="DR172" i="17"/>
  <c r="DQ172" i="17"/>
  <c r="DH172" i="17"/>
  <c r="EC171" i="17"/>
  <c r="EB171" i="17"/>
  <c r="DS171" i="17"/>
  <c r="DR171" i="17"/>
  <c r="DQ171" i="17"/>
  <c r="DH171" i="17"/>
  <c r="EC170" i="17"/>
  <c r="EB170" i="17"/>
  <c r="DS170" i="17"/>
  <c r="DR170" i="17"/>
  <c r="DQ170" i="17"/>
  <c r="DH170" i="17"/>
  <c r="EC169" i="17"/>
  <c r="EB169" i="17"/>
  <c r="DS169" i="17"/>
  <c r="DR169" i="17"/>
  <c r="DQ169" i="17"/>
  <c r="DH169" i="17"/>
  <c r="EC168" i="17"/>
  <c r="EB168" i="17"/>
  <c r="DS168" i="17"/>
  <c r="DR168" i="17"/>
  <c r="DQ168" i="17"/>
  <c r="DH168" i="17"/>
  <c r="EC167" i="17"/>
  <c r="EB167" i="17"/>
  <c r="DS167" i="17"/>
  <c r="DR167" i="17"/>
  <c r="DQ167" i="17"/>
  <c r="DH167" i="17"/>
  <c r="EC166" i="17"/>
  <c r="EB166" i="17"/>
  <c r="DS166" i="17"/>
  <c r="DR166" i="17"/>
  <c r="DQ166" i="17"/>
  <c r="DH166" i="17"/>
  <c r="EC165" i="17"/>
  <c r="EB165" i="17"/>
  <c r="DS165" i="17"/>
  <c r="DR165" i="17"/>
  <c r="DQ165" i="17"/>
  <c r="DH165" i="17"/>
  <c r="EC164" i="17"/>
  <c r="EB164" i="17"/>
  <c r="DS164" i="17"/>
  <c r="DR164" i="17"/>
  <c r="DQ164" i="17"/>
  <c r="DH164" i="17"/>
  <c r="EC163" i="17"/>
  <c r="EB163" i="17"/>
  <c r="DS163" i="17"/>
  <c r="DR163" i="17"/>
  <c r="DQ163" i="17"/>
  <c r="DH163" i="17"/>
  <c r="EC162" i="17"/>
  <c r="EB162" i="17"/>
  <c r="DS162" i="17"/>
  <c r="DR162" i="17"/>
  <c r="DQ162" i="17"/>
  <c r="DH162" i="17"/>
  <c r="EC161" i="17"/>
  <c r="EB161" i="17"/>
  <c r="DS161" i="17"/>
  <c r="DR161" i="17"/>
  <c r="DQ161" i="17"/>
  <c r="DH161" i="17"/>
  <c r="EC160" i="17"/>
  <c r="EB160" i="17"/>
  <c r="DS160" i="17"/>
  <c r="DR160" i="17"/>
  <c r="DQ160" i="17"/>
  <c r="DH160" i="17"/>
  <c r="EC159" i="17"/>
  <c r="EB159" i="17"/>
  <c r="DS159" i="17"/>
  <c r="DR159" i="17"/>
  <c r="DQ159" i="17"/>
  <c r="DH159" i="17"/>
  <c r="EC158" i="17"/>
  <c r="EB158" i="17"/>
  <c r="DS158" i="17"/>
  <c r="DR158" i="17"/>
  <c r="DQ158" i="17"/>
  <c r="DH158" i="17"/>
  <c r="EC157" i="17"/>
  <c r="EB157" i="17"/>
  <c r="DS157" i="17"/>
  <c r="DR157" i="17"/>
  <c r="DQ157" i="17"/>
  <c r="DH157" i="17"/>
  <c r="EC156" i="17"/>
  <c r="EB156" i="17"/>
  <c r="DS156" i="17"/>
  <c r="DR156" i="17"/>
  <c r="DQ156" i="17"/>
  <c r="DH156" i="17"/>
  <c r="EC155" i="17"/>
  <c r="EB155" i="17"/>
  <c r="DS155" i="17"/>
  <c r="DR155" i="17"/>
  <c r="DQ155" i="17"/>
  <c r="DH155" i="17"/>
  <c r="EC154" i="17"/>
  <c r="EB154" i="17"/>
  <c r="DS154" i="17"/>
  <c r="DR154" i="17"/>
  <c r="DQ154" i="17"/>
  <c r="DH154" i="17"/>
  <c r="EC153" i="17"/>
  <c r="EB153" i="17"/>
  <c r="DS153" i="17"/>
  <c r="DR153" i="17"/>
  <c r="DQ153" i="17"/>
  <c r="DH153" i="17"/>
  <c r="EC152" i="17"/>
  <c r="EB152" i="17"/>
  <c r="DS152" i="17"/>
  <c r="DR152" i="17"/>
  <c r="DQ152" i="17"/>
  <c r="DH152" i="17"/>
  <c r="EC151" i="17"/>
  <c r="EB151" i="17"/>
  <c r="DS151" i="17"/>
  <c r="DR151" i="17"/>
  <c r="DQ151" i="17"/>
  <c r="DH151" i="17"/>
  <c r="EC150" i="17"/>
  <c r="EB150" i="17"/>
  <c r="DS150" i="17"/>
  <c r="DR150" i="17"/>
  <c r="DQ150" i="17"/>
  <c r="DH150" i="17"/>
  <c r="EC149" i="17"/>
  <c r="EB149" i="17"/>
  <c r="DS149" i="17"/>
  <c r="DR149" i="17"/>
  <c r="DQ149" i="17"/>
  <c r="DH149" i="17"/>
  <c r="EC148" i="17"/>
  <c r="EB148" i="17"/>
  <c r="DS148" i="17"/>
  <c r="DR148" i="17"/>
  <c r="DQ148" i="17"/>
  <c r="DH148" i="17"/>
  <c r="EC147" i="17"/>
  <c r="EB147" i="17"/>
  <c r="DS147" i="17"/>
  <c r="DR147" i="17"/>
  <c r="DQ147" i="17"/>
  <c r="DH147" i="17"/>
  <c r="EC146" i="17"/>
  <c r="EB146" i="17"/>
  <c r="DS146" i="17"/>
  <c r="DR146" i="17"/>
  <c r="DQ146" i="17"/>
  <c r="DH146" i="17"/>
  <c r="EC145" i="17"/>
  <c r="EB145" i="17"/>
  <c r="DS145" i="17"/>
  <c r="DR145" i="17"/>
  <c r="DQ145" i="17"/>
  <c r="DH145" i="17"/>
  <c r="EC144" i="17"/>
  <c r="EB144" i="17"/>
  <c r="DS144" i="17"/>
  <c r="DR144" i="17"/>
  <c r="DQ144" i="17"/>
  <c r="DH144" i="17"/>
  <c r="EC143" i="17"/>
  <c r="EB143" i="17"/>
  <c r="DS143" i="17"/>
  <c r="DR143" i="17"/>
  <c r="DQ143" i="17"/>
  <c r="DH143" i="17"/>
  <c r="EC142" i="17"/>
  <c r="EB142" i="17"/>
  <c r="DS142" i="17"/>
  <c r="DR142" i="17"/>
  <c r="DQ142" i="17"/>
  <c r="DH142" i="17"/>
  <c r="EC141" i="17"/>
  <c r="EB141" i="17"/>
  <c r="DS141" i="17"/>
  <c r="DR141" i="17"/>
  <c r="DQ141" i="17"/>
  <c r="DH141" i="17"/>
  <c r="EC140" i="17"/>
  <c r="EB140" i="17"/>
  <c r="DS140" i="17"/>
  <c r="DR140" i="17"/>
  <c r="DQ140" i="17"/>
  <c r="DH140" i="17"/>
  <c r="EC139" i="17"/>
  <c r="EB139" i="17"/>
  <c r="DS139" i="17"/>
  <c r="DR139" i="17"/>
  <c r="DQ139" i="17"/>
  <c r="DH139" i="17"/>
  <c r="EC138" i="17"/>
  <c r="EB138" i="17"/>
  <c r="DS138" i="17"/>
  <c r="DR138" i="17"/>
  <c r="DQ138" i="17"/>
  <c r="DH138" i="17"/>
  <c r="EC137" i="17"/>
  <c r="EB137" i="17"/>
  <c r="DS137" i="17"/>
  <c r="DR137" i="17"/>
  <c r="DQ137" i="17"/>
  <c r="DH137" i="17"/>
  <c r="EC136" i="17"/>
  <c r="EB136" i="17"/>
  <c r="DS136" i="17"/>
  <c r="DR136" i="17"/>
  <c r="DQ136" i="17"/>
  <c r="DH136" i="17"/>
  <c r="EC135" i="17"/>
  <c r="EB135" i="17"/>
  <c r="DS135" i="17"/>
  <c r="DR135" i="17"/>
  <c r="DQ135" i="17"/>
  <c r="DH135" i="17"/>
  <c r="EC134" i="17"/>
  <c r="EB134" i="17"/>
  <c r="DS134" i="17"/>
  <c r="DR134" i="17"/>
  <c r="DQ134" i="17"/>
  <c r="DH134" i="17"/>
  <c r="EC133" i="17"/>
  <c r="EB133" i="17"/>
  <c r="DS133" i="17"/>
  <c r="DR133" i="17"/>
  <c r="DQ133" i="17"/>
  <c r="DH133" i="17"/>
  <c r="EC132" i="17"/>
  <c r="EB132" i="17"/>
  <c r="DS132" i="17"/>
  <c r="DR132" i="17"/>
  <c r="DQ132" i="17"/>
  <c r="DH132" i="17"/>
  <c r="EC131" i="17"/>
  <c r="EB131" i="17"/>
  <c r="DS131" i="17"/>
  <c r="DR131" i="17"/>
  <c r="DQ131" i="17"/>
  <c r="DH131" i="17"/>
  <c r="EC130" i="17"/>
  <c r="EB130" i="17"/>
  <c r="DS130" i="17"/>
  <c r="DR130" i="17"/>
  <c r="DQ130" i="17"/>
  <c r="DH130" i="17"/>
  <c r="EC129" i="17"/>
  <c r="EB129" i="17"/>
  <c r="DS129" i="17"/>
  <c r="DR129" i="17"/>
  <c r="DQ129" i="17"/>
  <c r="DH129" i="17"/>
  <c r="EC128" i="17"/>
  <c r="EB128" i="17"/>
  <c r="DS128" i="17"/>
  <c r="DR128" i="17"/>
  <c r="DQ128" i="17"/>
  <c r="DH128" i="17"/>
  <c r="EC127" i="17"/>
  <c r="EB127" i="17"/>
  <c r="DS127" i="17"/>
  <c r="DR127" i="17"/>
  <c r="DQ127" i="17"/>
  <c r="DH127" i="17"/>
  <c r="EC126" i="17"/>
  <c r="EB126" i="17"/>
  <c r="DS126" i="17"/>
  <c r="DR126" i="17"/>
  <c r="DQ126" i="17"/>
  <c r="DH126" i="17"/>
  <c r="EC125" i="17"/>
  <c r="EB125" i="17"/>
  <c r="DS125" i="17"/>
  <c r="DR125" i="17"/>
  <c r="DQ125" i="17"/>
  <c r="DH125" i="17"/>
  <c r="EC124" i="17"/>
  <c r="EB124" i="17"/>
  <c r="DS124" i="17"/>
  <c r="DR124" i="17"/>
  <c r="DQ124" i="17"/>
  <c r="DH124" i="17"/>
  <c r="EC123" i="17"/>
  <c r="EB123" i="17"/>
  <c r="DS123" i="17"/>
  <c r="DR123" i="17"/>
  <c r="DQ123" i="17"/>
  <c r="DH123" i="17"/>
  <c r="EC122" i="17"/>
  <c r="EB122" i="17"/>
  <c r="DS122" i="17"/>
  <c r="DR122" i="17"/>
  <c r="DQ122" i="17"/>
  <c r="DH122" i="17"/>
  <c r="EC121" i="17"/>
  <c r="EB121" i="17"/>
  <c r="DS121" i="17"/>
  <c r="DR121" i="17"/>
  <c r="DQ121" i="17"/>
  <c r="DH121" i="17"/>
  <c r="EC120" i="17"/>
  <c r="EB120" i="17"/>
  <c r="DS120" i="17"/>
  <c r="DR120" i="17"/>
  <c r="DQ120" i="17"/>
  <c r="DH120" i="17"/>
  <c r="EC119" i="17"/>
  <c r="EB119" i="17"/>
  <c r="DS119" i="17"/>
  <c r="DR119" i="17"/>
  <c r="DQ119" i="17"/>
  <c r="DH119" i="17"/>
  <c r="EC118" i="17"/>
  <c r="EB118" i="17"/>
  <c r="DS118" i="17"/>
  <c r="DR118" i="17"/>
  <c r="DQ118" i="17"/>
  <c r="DH118" i="17"/>
  <c r="EC117" i="17"/>
  <c r="EB117" i="17"/>
  <c r="DS117" i="17"/>
  <c r="DR117" i="17"/>
  <c r="DQ117" i="17"/>
  <c r="DH117" i="17"/>
  <c r="EC116" i="17"/>
  <c r="EB116" i="17"/>
  <c r="DS116" i="17"/>
  <c r="DR116" i="17"/>
  <c r="DQ116" i="17"/>
  <c r="DH116" i="17"/>
  <c r="EC115" i="17"/>
  <c r="EB115" i="17"/>
  <c r="DS115" i="17"/>
  <c r="DR115" i="17"/>
  <c r="DQ115" i="17"/>
  <c r="DH115" i="17"/>
  <c r="EC114" i="17"/>
  <c r="EB114" i="17"/>
  <c r="DS114" i="17"/>
  <c r="DR114" i="17"/>
  <c r="DQ114" i="17"/>
  <c r="DH114" i="17"/>
  <c r="EC113" i="17"/>
  <c r="EB113" i="17"/>
  <c r="DS113" i="17"/>
  <c r="DR113" i="17"/>
  <c r="DQ113" i="17"/>
  <c r="DH113" i="17"/>
  <c r="EC112" i="17"/>
  <c r="EB112" i="17"/>
  <c r="DS112" i="17"/>
  <c r="DR112" i="17"/>
  <c r="DQ112" i="17"/>
  <c r="DH112" i="17"/>
  <c r="EC111" i="17"/>
  <c r="EB111" i="17"/>
  <c r="DS111" i="17"/>
  <c r="DR111" i="17"/>
  <c r="DQ111" i="17"/>
  <c r="DH111" i="17"/>
  <c r="EC110" i="17"/>
  <c r="EB110" i="17"/>
  <c r="DS110" i="17"/>
  <c r="DR110" i="17"/>
  <c r="DQ110" i="17"/>
  <c r="DH110" i="17"/>
  <c r="EC109" i="17"/>
  <c r="EB109" i="17"/>
  <c r="DS109" i="17"/>
  <c r="DR109" i="17"/>
  <c r="DQ109" i="17"/>
  <c r="DH109" i="17"/>
  <c r="EC108" i="17"/>
  <c r="EB108" i="17"/>
  <c r="DS108" i="17"/>
  <c r="DR108" i="17"/>
  <c r="DQ108" i="17"/>
  <c r="DH108" i="17"/>
  <c r="EC107" i="17"/>
  <c r="EB107" i="17"/>
  <c r="DS107" i="17"/>
  <c r="DR107" i="17"/>
  <c r="DQ107" i="17"/>
  <c r="DH107" i="17"/>
  <c r="EC106" i="17"/>
  <c r="EB106" i="17"/>
  <c r="DS106" i="17"/>
  <c r="DR106" i="17"/>
  <c r="DQ106" i="17"/>
  <c r="DH106" i="17"/>
  <c r="EC105" i="17"/>
  <c r="EB105" i="17"/>
  <c r="DS105" i="17"/>
  <c r="DR105" i="17"/>
  <c r="DQ105" i="17"/>
  <c r="DH105" i="17"/>
  <c r="EC104" i="17"/>
  <c r="EB104" i="17"/>
  <c r="DS104" i="17"/>
  <c r="DR104" i="17"/>
  <c r="DQ104" i="17"/>
  <c r="DH104" i="17"/>
  <c r="EC103" i="17"/>
  <c r="EB103" i="17"/>
  <c r="DS103" i="17"/>
  <c r="DR103" i="17"/>
  <c r="DQ103" i="17"/>
  <c r="DH103" i="17"/>
  <c r="EC102" i="17"/>
  <c r="EB102" i="17"/>
  <c r="DS102" i="17"/>
  <c r="DR102" i="17"/>
  <c r="DQ102" i="17"/>
  <c r="DH102" i="17"/>
  <c r="EC101" i="17"/>
  <c r="EB101" i="17"/>
  <c r="DS101" i="17"/>
  <c r="DR101" i="17"/>
  <c r="DQ101" i="17"/>
  <c r="DH101" i="17"/>
  <c r="EC100" i="17"/>
  <c r="EB100" i="17"/>
  <c r="DS100" i="17"/>
  <c r="DR100" i="17"/>
  <c r="DQ100" i="17"/>
  <c r="DH100" i="17"/>
  <c r="EC99" i="17"/>
  <c r="EB99" i="17"/>
  <c r="DS99" i="17"/>
  <c r="DR99" i="17"/>
  <c r="DQ99" i="17"/>
  <c r="DH99" i="17"/>
  <c r="EC98" i="17"/>
  <c r="EB98" i="17"/>
  <c r="DS98" i="17"/>
  <c r="DR98" i="17"/>
  <c r="DQ98" i="17"/>
  <c r="DH98" i="17"/>
  <c r="EC97" i="17"/>
  <c r="EB97" i="17"/>
  <c r="DS97" i="17"/>
  <c r="DR97" i="17"/>
  <c r="DQ97" i="17"/>
  <c r="DH97" i="17"/>
  <c r="EC96" i="17"/>
  <c r="EB96" i="17"/>
  <c r="DS96" i="17"/>
  <c r="DR96" i="17"/>
  <c r="DQ96" i="17"/>
  <c r="DH96" i="17"/>
  <c r="EC95" i="17"/>
  <c r="EB95" i="17"/>
  <c r="DS95" i="17"/>
  <c r="DR95" i="17"/>
  <c r="DQ95" i="17"/>
  <c r="DH95" i="17"/>
  <c r="EC94" i="17"/>
  <c r="EB94" i="17"/>
  <c r="DS94" i="17"/>
  <c r="DR94" i="17"/>
  <c r="DQ94" i="17"/>
  <c r="DH94" i="17"/>
  <c r="EC93" i="17"/>
  <c r="EB93" i="17"/>
  <c r="DS93" i="17"/>
  <c r="DR93" i="17"/>
  <c r="DQ93" i="17"/>
  <c r="DH93" i="17"/>
  <c r="EC92" i="17"/>
  <c r="EB92" i="17"/>
  <c r="DS92" i="17"/>
  <c r="DR92" i="17"/>
  <c r="DQ92" i="17"/>
  <c r="DH92" i="17"/>
  <c r="EC91" i="17"/>
  <c r="EB91" i="17"/>
  <c r="DS91" i="17"/>
  <c r="DR91" i="17"/>
  <c r="DQ91" i="17"/>
  <c r="DH91" i="17"/>
  <c r="EC90" i="17"/>
  <c r="EB90" i="17"/>
  <c r="DS90" i="17"/>
  <c r="DR90" i="17"/>
  <c r="DQ90" i="17"/>
  <c r="DH90" i="17"/>
  <c r="EC89" i="17"/>
  <c r="EB89" i="17"/>
  <c r="DS89" i="17"/>
  <c r="DR89" i="17"/>
  <c r="DQ89" i="17"/>
  <c r="DH89" i="17"/>
  <c r="EC88" i="17"/>
  <c r="EB88" i="17"/>
  <c r="DS88" i="17"/>
  <c r="DR88" i="17"/>
  <c r="DQ88" i="17"/>
  <c r="DH88" i="17"/>
  <c r="EC87" i="17"/>
  <c r="EB87" i="17"/>
  <c r="DS87" i="17"/>
  <c r="DR87" i="17"/>
  <c r="DQ87" i="17"/>
  <c r="DH87" i="17"/>
  <c r="EC86" i="17"/>
  <c r="EB86" i="17"/>
  <c r="DS86" i="17"/>
  <c r="DR86" i="17"/>
  <c r="DQ86" i="17"/>
  <c r="DH86" i="17"/>
  <c r="EC85" i="17"/>
  <c r="EB85" i="17"/>
  <c r="DS85" i="17"/>
  <c r="DR85" i="17"/>
  <c r="DQ85" i="17"/>
  <c r="DH85" i="17"/>
  <c r="EC84" i="17"/>
  <c r="EB84" i="17"/>
  <c r="DS84" i="17"/>
  <c r="DR84" i="17"/>
  <c r="DQ84" i="17"/>
  <c r="DH84" i="17"/>
  <c r="EC83" i="17"/>
  <c r="EB83" i="17"/>
  <c r="DS83" i="17"/>
  <c r="DR83" i="17"/>
  <c r="DQ83" i="17"/>
  <c r="DH83" i="17"/>
  <c r="EC82" i="17"/>
  <c r="EB82" i="17"/>
  <c r="DS82" i="17"/>
  <c r="DR82" i="17"/>
  <c r="DQ82" i="17"/>
  <c r="DH82" i="17"/>
  <c r="EC81" i="17"/>
  <c r="EB81" i="17"/>
  <c r="DS81" i="17"/>
  <c r="DR81" i="17"/>
  <c r="DQ81" i="17"/>
  <c r="DH81" i="17"/>
  <c r="EC80" i="17"/>
  <c r="EB80" i="17"/>
  <c r="DS80" i="17"/>
  <c r="DR80" i="17"/>
  <c r="DQ80" i="17"/>
  <c r="DH80" i="17"/>
  <c r="EC79" i="17"/>
  <c r="EB79" i="17"/>
  <c r="DS79" i="17"/>
  <c r="DR79" i="17"/>
  <c r="DQ79" i="17"/>
  <c r="DH79" i="17"/>
  <c r="EC78" i="17"/>
  <c r="EB78" i="17"/>
  <c r="DS78" i="17"/>
  <c r="DR78" i="17"/>
  <c r="DQ78" i="17"/>
  <c r="DH78" i="17"/>
  <c r="EC77" i="17"/>
  <c r="EB77" i="17"/>
  <c r="DS77" i="17"/>
  <c r="DR77" i="17"/>
  <c r="DQ77" i="17"/>
  <c r="DH77" i="17"/>
  <c r="EC76" i="17"/>
  <c r="EB76" i="17"/>
  <c r="DS76" i="17"/>
  <c r="DR76" i="17"/>
  <c r="DQ76" i="17"/>
  <c r="DH76" i="17"/>
  <c r="EC75" i="17"/>
  <c r="EB75" i="17"/>
  <c r="DS75" i="17"/>
  <c r="DR75" i="17"/>
  <c r="DQ75" i="17"/>
  <c r="DH75" i="17"/>
  <c r="EC74" i="17"/>
  <c r="EB74" i="17"/>
  <c r="DS74" i="17"/>
  <c r="DR74" i="17"/>
  <c r="DQ74" i="17"/>
  <c r="DH74" i="17"/>
  <c r="EC73" i="17"/>
  <c r="EB73" i="17"/>
  <c r="DS73" i="17"/>
  <c r="DR73" i="17"/>
  <c r="DQ73" i="17"/>
  <c r="DH73" i="17"/>
  <c r="EC72" i="17"/>
  <c r="EB72" i="17"/>
  <c r="DS72" i="17"/>
  <c r="DR72" i="17"/>
  <c r="DQ72" i="17"/>
  <c r="DH72" i="17"/>
  <c r="EC71" i="17"/>
  <c r="EB71" i="17"/>
  <c r="DS71" i="17"/>
  <c r="DR71" i="17"/>
  <c r="DQ71" i="17"/>
  <c r="DH71" i="17"/>
  <c r="EC70" i="17"/>
  <c r="EB70" i="17"/>
  <c r="DS70" i="17"/>
  <c r="DR70" i="17"/>
  <c r="DQ70" i="17"/>
  <c r="DH70" i="17"/>
  <c r="EC69" i="17"/>
  <c r="EB69" i="17"/>
  <c r="DS69" i="17"/>
  <c r="DR69" i="17"/>
  <c r="DQ69" i="17"/>
  <c r="DH69" i="17"/>
  <c r="EC68" i="17"/>
  <c r="EB68" i="17"/>
  <c r="DS68" i="17"/>
  <c r="DR68" i="17"/>
  <c r="DQ68" i="17"/>
  <c r="DH68" i="17"/>
  <c r="EC67" i="17"/>
  <c r="EB67" i="17"/>
  <c r="DS67" i="17"/>
  <c r="DR67" i="17"/>
  <c r="DQ67" i="17"/>
  <c r="DH67" i="17"/>
  <c r="EC66" i="17"/>
  <c r="EB66" i="17"/>
  <c r="DS66" i="17"/>
  <c r="DR66" i="17"/>
  <c r="DQ66" i="17"/>
  <c r="DH66" i="17"/>
  <c r="EC65" i="17"/>
  <c r="EB65" i="17"/>
  <c r="DS65" i="17"/>
  <c r="DR65" i="17"/>
  <c r="DQ65" i="17"/>
  <c r="DH65" i="17"/>
  <c r="EC64" i="17"/>
  <c r="EB64" i="17"/>
  <c r="DS64" i="17"/>
  <c r="DR64" i="17"/>
  <c r="DQ64" i="17"/>
  <c r="DH64" i="17"/>
  <c r="EC63" i="17"/>
  <c r="EB63" i="17"/>
  <c r="DS63" i="17"/>
  <c r="DR63" i="17"/>
  <c r="DQ63" i="17"/>
  <c r="DH63" i="17"/>
  <c r="EC62" i="17"/>
  <c r="EB62" i="17"/>
  <c r="DS62" i="17"/>
  <c r="DR62" i="17"/>
  <c r="DQ62" i="17"/>
  <c r="DH62" i="17"/>
  <c r="EC61" i="17"/>
  <c r="EB61" i="17"/>
  <c r="DS61" i="17"/>
  <c r="DR61" i="17"/>
  <c r="DQ61" i="17"/>
  <c r="DH61" i="17"/>
  <c r="EC60" i="17"/>
  <c r="EB60" i="17"/>
  <c r="DS60" i="17"/>
  <c r="DR60" i="17"/>
  <c r="DQ60" i="17"/>
  <c r="DH60" i="17"/>
  <c r="EC59" i="17"/>
  <c r="EB59" i="17"/>
  <c r="DS59" i="17"/>
  <c r="DR59" i="17"/>
  <c r="DQ59" i="17"/>
  <c r="DH59" i="17"/>
  <c r="EC58" i="17"/>
  <c r="EB58" i="17"/>
  <c r="DS58" i="17"/>
  <c r="DR58" i="17"/>
  <c r="DQ58" i="17"/>
  <c r="DH58" i="17"/>
  <c r="EC57" i="17"/>
  <c r="EB57" i="17"/>
  <c r="DS57" i="17"/>
  <c r="DR57" i="17"/>
  <c r="DQ57" i="17"/>
  <c r="DH57" i="17"/>
  <c r="EC56" i="17"/>
  <c r="EB56" i="17"/>
  <c r="DS56" i="17"/>
  <c r="DR56" i="17"/>
  <c r="DQ56" i="17"/>
  <c r="DH56" i="17"/>
  <c r="EC55" i="17"/>
  <c r="EB55" i="17"/>
  <c r="DS55" i="17"/>
  <c r="DR55" i="17"/>
  <c r="DQ55" i="17"/>
  <c r="DH55" i="17"/>
  <c r="EC54" i="17"/>
  <c r="EB54" i="17"/>
  <c r="DS54" i="17"/>
  <c r="DR54" i="17"/>
  <c r="DQ54" i="17"/>
  <c r="DH54" i="17"/>
  <c r="EC53" i="17"/>
  <c r="EB53" i="17"/>
  <c r="DS53" i="17"/>
  <c r="DR53" i="17"/>
  <c r="DQ53" i="17"/>
  <c r="DH53" i="17"/>
  <c r="EC52" i="17"/>
  <c r="EB52" i="17"/>
  <c r="DS52" i="17"/>
  <c r="DR52" i="17"/>
  <c r="DQ52" i="17"/>
  <c r="DH52" i="17"/>
  <c r="EC51" i="17"/>
  <c r="EB51" i="17"/>
  <c r="DS51" i="17"/>
  <c r="DR51" i="17"/>
  <c r="DQ51" i="17"/>
  <c r="DH51" i="17"/>
  <c r="EC50" i="17"/>
  <c r="EB50" i="17"/>
  <c r="DS50" i="17"/>
  <c r="DR50" i="17"/>
  <c r="DQ50" i="17"/>
  <c r="DH50" i="17"/>
  <c r="EC49" i="17"/>
  <c r="EB49" i="17"/>
  <c r="DS49" i="17"/>
  <c r="DR49" i="17"/>
  <c r="DQ49" i="17"/>
  <c r="DH49" i="17"/>
  <c r="EC48" i="17"/>
  <c r="EB48" i="17"/>
  <c r="DS48" i="17"/>
  <c r="DR48" i="17"/>
  <c r="DQ48" i="17"/>
  <c r="DH48" i="17"/>
  <c r="EC47" i="17"/>
  <c r="EB47" i="17"/>
  <c r="DS47" i="17"/>
  <c r="DR47" i="17"/>
  <c r="DQ47" i="17"/>
  <c r="DH47" i="17"/>
  <c r="EC46" i="17"/>
  <c r="EB46" i="17"/>
  <c r="DS46" i="17"/>
  <c r="DR46" i="17"/>
  <c r="DQ46" i="17"/>
  <c r="DH46" i="17"/>
  <c r="EC45" i="17"/>
  <c r="EB45" i="17"/>
  <c r="DS45" i="17"/>
  <c r="DR45" i="17"/>
  <c r="DQ45" i="17"/>
  <c r="DH45" i="17"/>
  <c r="EC44" i="17"/>
  <c r="EB44" i="17"/>
  <c r="DS44" i="17"/>
  <c r="DR44" i="17"/>
  <c r="DQ44" i="17"/>
  <c r="DH44" i="17"/>
  <c r="EC43" i="17"/>
  <c r="EB43" i="17"/>
  <c r="DS43" i="17"/>
  <c r="DR43" i="17"/>
  <c r="DQ43" i="17"/>
  <c r="DH43" i="17"/>
  <c r="EC42" i="17"/>
  <c r="EB42" i="17"/>
  <c r="DS42" i="17"/>
  <c r="DR42" i="17"/>
  <c r="DQ42" i="17"/>
  <c r="DH42" i="17"/>
  <c r="EC41" i="17"/>
  <c r="EB41" i="17"/>
  <c r="DS41" i="17"/>
  <c r="DR41" i="17"/>
  <c r="DQ41" i="17"/>
  <c r="DH41" i="17"/>
  <c r="EC40" i="17"/>
  <c r="EB40" i="17"/>
  <c r="DS40" i="17"/>
  <c r="DR40" i="17"/>
  <c r="DQ40" i="17"/>
  <c r="DH40" i="17"/>
  <c r="EC39" i="17"/>
  <c r="EB39" i="17"/>
  <c r="DS39" i="17"/>
  <c r="DR39" i="17"/>
  <c r="DQ39" i="17"/>
  <c r="DH39" i="17"/>
  <c r="EC38" i="17"/>
  <c r="EB38" i="17"/>
  <c r="DS38" i="17"/>
  <c r="DR38" i="17"/>
  <c r="DQ38" i="17"/>
  <c r="DH38" i="17"/>
  <c r="EC37" i="17"/>
  <c r="EB37" i="17"/>
  <c r="DS37" i="17"/>
  <c r="DR37" i="17"/>
  <c r="DQ37" i="17"/>
  <c r="DH37" i="17"/>
  <c r="EC36" i="17"/>
  <c r="EB36" i="17"/>
  <c r="DS36" i="17"/>
  <c r="DR36" i="17"/>
  <c r="DQ36" i="17"/>
  <c r="DH36" i="17"/>
  <c r="EC35" i="17"/>
  <c r="EB35" i="17"/>
  <c r="DS35" i="17"/>
  <c r="DR35" i="17"/>
  <c r="DQ35" i="17"/>
  <c r="DH35" i="17"/>
  <c r="EC34" i="17"/>
  <c r="EB34" i="17"/>
  <c r="DS34" i="17"/>
  <c r="DR34" i="17"/>
  <c r="DQ34" i="17"/>
  <c r="DH34" i="17"/>
  <c r="EC33" i="17"/>
  <c r="EB33" i="17"/>
  <c r="DS33" i="17"/>
  <c r="DR33" i="17"/>
  <c r="DQ33" i="17"/>
  <c r="DH33" i="17"/>
  <c r="EC32" i="17"/>
  <c r="EB32" i="17"/>
  <c r="DS32" i="17"/>
  <c r="DR32" i="17"/>
  <c r="DQ32" i="17"/>
  <c r="DH32" i="17"/>
  <c r="EC31" i="17"/>
  <c r="EB31" i="17"/>
  <c r="DS31" i="17"/>
  <c r="DR31" i="17"/>
  <c r="DQ31" i="17"/>
  <c r="DH31" i="17"/>
  <c r="EC30" i="17"/>
  <c r="EB30" i="17"/>
  <c r="DS30" i="17"/>
  <c r="DR30" i="17"/>
  <c r="DQ30" i="17"/>
  <c r="DH30" i="17"/>
  <c r="EC29" i="17"/>
  <c r="EB29" i="17"/>
  <c r="DS29" i="17"/>
  <c r="DR29" i="17"/>
  <c r="DQ29" i="17"/>
  <c r="DH29" i="17"/>
  <c r="EC28" i="17"/>
  <c r="EB28" i="17"/>
  <c r="DS28" i="17"/>
  <c r="DR28" i="17"/>
  <c r="DQ28" i="17"/>
  <c r="DH28" i="17"/>
  <c r="EC27" i="17"/>
  <c r="EB27" i="17"/>
  <c r="DS27" i="17"/>
  <c r="DR27" i="17"/>
  <c r="DQ27" i="17"/>
  <c r="DH27" i="17"/>
  <c r="EC26" i="17"/>
  <c r="EB26" i="17"/>
  <c r="DS26" i="17"/>
  <c r="DR26" i="17"/>
  <c r="DQ26" i="17"/>
  <c r="DH26" i="17"/>
  <c r="EC25" i="17"/>
  <c r="EB25" i="17"/>
  <c r="DS25" i="17"/>
  <c r="DR25" i="17"/>
  <c r="DQ25" i="17"/>
  <c r="DH25" i="17"/>
  <c r="EC24" i="17"/>
  <c r="EB24" i="17"/>
  <c r="DS24" i="17"/>
  <c r="DR24" i="17"/>
  <c r="DQ24" i="17"/>
  <c r="DH24" i="17"/>
  <c r="EC23" i="17"/>
  <c r="EB23" i="17"/>
  <c r="DS23" i="17"/>
  <c r="DR23" i="17"/>
  <c r="DQ23" i="17"/>
  <c r="DH23" i="17"/>
  <c r="EC22" i="17"/>
  <c r="EB22" i="17"/>
  <c r="DS22" i="17"/>
  <c r="DR22" i="17"/>
  <c r="DQ22" i="17"/>
  <c r="DH22" i="17"/>
  <c r="EC21" i="17"/>
  <c r="EB21" i="17"/>
  <c r="DS21" i="17"/>
  <c r="DR21" i="17"/>
  <c r="DQ21" i="17"/>
  <c r="DH21" i="17"/>
  <c r="EC20" i="17"/>
  <c r="EB20" i="17"/>
  <c r="DS20" i="17"/>
  <c r="DR20" i="17"/>
  <c r="DQ20" i="17"/>
  <c r="DH20" i="17"/>
  <c r="EC19" i="17"/>
  <c r="EB19" i="17"/>
  <c r="DS19" i="17"/>
  <c r="DR19" i="17"/>
  <c r="DQ19" i="17"/>
  <c r="DH19" i="17"/>
  <c r="EC18" i="17"/>
  <c r="EB18" i="17"/>
  <c r="DS18" i="17"/>
  <c r="DR18" i="17"/>
  <c r="DQ18" i="17"/>
  <c r="DH18" i="17"/>
  <c r="EC17" i="17"/>
  <c r="EB17" i="17"/>
  <c r="DS17" i="17"/>
  <c r="DR17" i="17"/>
  <c r="DQ17" i="17"/>
  <c r="DH17" i="17"/>
  <c r="EC16" i="17"/>
  <c r="EB16" i="17"/>
  <c r="DS16" i="17"/>
  <c r="DR16" i="17"/>
  <c r="DQ16" i="17"/>
  <c r="DH16" i="17"/>
  <c r="EC15" i="17"/>
  <c r="EB15" i="17"/>
  <c r="DS15" i="17"/>
  <c r="DR15" i="17"/>
  <c r="DQ15" i="17"/>
  <c r="DH15" i="17"/>
  <c r="EC14" i="17"/>
  <c r="EB14" i="17"/>
  <c r="DS14" i="17"/>
  <c r="DR14" i="17"/>
  <c r="DQ14" i="17"/>
  <c r="DH14" i="17"/>
  <c r="EC13" i="17"/>
  <c r="EB13" i="17"/>
  <c r="DS13" i="17"/>
  <c r="DR13" i="17"/>
  <c r="DQ13" i="17"/>
  <c r="DH13" i="17"/>
  <c r="EC12" i="17"/>
  <c r="EB12" i="17"/>
  <c r="DS12" i="17"/>
  <c r="DR12" i="17"/>
  <c r="DQ12" i="17"/>
  <c r="DH12" i="17"/>
  <c r="EC11" i="17"/>
  <c r="EB11" i="17"/>
  <c r="DS11" i="17"/>
  <c r="DR11" i="17"/>
  <c r="DQ11" i="17"/>
  <c r="DH11" i="17"/>
  <c r="EC10" i="17"/>
  <c r="EB10" i="17"/>
  <c r="DS10" i="17"/>
  <c r="DR10" i="17"/>
  <c r="DQ10" i="17"/>
  <c r="DH10" i="17"/>
  <c r="EC9" i="17"/>
  <c r="EB9" i="17"/>
  <c r="DS9" i="17"/>
  <c r="DR9" i="17"/>
  <c r="DQ9" i="17"/>
  <c r="DH9" i="17"/>
  <c r="EC8" i="17"/>
  <c r="EB8" i="17"/>
  <c r="DS8" i="17"/>
  <c r="DR8" i="17"/>
  <c r="DQ8" i="17"/>
  <c r="DH8" i="17"/>
  <c r="EC7" i="17"/>
  <c r="EB7" i="17"/>
  <c r="DS7" i="17"/>
  <c r="DR7" i="17"/>
  <c r="DQ7" i="17"/>
  <c r="DH7" i="17"/>
  <c r="EC6" i="17"/>
  <c r="EB6" i="17"/>
  <c r="DS6" i="17"/>
  <c r="DR6" i="17"/>
  <c r="DQ6" i="17"/>
  <c r="DH6" i="17"/>
  <c r="EC5" i="17"/>
  <c r="EB5" i="17"/>
  <c r="DS5" i="17"/>
  <c r="DR5" i="17"/>
  <c r="DQ5" i="17"/>
  <c r="DH5" i="17"/>
  <c r="CL189" i="17"/>
  <c r="CW189" i="17"/>
  <c r="CL190" i="17"/>
  <c r="CW190" i="17"/>
  <c r="CL185" i="17"/>
  <c r="CU185" i="17"/>
  <c r="CV185" i="17"/>
  <c r="CW185" i="17"/>
  <c r="DF185" i="17"/>
  <c r="DG185" i="17"/>
  <c r="CL186" i="17"/>
  <c r="CU186" i="17"/>
  <c r="CV186" i="17"/>
  <c r="CW186" i="17"/>
  <c r="DF186" i="17"/>
  <c r="DG186" i="17"/>
  <c r="CL5" i="17"/>
  <c r="CU5" i="17"/>
  <c r="CV5" i="17"/>
  <c r="CW5" i="17"/>
  <c r="DF5" i="17"/>
  <c r="DG5" i="17"/>
  <c r="CL6" i="17"/>
  <c r="CU6" i="17"/>
  <c r="CV6" i="17"/>
  <c r="CW6" i="17"/>
  <c r="DF6" i="17"/>
  <c r="DG6" i="17"/>
  <c r="CL7" i="17"/>
  <c r="CU7" i="17"/>
  <c r="CV7" i="17"/>
  <c r="CW7" i="17"/>
  <c r="DF7" i="17"/>
  <c r="DG7" i="17"/>
  <c r="CL8" i="17"/>
  <c r="CU8" i="17"/>
  <c r="CV8" i="17"/>
  <c r="CW8" i="17"/>
  <c r="DF8" i="17"/>
  <c r="DG8" i="17"/>
  <c r="CL9" i="17"/>
  <c r="CU9" i="17"/>
  <c r="CV9" i="17"/>
  <c r="CW9" i="17"/>
  <c r="DF9" i="17"/>
  <c r="DG9" i="17"/>
  <c r="CL10" i="17"/>
  <c r="CU10" i="17"/>
  <c r="CV10" i="17"/>
  <c r="CW10" i="17"/>
  <c r="DF10" i="17"/>
  <c r="DG10" i="17"/>
  <c r="CL11" i="17"/>
  <c r="CU11" i="17"/>
  <c r="CV11" i="17"/>
  <c r="CW11" i="17"/>
  <c r="DF11" i="17"/>
  <c r="DG11" i="17"/>
  <c r="CL12" i="17"/>
  <c r="CU12" i="17"/>
  <c r="CV12" i="17"/>
  <c r="CW12" i="17"/>
  <c r="DF12" i="17"/>
  <c r="DG12" i="17"/>
  <c r="CL13" i="17"/>
  <c r="CU13" i="17"/>
  <c r="CV13" i="17"/>
  <c r="CW13" i="17"/>
  <c r="DF13" i="17"/>
  <c r="DG13" i="17"/>
  <c r="CL14" i="17"/>
  <c r="CU14" i="17"/>
  <c r="CV14" i="17"/>
  <c r="CW14" i="17"/>
  <c r="DF14" i="17"/>
  <c r="DG14" i="17"/>
  <c r="CL15" i="17"/>
  <c r="CU15" i="17"/>
  <c r="CV15" i="17"/>
  <c r="CW15" i="17"/>
  <c r="DF15" i="17"/>
  <c r="DG15" i="17"/>
  <c r="CL16" i="17"/>
  <c r="CU16" i="17"/>
  <c r="CV16" i="17"/>
  <c r="CW16" i="17"/>
  <c r="DF16" i="17"/>
  <c r="DG16" i="17"/>
  <c r="CL17" i="17"/>
  <c r="CU17" i="17"/>
  <c r="CV17" i="17"/>
  <c r="CW17" i="17"/>
  <c r="DF17" i="17"/>
  <c r="DG17" i="17"/>
  <c r="CL18" i="17"/>
  <c r="CU18" i="17"/>
  <c r="CV18" i="17"/>
  <c r="CW18" i="17"/>
  <c r="DF18" i="17"/>
  <c r="DG18" i="17"/>
  <c r="CL19" i="17"/>
  <c r="CU19" i="17"/>
  <c r="CV19" i="17"/>
  <c r="CW19" i="17"/>
  <c r="DF19" i="17"/>
  <c r="DG19" i="17"/>
  <c r="CL20" i="17"/>
  <c r="CU20" i="17"/>
  <c r="CV20" i="17"/>
  <c r="CW20" i="17"/>
  <c r="DF20" i="17"/>
  <c r="DG20" i="17"/>
  <c r="CL21" i="17"/>
  <c r="CU21" i="17"/>
  <c r="CV21" i="17"/>
  <c r="CW21" i="17"/>
  <c r="DF21" i="17"/>
  <c r="DG21" i="17"/>
  <c r="CL22" i="17"/>
  <c r="CU22" i="17"/>
  <c r="CV22" i="17"/>
  <c r="CW22" i="17"/>
  <c r="DF22" i="17"/>
  <c r="DG22" i="17"/>
  <c r="CL23" i="17"/>
  <c r="CU23" i="17"/>
  <c r="CV23" i="17"/>
  <c r="CW23" i="17"/>
  <c r="DF23" i="17"/>
  <c r="DG23" i="17"/>
  <c r="CL24" i="17"/>
  <c r="CU24" i="17"/>
  <c r="CV24" i="17"/>
  <c r="CW24" i="17"/>
  <c r="DF24" i="17"/>
  <c r="DG24" i="17"/>
  <c r="CL25" i="17"/>
  <c r="CU25" i="17"/>
  <c r="CV25" i="17"/>
  <c r="CW25" i="17"/>
  <c r="DF25" i="17"/>
  <c r="DG25" i="17"/>
  <c r="CL26" i="17"/>
  <c r="CU26" i="17"/>
  <c r="CV26" i="17"/>
  <c r="CW26" i="17"/>
  <c r="DF26" i="17"/>
  <c r="DG26" i="17"/>
  <c r="CL27" i="17"/>
  <c r="CU27" i="17"/>
  <c r="CV27" i="17"/>
  <c r="CW27" i="17"/>
  <c r="DF27" i="17"/>
  <c r="DG27" i="17"/>
  <c r="CL28" i="17"/>
  <c r="CU28" i="17"/>
  <c r="CV28" i="17"/>
  <c r="CW28" i="17"/>
  <c r="DF28" i="17"/>
  <c r="DG28" i="17"/>
  <c r="CL29" i="17"/>
  <c r="CU29" i="17"/>
  <c r="CV29" i="17"/>
  <c r="CW29" i="17"/>
  <c r="DF29" i="17"/>
  <c r="DG29" i="17"/>
  <c r="CL30" i="17"/>
  <c r="CU30" i="17"/>
  <c r="CV30" i="17"/>
  <c r="CW30" i="17"/>
  <c r="DF30" i="17"/>
  <c r="DG30" i="17"/>
  <c r="CL31" i="17"/>
  <c r="CU31" i="17"/>
  <c r="CV31" i="17"/>
  <c r="CW31" i="17"/>
  <c r="DF31" i="17"/>
  <c r="DG31" i="17"/>
  <c r="CL32" i="17"/>
  <c r="CU32" i="17"/>
  <c r="CV32" i="17"/>
  <c r="CW32" i="17"/>
  <c r="DF32" i="17"/>
  <c r="DG32" i="17"/>
  <c r="CL33" i="17"/>
  <c r="CU33" i="17"/>
  <c r="CV33" i="17"/>
  <c r="CW33" i="17"/>
  <c r="DF33" i="17"/>
  <c r="DG33" i="17"/>
  <c r="CL34" i="17"/>
  <c r="CU34" i="17"/>
  <c r="CV34" i="17"/>
  <c r="CW34" i="17"/>
  <c r="DF34" i="17"/>
  <c r="DG34" i="17"/>
  <c r="CL35" i="17"/>
  <c r="CU35" i="17"/>
  <c r="CV35" i="17"/>
  <c r="CW35" i="17"/>
  <c r="DF35" i="17"/>
  <c r="DG35" i="17"/>
  <c r="CL36" i="17"/>
  <c r="CU36" i="17"/>
  <c r="CV36" i="17"/>
  <c r="CW36" i="17"/>
  <c r="DF36" i="17"/>
  <c r="DG36" i="17"/>
  <c r="CL37" i="17"/>
  <c r="CU37" i="17"/>
  <c r="CV37" i="17"/>
  <c r="CW37" i="17"/>
  <c r="DF37" i="17"/>
  <c r="DG37" i="17"/>
  <c r="CL38" i="17"/>
  <c r="CU38" i="17"/>
  <c r="CV38" i="17"/>
  <c r="CW38" i="17"/>
  <c r="DF38" i="17"/>
  <c r="DG38" i="17"/>
  <c r="CL39" i="17"/>
  <c r="CU39" i="17"/>
  <c r="CV39" i="17"/>
  <c r="CW39" i="17"/>
  <c r="DF39" i="17"/>
  <c r="DG39" i="17"/>
  <c r="CL40" i="17"/>
  <c r="CU40" i="17"/>
  <c r="CV40" i="17"/>
  <c r="CW40" i="17"/>
  <c r="DF40" i="17"/>
  <c r="DG40" i="17"/>
  <c r="CL41" i="17"/>
  <c r="CU41" i="17"/>
  <c r="CV41" i="17"/>
  <c r="CW41" i="17"/>
  <c r="DF41" i="17"/>
  <c r="DG41" i="17"/>
  <c r="CL42" i="17"/>
  <c r="CU42" i="17"/>
  <c r="CV42" i="17"/>
  <c r="CW42" i="17"/>
  <c r="DF42" i="17"/>
  <c r="DG42" i="17"/>
  <c r="CL43" i="17"/>
  <c r="CU43" i="17"/>
  <c r="CV43" i="17"/>
  <c r="CW43" i="17"/>
  <c r="DF43" i="17"/>
  <c r="DG43" i="17"/>
  <c r="CL44" i="17"/>
  <c r="CU44" i="17"/>
  <c r="CV44" i="17"/>
  <c r="CW44" i="17"/>
  <c r="DF44" i="17"/>
  <c r="DG44" i="17"/>
  <c r="CL45" i="17"/>
  <c r="CU45" i="17"/>
  <c r="CV45" i="17"/>
  <c r="CW45" i="17"/>
  <c r="DF45" i="17"/>
  <c r="DG45" i="17"/>
  <c r="CL46" i="17"/>
  <c r="CU46" i="17"/>
  <c r="CV46" i="17"/>
  <c r="CW46" i="17"/>
  <c r="DF46" i="17"/>
  <c r="DG46" i="17"/>
  <c r="CL47" i="17"/>
  <c r="CU47" i="17"/>
  <c r="CV47" i="17"/>
  <c r="CW47" i="17"/>
  <c r="DF47" i="17"/>
  <c r="DG47" i="17"/>
  <c r="CL48" i="17"/>
  <c r="CU48" i="17"/>
  <c r="CV48" i="17"/>
  <c r="CW48" i="17"/>
  <c r="DF48" i="17"/>
  <c r="DG48" i="17"/>
  <c r="CL49" i="17"/>
  <c r="CU49" i="17"/>
  <c r="CV49" i="17"/>
  <c r="CW49" i="17"/>
  <c r="DF49" i="17"/>
  <c r="DG49" i="17"/>
  <c r="CL50" i="17"/>
  <c r="CU50" i="17"/>
  <c r="CV50" i="17"/>
  <c r="CW50" i="17"/>
  <c r="DF50" i="17"/>
  <c r="DG50" i="17"/>
  <c r="CL51" i="17"/>
  <c r="CU51" i="17"/>
  <c r="CV51" i="17"/>
  <c r="CW51" i="17"/>
  <c r="DF51" i="17"/>
  <c r="DG51" i="17"/>
  <c r="CL52" i="17"/>
  <c r="CU52" i="17"/>
  <c r="CV52" i="17"/>
  <c r="CW52" i="17"/>
  <c r="DF52" i="17"/>
  <c r="DG52" i="17"/>
  <c r="CL53" i="17"/>
  <c r="CU53" i="17"/>
  <c r="CV53" i="17"/>
  <c r="CW53" i="17"/>
  <c r="DF53" i="17"/>
  <c r="DG53" i="17"/>
  <c r="CL54" i="17"/>
  <c r="CU54" i="17"/>
  <c r="CV54" i="17"/>
  <c r="CW54" i="17"/>
  <c r="DF54" i="17"/>
  <c r="DG54" i="17"/>
  <c r="CL55" i="17"/>
  <c r="CU55" i="17"/>
  <c r="CV55" i="17"/>
  <c r="CW55" i="17"/>
  <c r="DF55" i="17"/>
  <c r="DG55" i="17"/>
  <c r="CL56" i="17"/>
  <c r="CU56" i="17"/>
  <c r="CV56" i="17"/>
  <c r="CW56" i="17"/>
  <c r="DF56" i="17"/>
  <c r="DG56" i="17"/>
  <c r="CL57" i="17"/>
  <c r="CU57" i="17"/>
  <c r="CV57" i="17"/>
  <c r="CW57" i="17"/>
  <c r="DF57" i="17"/>
  <c r="DG57" i="17"/>
  <c r="CL58" i="17"/>
  <c r="CU58" i="17"/>
  <c r="CV58" i="17"/>
  <c r="CW58" i="17"/>
  <c r="DF58" i="17"/>
  <c r="DG58" i="17"/>
  <c r="CL59" i="17"/>
  <c r="CU59" i="17"/>
  <c r="CV59" i="17"/>
  <c r="CW59" i="17"/>
  <c r="DF59" i="17"/>
  <c r="DG59" i="17"/>
  <c r="CL60" i="17"/>
  <c r="CU60" i="17"/>
  <c r="CV60" i="17"/>
  <c r="CW60" i="17"/>
  <c r="DF60" i="17"/>
  <c r="DG60" i="17"/>
  <c r="CL61" i="17"/>
  <c r="CU61" i="17"/>
  <c r="CV61" i="17"/>
  <c r="CW61" i="17"/>
  <c r="DF61" i="17"/>
  <c r="DG61" i="17"/>
  <c r="CL62" i="17"/>
  <c r="CU62" i="17"/>
  <c r="CV62" i="17"/>
  <c r="CW62" i="17"/>
  <c r="DF62" i="17"/>
  <c r="DG62" i="17"/>
  <c r="CL63" i="17"/>
  <c r="CU63" i="17"/>
  <c r="CV63" i="17"/>
  <c r="CW63" i="17"/>
  <c r="DF63" i="17"/>
  <c r="DG63" i="17"/>
  <c r="CL64" i="17"/>
  <c r="CU64" i="17"/>
  <c r="CV64" i="17"/>
  <c r="CW64" i="17"/>
  <c r="DF64" i="17"/>
  <c r="DG64" i="17"/>
  <c r="CL65" i="17"/>
  <c r="CU65" i="17"/>
  <c r="CV65" i="17"/>
  <c r="CW65" i="17"/>
  <c r="DF65" i="17"/>
  <c r="DG65" i="17"/>
  <c r="CL66" i="17"/>
  <c r="CU66" i="17"/>
  <c r="CV66" i="17"/>
  <c r="CW66" i="17"/>
  <c r="DF66" i="17"/>
  <c r="DG66" i="17"/>
  <c r="CL67" i="17"/>
  <c r="CU67" i="17"/>
  <c r="CV67" i="17"/>
  <c r="CW67" i="17"/>
  <c r="DF67" i="17"/>
  <c r="DG67" i="17"/>
  <c r="CL68" i="17"/>
  <c r="CU68" i="17"/>
  <c r="CV68" i="17"/>
  <c r="CW68" i="17"/>
  <c r="DF68" i="17"/>
  <c r="DG68" i="17"/>
  <c r="CL69" i="17"/>
  <c r="CU69" i="17"/>
  <c r="CV69" i="17"/>
  <c r="CW69" i="17"/>
  <c r="DF69" i="17"/>
  <c r="DG69" i="17"/>
  <c r="CL70" i="17"/>
  <c r="CU70" i="17"/>
  <c r="CV70" i="17"/>
  <c r="CW70" i="17"/>
  <c r="DF70" i="17"/>
  <c r="DG70" i="17"/>
  <c r="CL71" i="17"/>
  <c r="CU71" i="17"/>
  <c r="CV71" i="17"/>
  <c r="CW71" i="17"/>
  <c r="DF71" i="17"/>
  <c r="DG71" i="17"/>
  <c r="CL72" i="17"/>
  <c r="CU72" i="17"/>
  <c r="CV72" i="17"/>
  <c r="CW72" i="17"/>
  <c r="DF72" i="17"/>
  <c r="DG72" i="17"/>
  <c r="CL73" i="17"/>
  <c r="CU73" i="17"/>
  <c r="CV73" i="17"/>
  <c r="CW73" i="17"/>
  <c r="DF73" i="17"/>
  <c r="DG73" i="17"/>
  <c r="CL74" i="17"/>
  <c r="CU74" i="17"/>
  <c r="CV74" i="17"/>
  <c r="CW74" i="17"/>
  <c r="DF74" i="17"/>
  <c r="DG74" i="17"/>
  <c r="CL75" i="17"/>
  <c r="CU75" i="17"/>
  <c r="CV75" i="17"/>
  <c r="CW75" i="17"/>
  <c r="DF75" i="17"/>
  <c r="DG75" i="17"/>
  <c r="CL76" i="17"/>
  <c r="CU76" i="17"/>
  <c r="CV76" i="17"/>
  <c r="CW76" i="17"/>
  <c r="DF76" i="17"/>
  <c r="DG76" i="17"/>
  <c r="CL77" i="17"/>
  <c r="CU77" i="17"/>
  <c r="CV77" i="17"/>
  <c r="CW77" i="17"/>
  <c r="DF77" i="17"/>
  <c r="DG77" i="17"/>
  <c r="CL78" i="17"/>
  <c r="CU78" i="17"/>
  <c r="CV78" i="17"/>
  <c r="CW78" i="17"/>
  <c r="DF78" i="17"/>
  <c r="DG78" i="17"/>
  <c r="CL79" i="17"/>
  <c r="CU79" i="17"/>
  <c r="CV79" i="17"/>
  <c r="CW79" i="17"/>
  <c r="DF79" i="17"/>
  <c r="DG79" i="17"/>
  <c r="CL80" i="17"/>
  <c r="CU80" i="17"/>
  <c r="CV80" i="17"/>
  <c r="CW80" i="17"/>
  <c r="DF80" i="17"/>
  <c r="DG80" i="17"/>
  <c r="CL81" i="17"/>
  <c r="CU81" i="17"/>
  <c r="CV81" i="17"/>
  <c r="CW81" i="17"/>
  <c r="DF81" i="17"/>
  <c r="DG81" i="17"/>
  <c r="CL82" i="17"/>
  <c r="CU82" i="17"/>
  <c r="CV82" i="17"/>
  <c r="CW82" i="17"/>
  <c r="DF82" i="17"/>
  <c r="DG82" i="17"/>
  <c r="CL83" i="17"/>
  <c r="CU83" i="17"/>
  <c r="CV83" i="17"/>
  <c r="CW83" i="17"/>
  <c r="DF83" i="17"/>
  <c r="DG83" i="17"/>
  <c r="CL84" i="17"/>
  <c r="CU84" i="17"/>
  <c r="CV84" i="17"/>
  <c r="CW84" i="17"/>
  <c r="DF84" i="17"/>
  <c r="DG84" i="17"/>
  <c r="CL85" i="17"/>
  <c r="CU85" i="17"/>
  <c r="CV85" i="17"/>
  <c r="CW85" i="17"/>
  <c r="DF85" i="17"/>
  <c r="DG85" i="17"/>
  <c r="CL86" i="17"/>
  <c r="CU86" i="17"/>
  <c r="CV86" i="17"/>
  <c r="CW86" i="17"/>
  <c r="DF86" i="17"/>
  <c r="DG86" i="17"/>
  <c r="CL87" i="17"/>
  <c r="CU87" i="17"/>
  <c r="CV87" i="17"/>
  <c r="CW87" i="17"/>
  <c r="DF87" i="17"/>
  <c r="DG87" i="17"/>
  <c r="CL88" i="17"/>
  <c r="CU88" i="17"/>
  <c r="CV88" i="17"/>
  <c r="CW88" i="17"/>
  <c r="DF88" i="17"/>
  <c r="DG88" i="17"/>
  <c r="CL89" i="17"/>
  <c r="CU89" i="17"/>
  <c r="CV89" i="17"/>
  <c r="CW89" i="17"/>
  <c r="DF89" i="17"/>
  <c r="DG89" i="17"/>
  <c r="CL90" i="17"/>
  <c r="CU90" i="17"/>
  <c r="CV90" i="17"/>
  <c r="CW90" i="17"/>
  <c r="DF90" i="17"/>
  <c r="DG90" i="17"/>
  <c r="CL91" i="17"/>
  <c r="CU91" i="17"/>
  <c r="CV91" i="17"/>
  <c r="CW91" i="17"/>
  <c r="DF91" i="17"/>
  <c r="DG91" i="17"/>
  <c r="CL92" i="17"/>
  <c r="CU92" i="17"/>
  <c r="CV92" i="17"/>
  <c r="CW92" i="17"/>
  <c r="DF92" i="17"/>
  <c r="DG92" i="17"/>
  <c r="CL93" i="17"/>
  <c r="CU93" i="17"/>
  <c r="CV93" i="17"/>
  <c r="CW93" i="17"/>
  <c r="DF93" i="17"/>
  <c r="DG93" i="17"/>
  <c r="CL94" i="17"/>
  <c r="CU94" i="17"/>
  <c r="CV94" i="17"/>
  <c r="CW94" i="17"/>
  <c r="DF94" i="17"/>
  <c r="DG94" i="17"/>
  <c r="CL95" i="17"/>
  <c r="CU95" i="17"/>
  <c r="CV95" i="17"/>
  <c r="CW95" i="17"/>
  <c r="DF95" i="17"/>
  <c r="DG95" i="17"/>
  <c r="CL96" i="17"/>
  <c r="CU96" i="17"/>
  <c r="CV96" i="17"/>
  <c r="CW96" i="17"/>
  <c r="DF96" i="17"/>
  <c r="DG96" i="17"/>
  <c r="CL97" i="17"/>
  <c r="CU97" i="17"/>
  <c r="CV97" i="17"/>
  <c r="CW97" i="17"/>
  <c r="DF97" i="17"/>
  <c r="DG97" i="17"/>
  <c r="CL98" i="17"/>
  <c r="CU98" i="17"/>
  <c r="CV98" i="17"/>
  <c r="CW98" i="17"/>
  <c r="DF98" i="17"/>
  <c r="DG98" i="17"/>
  <c r="CL99" i="17"/>
  <c r="CU99" i="17"/>
  <c r="CV99" i="17"/>
  <c r="CW99" i="17"/>
  <c r="DF99" i="17"/>
  <c r="DG99" i="17"/>
  <c r="CL100" i="17"/>
  <c r="CU100" i="17"/>
  <c r="CV100" i="17"/>
  <c r="CW100" i="17"/>
  <c r="DF100" i="17"/>
  <c r="DG100" i="17"/>
  <c r="CL101" i="17"/>
  <c r="CU101" i="17"/>
  <c r="CV101" i="17"/>
  <c r="CW101" i="17"/>
  <c r="DF101" i="17"/>
  <c r="DG101" i="17"/>
  <c r="CL102" i="17"/>
  <c r="CU102" i="17"/>
  <c r="CV102" i="17"/>
  <c r="CW102" i="17"/>
  <c r="DF102" i="17"/>
  <c r="DG102" i="17"/>
  <c r="CL103" i="17"/>
  <c r="CU103" i="17"/>
  <c r="CV103" i="17"/>
  <c r="CW103" i="17"/>
  <c r="DF103" i="17"/>
  <c r="DG103" i="17"/>
  <c r="CL104" i="17"/>
  <c r="CU104" i="17"/>
  <c r="CV104" i="17"/>
  <c r="CW104" i="17"/>
  <c r="DF104" i="17"/>
  <c r="DG104" i="17"/>
  <c r="CL105" i="17"/>
  <c r="CU105" i="17"/>
  <c r="CV105" i="17"/>
  <c r="CW105" i="17"/>
  <c r="DF105" i="17"/>
  <c r="DG105" i="17"/>
  <c r="CL106" i="17"/>
  <c r="CU106" i="17"/>
  <c r="CV106" i="17"/>
  <c r="CW106" i="17"/>
  <c r="DF106" i="17"/>
  <c r="DG106" i="17"/>
  <c r="CL107" i="17"/>
  <c r="CU107" i="17"/>
  <c r="CV107" i="17"/>
  <c r="CW107" i="17"/>
  <c r="DF107" i="17"/>
  <c r="DG107" i="17"/>
  <c r="CL108" i="17"/>
  <c r="CU108" i="17"/>
  <c r="CV108" i="17"/>
  <c r="CW108" i="17"/>
  <c r="DF108" i="17"/>
  <c r="DG108" i="17"/>
  <c r="CL109" i="17"/>
  <c r="CU109" i="17"/>
  <c r="CV109" i="17"/>
  <c r="CW109" i="17"/>
  <c r="DF109" i="17"/>
  <c r="DG109" i="17"/>
  <c r="CL110" i="17"/>
  <c r="CU110" i="17"/>
  <c r="CV110" i="17"/>
  <c r="CW110" i="17"/>
  <c r="DF110" i="17"/>
  <c r="DG110" i="17"/>
  <c r="CL111" i="17"/>
  <c r="CU111" i="17"/>
  <c r="CV111" i="17"/>
  <c r="CW111" i="17"/>
  <c r="DF111" i="17"/>
  <c r="DG111" i="17"/>
  <c r="CL112" i="17"/>
  <c r="CU112" i="17"/>
  <c r="CV112" i="17"/>
  <c r="CW112" i="17"/>
  <c r="DF112" i="17"/>
  <c r="DG112" i="17"/>
  <c r="CL113" i="17"/>
  <c r="CU113" i="17"/>
  <c r="CV113" i="17"/>
  <c r="CW113" i="17"/>
  <c r="DF113" i="17"/>
  <c r="DG113" i="17"/>
  <c r="CL114" i="17"/>
  <c r="CU114" i="17"/>
  <c r="CV114" i="17"/>
  <c r="CW114" i="17"/>
  <c r="DF114" i="17"/>
  <c r="DG114" i="17"/>
  <c r="CL115" i="17"/>
  <c r="CU115" i="17"/>
  <c r="CV115" i="17"/>
  <c r="CW115" i="17"/>
  <c r="DF115" i="17"/>
  <c r="DG115" i="17"/>
  <c r="CL116" i="17"/>
  <c r="CU116" i="17"/>
  <c r="CV116" i="17"/>
  <c r="CW116" i="17"/>
  <c r="DF116" i="17"/>
  <c r="DG116" i="17"/>
  <c r="CL117" i="17"/>
  <c r="CU117" i="17"/>
  <c r="CV117" i="17"/>
  <c r="CW117" i="17"/>
  <c r="DF117" i="17"/>
  <c r="DG117" i="17"/>
  <c r="CL118" i="17"/>
  <c r="CU118" i="17"/>
  <c r="CV118" i="17"/>
  <c r="CW118" i="17"/>
  <c r="DF118" i="17"/>
  <c r="DG118" i="17"/>
  <c r="CL119" i="17"/>
  <c r="CU119" i="17"/>
  <c r="CV119" i="17"/>
  <c r="CW119" i="17"/>
  <c r="DF119" i="17"/>
  <c r="DG119" i="17"/>
  <c r="CL120" i="17"/>
  <c r="CU120" i="17"/>
  <c r="CV120" i="17"/>
  <c r="CW120" i="17"/>
  <c r="DF120" i="17"/>
  <c r="DG120" i="17"/>
  <c r="CL121" i="17"/>
  <c r="CU121" i="17"/>
  <c r="CV121" i="17"/>
  <c r="CW121" i="17"/>
  <c r="DF121" i="17"/>
  <c r="DG121" i="17"/>
  <c r="CL122" i="17"/>
  <c r="CU122" i="17"/>
  <c r="CV122" i="17"/>
  <c r="CW122" i="17"/>
  <c r="DF122" i="17"/>
  <c r="DG122" i="17"/>
  <c r="CL123" i="17"/>
  <c r="CU123" i="17"/>
  <c r="CV123" i="17"/>
  <c r="CW123" i="17"/>
  <c r="DF123" i="17"/>
  <c r="DG123" i="17"/>
  <c r="CL124" i="17"/>
  <c r="CU124" i="17"/>
  <c r="CV124" i="17"/>
  <c r="CW124" i="17"/>
  <c r="DF124" i="17"/>
  <c r="DG124" i="17"/>
  <c r="CL125" i="17"/>
  <c r="CU125" i="17"/>
  <c r="CV125" i="17"/>
  <c r="CW125" i="17"/>
  <c r="DF125" i="17"/>
  <c r="DG125" i="17"/>
  <c r="CL126" i="17"/>
  <c r="CU126" i="17"/>
  <c r="CV126" i="17"/>
  <c r="CW126" i="17"/>
  <c r="DF126" i="17"/>
  <c r="DG126" i="17"/>
  <c r="CL127" i="17"/>
  <c r="CU127" i="17"/>
  <c r="CV127" i="17"/>
  <c r="CW127" i="17"/>
  <c r="DF127" i="17"/>
  <c r="DG127" i="17"/>
  <c r="CL128" i="17"/>
  <c r="CU128" i="17"/>
  <c r="CV128" i="17"/>
  <c r="CW128" i="17"/>
  <c r="DF128" i="17"/>
  <c r="DG128" i="17"/>
  <c r="CL129" i="17"/>
  <c r="CU129" i="17"/>
  <c r="CV129" i="17"/>
  <c r="CW129" i="17"/>
  <c r="DF129" i="17"/>
  <c r="DG129" i="17"/>
  <c r="CL130" i="17"/>
  <c r="CU130" i="17"/>
  <c r="CV130" i="17"/>
  <c r="CW130" i="17"/>
  <c r="DF130" i="17"/>
  <c r="DG130" i="17"/>
  <c r="CL131" i="17"/>
  <c r="CU131" i="17"/>
  <c r="CV131" i="17"/>
  <c r="CW131" i="17"/>
  <c r="DF131" i="17"/>
  <c r="DG131" i="17"/>
  <c r="CL132" i="17"/>
  <c r="CU132" i="17"/>
  <c r="CV132" i="17"/>
  <c r="CW132" i="17"/>
  <c r="DF132" i="17"/>
  <c r="DG132" i="17"/>
  <c r="CL133" i="17"/>
  <c r="CU133" i="17"/>
  <c r="CV133" i="17"/>
  <c r="CW133" i="17"/>
  <c r="DF133" i="17"/>
  <c r="DG133" i="17"/>
  <c r="CL134" i="17"/>
  <c r="CU134" i="17"/>
  <c r="CV134" i="17"/>
  <c r="CW134" i="17"/>
  <c r="DF134" i="17"/>
  <c r="DG134" i="17"/>
  <c r="CL135" i="17"/>
  <c r="CU135" i="17"/>
  <c r="CV135" i="17"/>
  <c r="CW135" i="17"/>
  <c r="DF135" i="17"/>
  <c r="DG135" i="17"/>
  <c r="CL136" i="17"/>
  <c r="CU136" i="17"/>
  <c r="CV136" i="17"/>
  <c r="CW136" i="17"/>
  <c r="DF136" i="17"/>
  <c r="DG136" i="17"/>
  <c r="CL137" i="17"/>
  <c r="CU137" i="17"/>
  <c r="CV137" i="17"/>
  <c r="CW137" i="17"/>
  <c r="DF137" i="17"/>
  <c r="DG137" i="17"/>
  <c r="CL138" i="17"/>
  <c r="CU138" i="17"/>
  <c r="CV138" i="17"/>
  <c r="CW138" i="17"/>
  <c r="DF138" i="17"/>
  <c r="DG138" i="17"/>
  <c r="CL139" i="17"/>
  <c r="CU139" i="17"/>
  <c r="CV139" i="17"/>
  <c r="CW139" i="17"/>
  <c r="DF139" i="17"/>
  <c r="DG139" i="17"/>
  <c r="CL140" i="17"/>
  <c r="CU140" i="17"/>
  <c r="CV140" i="17"/>
  <c r="CW140" i="17"/>
  <c r="DF140" i="17"/>
  <c r="DG140" i="17"/>
  <c r="CL141" i="17"/>
  <c r="CU141" i="17"/>
  <c r="CV141" i="17"/>
  <c r="CW141" i="17"/>
  <c r="DF141" i="17"/>
  <c r="DG141" i="17"/>
  <c r="CL142" i="17"/>
  <c r="CU142" i="17"/>
  <c r="CV142" i="17"/>
  <c r="CW142" i="17"/>
  <c r="DF142" i="17"/>
  <c r="DG142" i="17"/>
  <c r="CL143" i="17"/>
  <c r="CU143" i="17"/>
  <c r="CV143" i="17"/>
  <c r="CW143" i="17"/>
  <c r="DF143" i="17"/>
  <c r="DG143" i="17"/>
  <c r="CL144" i="17"/>
  <c r="CU144" i="17"/>
  <c r="CV144" i="17"/>
  <c r="CW144" i="17"/>
  <c r="DF144" i="17"/>
  <c r="DG144" i="17"/>
  <c r="CL145" i="17"/>
  <c r="CU145" i="17"/>
  <c r="CV145" i="17"/>
  <c r="CW145" i="17"/>
  <c r="DF145" i="17"/>
  <c r="DG145" i="17"/>
  <c r="CL146" i="17"/>
  <c r="CU146" i="17"/>
  <c r="CV146" i="17"/>
  <c r="CW146" i="17"/>
  <c r="DF146" i="17"/>
  <c r="DG146" i="17"/>
  <c r="CL147" i="17"/>
  <c r="CU147" i="17"/>
  <c r="CV147" i="17"/>
  <c r="CW147" i="17"/>
  <c r="DF147" i="17"/>
  <c r="DG147" i="17"/>
  <c r="CL148" i="17"/>
  <c r="CU148" i="17"/>
  <c r="CV148" i="17"/>
  <c r="CW148" i="17"/>
  <c r="DF148" i="17"/>
  <c r="DG148" i="17"/>
  <c r="CL149" i="17"/>
  <c r="CU149" i="17"/>
  <c r="CV149" i="17"/>
  <c r="CW149" i="17"/>
  <c r="DF149" i="17"/>
  <c r="DG149" i="17"/>
  <c r="CL150" i="17"/>
  <c r="CU150" i="17"/>
  <c r="CV150" i="17"/>
  <c r="CW150" i="17"/>
  <c r="DF150" i="17"/>
  <c r="DG150" i="17"/>
  <c r="CL151" i="17"/>
  <c r="CU151" i="17"/>
  <c r="CV151" i="17"/>
  <c r="CW151" i="17"/>
  <c r="DF151" i="17"/>
  <c r="DG151" i="17"/>
  <c r="CL152" i="17"/>
  <c r="CU152" i="17"/>
  <c r="CV152" i="17"/>
  <c r="CW152" i="17"/>
  <c r="DF152" i="17"/>
  <c r="DG152" i="17"/>
  <c r="CL153" i="17"/>
  <c r="CU153" i="17"/>
  <c r="CV153" i="17"/>
  <c r="CW153" i="17"/>
  <c r="DF153" i="17"/>
  <c r="DG153" i="17"/>
  <c r="CL154" i="17"/>
  <c r="CU154" i="17"/>
  <c r="CV154" i="17"/>
  <c r="CW154" i="17"/>
  <c r="DF154" i="17"/>
  <c r="DG154" i="17"/>
  <c r="CL155" i="17"/>
  <c r="CU155" i="17"/>
  <c r="CV155" i="17"/>
  <c r="CW155" i="17"/>
  <c r="DF155" i="17"/>
  <c r="DG155" i="17"/>
  <c r="CL156" i="17"/>
  <c r="CU156" i="17"/>
  <c r="CV156" i="17"/>
  <c r="CW156" i="17"/>
  <c r="DF156" i="17"/>
  <c r="DG156" i="17"/>
  <c r="CL157" i="17"/>
  <c r="CU157" i="17"/>
  <c r="CV157" i="17"/>
  <c r="CW157" i="17"/>
  <c r="DF157" i="17"/>
  <c r="DG157" i="17"/>
  <c r="CL158" i="17"/>
  <c r="CU158" i="17"/>
  <c r="CV158" i="17"/>
  <c r="CW158" i="17"/>
  <c r="DF158" i="17"/>
  <c r="DG158" i="17"/>
  <c r="CL159" i="17"/>
  <c r="CU159" i="17"/>
  <c r="CV159" i="17"/>
  <c r="CW159" i="17"/>
  <c r="DF159" i="17"/>
  <c r="DG159" i="17"/>
  <c r="CL160" i="17"/>
  <c r="CU160" i="17"/>
  <c r="CV160" i="17"/>
  <c r="CW160" i="17"/>
  <c r="DF160" i="17"/>
  <c r="DG160" i="17"/>
  <c r="CL161" i="17"/>
  <c r="CU161" i="17"/>
  <c r="CV161" i="17"/>
  <c r="CW161" i="17"/>
  <c r="DF161" i="17"/>
  <c r="DG161" i="17"/>
  <c r="CL162" i="17"/>
  <c r="CU162" i="17"/>
  <c r="CV162" i="17"/>
  <c r="CW162" i="17"/>
  <c r="DF162" i="17"/>
  <c r="DG162" i="17"/>
  <c r="CL163" i="17"/>
  <c r="CU163" i="17"/>
  <c r="CV163" i="17"/>
  <c r="CW163" i="17"/>
  <c r="DF163" i="17"/>
  <c r="DG163" i="17"/>
  <c r="CL164" i="17"/>
  <c r="CU164" i="17"/>
  <c r="CV164" i="17"/>
  <c r="CW164" i="17"/>
  <c r="DF164" i="17"/>
  <c r="DG164" i="17"/>
  <c r="CL165" i="17"/>
  <c r="CU165" i="17"/>
  <c r="CV165" i="17"/>
  <c r="CW165" i="17"/>
  <c r="DF165" i="17"/>
  <c r="DG165" i="17"/>
  <c r="CL166" i="17"/>
  <c r="CU166" i="17"/>
  <c r="CV166" i="17"/>
  <c r="CW166" i="17"/>
  <c r="DF166" i="17"/>
  <c r="DG166" i="17"/>
  <c r="CL167" i="17"/>
  <c r="CU167" i="17"/>
  <c r="CV167" i="17"/>
  <c r="CW167" i="17"/>
  <c r="DF167" i="17"/>
  <c r="DG167" i="17"/>
  <c r="CL168" i="17"/>
  <c r="CU168" i="17"/>
  <c r="CV168" i="17"/>
  <c r="CW168" i="17"/>
  <c r="DF168" i="17"/>
  <c r="DG168" i="17"/>
  <c r="CL169" i="17"/>
  <c r="CU169" i="17"/>
  <c r="CV169" i="17"/>
  <c r="CW169" i="17"/>
  <c r="DF169" i="17"/>
  <c r="DG169" i="17"/>
  <c r="CL170" i="17"/>
  <c r="CU170" i="17"/>
  <c r="CV170" i="17"/>
  <c r="CW170" i="17"/>
  <c r="DF170" i="17"/>
  <c r="DG170" i="17"/>
  <c r="CL171" i="17"/>
  <c r="CU171" i="17"/>
  <c r="CV171" i="17"/>
  <c r="CW171" i="17"/>
  <c r="DF171" i="17"/>
  <c r="DG171" i="17"/>
  <c r="CL172" i="17"/>
  <c r="CU172" i="17"/>
  <c r="CV172" i="17"/>
  <c r="CW172" i="17"/>
  <c r="DF172" i="17"/>
  <c r="DG172" i="17"/>
  <c r="CL173" i="17"/>
  <c r="CU173" i="17"/>
  <c r="CV173" i="17"/>
  <c r="CW173" i="17"/>
  <c r="DF173" i="17"/>
  <c r="DG173" i="17"/>
  <c r="CL174" i="17"/>
  <c r="CU174" i="17"/>
  <c r="CV174" i="17"/>
  <c r="CW174" i="17"/>
  <c r="DF174" i="17"/>
  <c r="DG174" i="17"/>
  <c r="CL175" i="17"/>
  <c r="CU175" i="17"/>
  <c r="CV175" i="17"/>
  <c r="CW175" i="17"/>
  <c r="DF175" i="17"/>
  <c r="DG175" i="17"/>
  <c r="CL176" i="17"/>
  <c r="CU176" i="17"/>
  <c r="CV176" i="17"/>
  <c r="CW176" i="17"/>
  <c r="DF176" i="17"/>
  <c r="DG176" i="17"/>
  <c r="CL177" i="17"/>
  <c r="CU177" i="17"/>
  <c r="CV177" i="17"/>
  <c r="CW177" i="17"/>
  <c r="DF177" i="17"/>
  <c r="DG177" i="17"/>
  <c r="CL178" i="17"/>
  <c r="CU178" i="17"/>
  <c r="CV178" i="17"/>
  <c r="CW178" i="17"/>
  <c r="DF178" i="17"/>
  <c r="DG178" i="17"/>
  <c r="CL179" i="17"/>
  <c r="CU179" i="17"/>
  <c r="CV179" i="17"/>
  <c r="CW179" i="17"/>
  <c r="DF179" i="17"/>
  <c r="DG179" i="17"/>
  <c r="CL180" i="17"/>
  <c r="CU180" i="17"/>
  <c r="CV180" i="17"/>
  <c r="CW180" i="17"/>
  <c r="DF180" i="17"/>
  <c r="DG180" i="17"/>
  <c r="CL181" i="17"/>
  <c r="CU181" i="17"/>
  <c r="CV181" i="17"/>
  <c r="CW181" i="17"/>
  <c r="DF181" i="17"/>
  <c r="DG181" i="17"/>
  <c r="CL182" i="17"/>
  <c r="CU182" i="17"/>
  <c r="CV182" i="17"/>
  <c r="CW182" i="17"/>
  <c r="DF182" i="17"/>
  <c r="DG182" i="17"/>
  <c r="CA189" i="17"/>
  <c r="CA190" i="17"/>
  <c r="CA185" i="17"/>
  <c r="CJ185" i="17"/>
  <c r="CK185" i="17"/>
  <c r="CA186" i="17"/>
  <c r="CJ186" i="17"/>
  <c r="CK186" i="17"/>
  <c r="CA5" i="17"/>
  <c r="CJ5" i="17"/>
  <c r="CK5" i="17"/>
  <c r="CA6" i="17"/>
  <c r="CJ6" i="17"/>
  <c r="CK6" i="17"/>
  <c r="CA7" i="17"/>
  <c r="CJ7" i="17"/>
  <c r="CK7" i="17"/>
  <c r="CA8" i="17"/>
  <c r="CJ8" i="17"/>
  <c r="CK8" i="17"/>
  <c r="CA9" i="17"/>
  <c r="CJ9" i="17"/>
  <c r="CK9" i="17"/>
  <c r="CA10" i="17"/>
  <c r="CJ10" i="17"/>
  <c r="CK10" i="17"/>
  <c r="CA11" i="17"/>
  <c r="CJ11" i="17"/>
  <c r="CK11" i="17"/>
  <c r="CA12" i="17"/>
  <c r="CJ12" i="17"/>
  <c r="CK12" i="17"/>
  <c r="CA13" i="17"/>
  <c r="CJ13" i="17"/>
  <c r="CK13" i="17"/>
  <c r="CA14" i="17"/>
  <c r="CJ14" i="17"/>
  <c r="CK14" i="17"/>
  <c r="CA15" i="17"/>
  <c r="CJ15" i="17"/>
  <c r="CK15" i="17"/>
  <c r="CA16" i="17"/>
  <c r="CJ16" i="17"/>
  <c r="CK16" i="17"/>
  <c r="CA17" i="17"/>
  <c r="CJ17" i="17"/>
  <c r="CK17" i="17"/>
  <c r="CA18" i="17"/>
  <c r="CJ18" i="17"/>
  <c r="CK18" i="17"/>
  <c r="CA19" i="17"/>
  <c r="CJ19" i="17"/>
  <c r="CK19" i="17"/>
  <c r="CA20" i="17"/>
  <c r="CJ20" i="17"/>
  <c r="CK20" i="17"/>
  <c r="CA21" i="17"/>
  <c r="CJ21" i="17"/>
  <c r="CK21" i="17"/>
  <c r="CA22" i="17"/>
  <c r="CJ22" i="17"/>
  <c r="CK22" i="17"/>
  <c r="CA23" i="17"/>
  <c r="CJ23" i="17"/>
  <c r="CK23" i="17"/>
  <c r="CA24" i="17"/>
  <c r="CJ24" i="17"/>
  <c r="CK24" i="17"/>
  <c r="CA25" i="17"/>
  <c r="CJ25" i="17"/>
  <c r="CK25" i="17"/>
  <c r="CA26" i="17"/>
  <c r="CJ26" i="17"/>
  <c r="CK26" i="17"/>
  <c r="CA27" i="17"/>
  <c r="CJ27" i="17"/>
  <c r="CK27" i="17"/>
  <c r="CA28" i="17"/>
  <c r="CJ28" i="17"/>
  <c r="CK28" i="17"/>
  <c r="CA29" i="17"/>
  <c r="CJ29" i="17"/>
  <c r="CK29" i="17"/>
  <c r="CA30" i="17"/>
  <c r="CJ30" i="17"/>
  <c r="CK30" i="17"/>
  <c r="CA31" i="17"/>
  <c r="CJ31" i="17"/>
  <c r="CK31" i="17"/>
  <c r="CA32" i="17"/>
  <c r="CJ32" i="17"/>
  <c r="CK32" i="17"/>
  <c r="CA33" i="17"/>
  <c r="CJ33" i="17"/>
  <c r="CK33" i="17"/>
  <c r="CA34" i="17"/>
  <c r="CJ34" i="17"/>
  <c r="CK34" i="17"/>
  <c r="CA35" i="17"/>
  <c r="CJ35" i="17"/>
  <c r="CK35" i="17"/>
  <c r="CA36" i="17"/>
  <c r="CJ36" i="17"/>
  <c r="CK36" i="17"/>
  <c r="CA37" i="17"/>
  <c r="CJ37" i="17"/>
  <c r="CK37" i="17"/>
  <c r="CA38" i="17"/>
  <c r="CJ38" i="17"/>
  <c r="CK38" i="17"/>
  <c r="CA39" i="17"/>
  <c r="CJ39" i="17"/>
  <c r="CK39" i="17"/>
  <c r="CA40" i="17"/>
  <c r="CJ40" i="17"/>
  <c r="CK40" i="17"/>
  <c r="CA41" i="17"/>
  <c r="CJ41" i="17"/>
  <c r="CK41" i="17"/>
  <c r="CA42" i="17"/>
  <c r="CJ42" i="17"/>
  <c r="CK42" i="17"/>
  <c r="CA43" i="17"/>
  <c r="CJ43" i="17"/>
  <c r="CK43" i="17"/>
  <c r="CA44" i="17"/>
  <c r="CJ44" i="17"/>
  <c r="CK44" i="17"/>
  <c r="CA45" i="17"/>
  <c r="CJ45" i="17"/>
  <c r="CK45" i="17"/>
  <c r="CA46" i="17"/>
  <c r="CJ46" i="17"/>
  <c r="CK46" i="17"/>
  <c r="CA47" i="17"/>
  <c r="CJ47" i="17"/>
  <c r="CK47" i="17"/>
  <c r="CA48" i="17"/>
  <c r="CJ48" i="17"/>
  <c r="CK48" i="17"/>
  <c r="CA49" i="17"/>
  <c r="CJ49" i="17"/>
  <c r="CK49" i="17"/>
  <c r="CA50" i="17"/>
  <c r="CJ50" i="17"/>
  <c r="CK50" i="17"/>
  <c r="CA51" i="17"/>
  <c r="CJ51" i="17"/>
  <c r="CK51" i="17"/>
  <c r="CA52" i="17"/>
  <c r="CJ52" i="17"/>
  <c r="CK52" i="17"/>
  <c r="CA53" i="17"/>
  <c r="CJ53" i="17"/>
  <c r="CK53" i="17"/>
  <c r="CA54" i="17"/>
  <c r="CJ54" i="17"/>
  <c r="CK54" i="17"/>
  <c r="CA55" i="17"/>
  <c r="CJ55" i="17"/>
  <c r="CK55" i="17"/>
  <c r="CA56" i="17"/>
  <c r="CJ56" i="17"/>
  <c r="CK56" i="17"/>
  <c r="CA57" i="17"/>
  <c r="CJ57" i="17"/>
  <c r="CK57" i="17"/>
  <c r="CA58" i="17"/>
  <c r="CJ58" i="17"/>
  <c r="CK58" i="17"/>
  <c r="CA59" i="17"/>
  <c r="CJ59" i="17"/>
  <c r="CK59" i="17"/>
  <c r="CA60" i="17"/>
  <c r="CJ60" i="17"/>
  <c r="CK60" i="17"/>
  <c r="CA61" i="17"/>
  <c r="CJ61" i="17"/>
  <c r="CK61" i="17"/>
  <c r="CA62" i="17"/>
  <c r="CJ62" i="17"/>
  <c r="CK62" i="17"/>
  <c r="CA63" i="17"/>
  <c r="CJ63" i="17"/>
  <c r="CK63" i="17"/>
  <c r="CA64" i="17"/>
  <c r="CJ64" i="17"/>
  <c r="CK64" i="17"/>
  <c r="CA65" i="17"/>
  <c r="CJ65" i="17"/>
  <c r="CK65" i="17"/>
  <c r="CA66" i="17"/>
  <c r="CJ66" i="17"/>
  <c r="CK66" i="17"/>
  <c r="CA67" i="17"/>
  <c r="CJ67" i="17"/>
  <c r="CK67" i="17"/>
  <c r="CA68" i="17"/>
  <c r="CJ68" i="17"/>
  <c r="CK68" i="17"/>
  <c r="CA69" i="17"/>
  <c r="CJ69" i="17"/>
  <c r="CK69" i="17"/>
  <c r="CA70" i="17"/>
  <c r="CJ70" i="17"/>
  <c r="CK70" i="17"/>
  <c r="CA71" i="17"/>
  <c r="CJ71" i="17"/>
  <c r="CK71" i="17"/>
  <c r="CA72" i="17"/>
  <c r="CJ72" i="17"/>
  <c r="CK72" i="17"/>
  <c r="CA73" i="17"/>
  <c r="CJ73" i="17"/>
  <c r="CK73" i="17"/>
  <c r="CA74" i="17"/>
  <c r="CJ74" i="17"/>
  <c r="CK74" i="17"/>
  <c r="CA75" i="17"/>
  <c r="CJ75" i="17"/>
  <c r="CK75" i="17"/>
  <c r="CA76" i="17"/>
  <c r="CJ76" i="17"/>
  <c r="CK76" i="17"/>
  <c r="CA77" i="17"/>
  <c r="CJ77" i="17"/>
  <c r="CK77" i="17"/>
  <c r="CA78" i="17"/>
  <c r="CJ78" i="17"/>
  <c r="CK78" i="17"/>
  <c r="CA79" i="17"/>
  <c r="CJ79" i="17"/>
  <c r="CK79" i="17"/>
  <c r="CA80" i="17"/>
  <c r="CJ80" i="17"/>
  <c r="CK80" i="17"/>
  <c r="CA81" i="17"/>
  <c r="CJ81" i="17"/>
  <c r="CK81" i="17"/>
  <c r="CA82" i="17"/>
  <c r="CJ82" i="17"/>
  <c r="CK82" i="17"/>
  <c r="CA83" i="17"/>
  <c r="CJ83" i="17"/>
  <c r="CK83" i="17"/>
  <c r="CA84" i="17"/>
  <c r="CJ84" i="17"/>
  <c r="CK84" i="17"/>
  <c r="CA85" i="17"/>
  <c r="CJ85" i="17"/>
  <c r="CK85" i="17"/>
  <c r="CA86" i="17"/>
  <c r="CJ86" i="17"/>
  <c r="CK86" i="17"/>
  <c r="CA87" i="17"/>
  <c r="CJ87" i="17"/>
  <c r="CK87" i="17"/>
  <c r="CA88" i="17"/>
  <c r="CJ88" i="17"/>
  <c r="CK88" i="17"/>
  <c r="CA89" i="17"/>
  <c r="CJ89" i="17"/>
  <c r="CK89" i="17"/>
  <c r="CA90" i="17"/>
  <c r="CJ90" i="17"/>
  <c r="CK90" i="17"/>
  <c r="CA91" i="17"/>
  <c r="CJ91" i="17"/>
  <c r="CK91" i="17"/>
  <c r="CA92" i="17"/>
  <c r="CJ92" i="17"/>
  <c r="CK92" i="17"/>
  <c r="CA93" i="17"/>
  <c r="CJ93" i="17"/>
  <c r="CK93" i="17"/>
  <c r="CA94" i="17"/>
  <c r="CJ94" i="17"/>
  <c r="CK94" i="17"/>
  <c r="CA95" i="17"/>
  <c r="CJ95" i="17"/>
  <c r="CK95" i="17"/>
  <c r="CA96" i="17"/>
  <c r="CJ96" i="17"/>
  <c r="CK96" i="17"/>
  <c r="CA97" i="17"/>
  <c r="CJ97" i="17"/>
  <c r="CK97" i="17"/>
  <c r="CA98" i="17"/>
  <c r="CJ98" i="17"/>
  <c r="CK98" i="17"/>
  <c r="CA99" i="17"/>
  <c r="CJ99" i="17"/>
  <c r="CK99" i="17"/>
  <c r="CA100" i="17"/>
  <c r="CJ100" i="17"/>
  <c r="CK100" i="17"/>
  <c r="CA101" i="17"/>
  <c r="CJ101" i="17"/>
  <c r="CK101" i="17"/>
  <c r="CA102" i="17"/>
  <c r="CJ102" i="17"/>
  <c r="CK102" i="17"/>
  <c r="CA103" i="17"/>
  <c r="CJ103" i="17"/>
  <c r="CK103" i="17"/>
  <c r="CA104" i="17"/>
  <c r="CJ104" i="17"/>
  <c r="CK104" i="17"/>
  <c r="CA105" i="17"/>
  <c r="CJ105" i="17"/>
  <c r="CK105" i="17"/>
  <c r="CA106" i="17"/>
  <c r="CJ106" i="17"/>
  <c r="CK106" i="17"/>
  <c r="CA107" i="17"/>
  <c r="CJ107" i="17"/>
  <c r="CK107" i="17"/>
  <c r="CA108" i="17"/>
  <c r="CJ108" i="17"/>
  <c r="CK108" i="17"/>
  <c r="CA109" i="17"/>
  <c r="CJ109" i="17"/>
  <c r="CK109" i="17"/>
  <c r="CA110" i="17"/>
  <c r="CJ110" i="17"/>
  <c r="CK110" i="17"/>
  <c r="CA111" i="17"/>
  <c r="CJ111" i="17"/>
  <c r="CK111" i="17"/>
  <c r="CA112" i="17"/>
  <c r="CJ112" i="17"/>
  <c r="CK112" i="17"/>
  <c r="CA113" i="17"/>
  <c r="CJ113" i="17"/>
  <c r="CK113" i="17"/>
  <c r="CA114" i="17"/>
  <c r="CJ114" i="17"/>
  <c r="CK114" i="17"/>
  <c r="CA115" i="17"/>
  <c r="CJ115" i="17"/>
  <c r="CK115" i="17"/>
  <c r="CA116" i="17"/>
  <c r="CJ116" i="17"/>
  <c r="CK116" i="17"/>
  <c r="CA117" i="17"/>
  <c r="CJ117" i="17"/>
  <c r="CK117" i="17"/>
  <c r="CA118" i="17"/>
  <c r="CJ118" i="17"/>
  <c r="CK118" i="17"/>
  <c r="CA119" i="17"/>
  <c r="CJ119" i="17"/>
  <c r="CK119" i="17"/>
  <c r="CA120" i="17"/>
  <c r="CJ120" i="17"/>
  <c r="CK120" i="17"/>
  <c r="CA121" i="17"/>
  <c r="CJ121" i="17"/>
  <c r="CK121" i="17"/>
  <c r="CA122" i="17"/>
  <c r="CJ122" i="17"/>
  <c r="CK122" i="17"/>
  <c r="CA123" i="17"/>
  <c r="CJ123" i="17"/>
  <c r="CK123" i="17"/>
  <c r="CA124" i="17"/>
  <c r="CJ124" i="17"/>
  <c r="CK124" i="17"/>
  <c r="CA125" i="17"/>
  <c r="CJ125" i="17"/>
  <c r="CK125" i="17"/>
  <c r="CA126" i="17"/>
  <c r="CJ126" i="17"/>
  <c r="CK126" i="17"/>
  <c r="CA127" i="17"/>
  <c r="CJ127" i="17"/>
  <c r="CK127" i="17"/>
  <c r="CA128" i="17"/>
  <c r="CJ128" i="17"/>
  <c r="CK128" i="17"/>
  <c r="CA129" i="17"/>
  <c r="CJ129" i="17"/>
  <c r="CK129" i="17"/>
  <c r="CA130" i="17"/>
  <c r="CJ130" i="17"/>
  <c r="CK130" i="17"/>
  <c r="CA131" i="17"/>
  <c r="CJ131" i="17"/>
  <c r="CK131" i="17"/>
  <c r="CA132" i="17"/>
  <c r="CJ132" i="17"/>
  <c r="CK132" i="17"/>
  <c r="CA133" i="17"/>
  <c r="CJ133" i="17"/>
  <c r="CK133" i="17"/>
  <c r="CA134" i="17"/>
  <c r="CJ134" i="17"/>
  <c r="CK134" i="17"/>
  <c r="CA135" i="17"/>
  <c r="CJ135" i="17"/>
  <c r="CK135" i="17"/>
  <c r="CA136" i="17"/>
  <c r="CJ136" i="17"/>
  <c r="CK136" i="17"/>
  <c r="CA137" i="17"/>
  <c r="CJ137" i="17"/>
  <c r="CK137" i="17"/>
  <c r="CA138" i="17"/>
  <c r="CJ138" i="17"/>
  <c r="CK138" i="17"/>
  <c r="CA139" i="17"/>
  <c r="CJ139" i="17"/>
  <c r="CK139" i="17"/>
  <c r="CA140" i="17"/>
  <c r="CJ140" i="17"/>
  <c r="CK140" i="17"/>
  <c r="CA141" i="17"/>
  <c r="CJ141" i="17"/>
  <c r="CK141" i="17"/>
  <c r="CA142" i="17"/>
  <c r="CJ142" i="17"/>
  <c r="CK142" i="17"/>
  <c r="CA143" i="17"/>
  <c r="CJ143" i="17"/>
  <c r="CK143" i="17"/>
  <c r="CA144" i="17"/>
  <c r="CJ144" i="17"/>
  <c r="CK144" i="17"/>
  <c r="CA145" i="17"/>
  <c r="CJ145" i="17"/>
  <c r="CK145" i="17"/>
  <c r="CA146" i="17"/>
  <c r="CJ146" i="17"/>
  <c r="CK146" i="17"/>
  <c r="CA147" i="17"/>
  <c r="CJ147" i="17"/>
  <c r="CK147" i="17"/>
  <c r="CA148" i="17"/>
  <c r="CJ148" i="17"/>
  <c r="CK148" i="17"/>
  <c r="CA149" i="17"/>
  <c r="CJ149" i="17"/>
  <c r="CK149" i="17"/>
  <c r="CA150" i="17"/>
  <c r="CJ150" i="17"/>
  <c r="CK150" i="17"/>
  <c r="CA151" i="17"/>
  <c r="CJ151" i="17"/>
  <c r="CK151" i="17"/>
  <c r="CA152" i="17"/>
  <c r="CJ152" i="17"/>
  <c r="CK152" i="17"/>
  <c r="CA153" i="17"/>
  <c r="CJ153" i="17"/>
  <c r="CK153" i="17"/>
  <c r="CA154" i="17"/>
  <c r="CJ154" i="17"/>
  <c r="CK154" i="17"/>
  <c r="CA155" i="17"/>
  <c r="CJ155" i="17"/>
  <c r="CK155" i="17"/>
  <c r="CA156" i="17"/>
  <c r="CJ156" i="17"/>
  <c r="CK156" i="17"/>
  <c r="CA157" i="17"/>
  <c r="CJ157" i="17"/>
  <c r="CK157" i="17"/>
  <c r="CA158" i="17"/>
  <c r="CJ158" i="17"/>
  <c r="CK158" i="17"/>
  <c r="CA159" i="17"/>
  <c r="CJ159" i="17"/>
  <c r="CK159" i="17"/>
  <c r="CA160" i="17"/>
  <c r="CJ160" i="17"/>
  <c r="CK160" i="17"/>
  <c r="CA161" i="17"/>
  <c r="CJ161" i="17"/>
  <c r="CK161" i="17"/>
  <c r="CA162" i="17"/>
  <c r="CJ162" i="17"/>
  <c r="CK162" i="17"/>
  <c r="CA163" i="17"/>
  <c r="CJ163" i="17"/>
  <c r="CK163" i="17"/>
  <c r="CA164" i="17"/>
  <c r="CJ164" i="17"/>
  <c r="CK164" i="17"/>
  <c r="CA165" i="17"/>
  <c r="CJ165" i="17"/>
  <c r="CK165" i="17"/>
  <c r="CA166" i="17"/>
  <c r="CJ166" i="17"/>
  <c r="CK166" i="17"/>
  <c r="CA167" i="17"/>
  <c r="CJ167" i="17"/>
  <c r="CK167" i="17"/>
  <c r="CA168" i="17"/>
  <c r="CJ168" i="17"/>
  <c r="CK168" i="17"/>
  <c r="CA169" i="17"/>
  <c r="CJ169" i="17"/>
  <c r="CK169" i="17"/>
  <c r="CA170" i="17"/>
  <c r="CJ170" i="17"/>
  <c r="CK170" i="17"/>
  <c r="CA171" i="17"/>
  <c r="CJ171" i="17"/>
  <c r="CK171" i="17"/>
  <c r="CA172" i="17"/>
  <c r="CJ172" i="17"/>
  <c r="CK172" i="17"/>
  <c r="CA173" i="17"/>
  <c r="CJ173" i="17"/>
  <c r="CK173" i="17"/>
  <c r="CA174" i="17"/>
  <c r="CJ174" i="17"/>
  <c r="CK174" i="17"/>
  <c r="CA175" i="17"/>
  <c r="CJ175" i="17"/>
  <c r="CK175" i="17"/>
  <c r="CA176" i="17"/>
  <c r="CJ176" i="17"/>
  <c r="CK176" i="17"/>
  <c r="CA177" i="17"/>
  <c r="CJ177" i="17"/>
  <c r="CK177" i="17"/>
  <c r="CA178" i="17"/>
  <c r="CJ178" i="17"/>
  <c r="CK178" i="17"/>
  <c r="CA179" i="17"/>
  <c r="CJ179" i="17"/>
  <c r="CK179" i="17"/>
  <c r="CA180" i="17"/>
  <c r="CJ180" i="17"/>
  <c r="CK180" i="17"/>
  <c r="CA181" i="17"/>
  <c r="CJ181" i="17"/>
  <c r="CK181" i="17"/>
  <c r="CA182" i="17"/>
  <c r="CJ182" i="17"/>
  <c r="CK182" i="17"/>
  <c r="BP189" i="17"/>
  <c r="BP190" i="17"/>
  <c r="BP185" i="17"/>
  <c r="BP186" i="17"/>
  <c r="BP5" i="17"/>
  <c r="BP6" i="17"/>
  <c r="BP7" i="17"/>
  <c r="BP8" i="17"/>
  <c r="BP9" i="17"/>
  <c r="BP10" i="17"/>
  <c r="BP11" i="17"/>
  <c r="BP12" i="17"/>
  <c r="BP13" i="17"/>
  <c r="BP14" i="17"/>
  <c r="BP15" i="17"/>
  <c r="BP16" i="17"/>
  <c r="BP17" i="17"/>
  <c r="BP18" i="17"/>
  <c r="BP19" i="17"/>
  <c r="BP20" i="17"/>
  <c r="BP21" i="17"/>
  <c r="BP22" i="17"/>
  <c r="BP23" i="17"/>
  <c r="BP24" i="17"/>
  <c r="BP25" i="17"/>
  <c r="BP26" i="17"/>
  <c r="BP27" i="17"/>
  <c r="BP28" i="17"/>
  <c r="BP29" i="17"/>
  <c r="BP30" i="17"/>
  <c r="BP31" i="17"/>
  <c r="BP32" i="17"/>
  <c r="BP33" i="17"/>
  <c r="BP34" i="17"/>
  <c r="BP35" i="17"/>
  <c r="BP36" i="17"/>
  <c r="BP37" i="17"/>
  <c r="BP38" i="17"/>
  <c r="BP39" i="17"/>
  <c r="BP40" i="17"/>
  <c r="BP41" i="17"/>
  <c r="BP42" i="17"/>
  <c r="BP43" i="17"/>
  <c r="BP44" i="17"/>
  <c r="BP45" i="17"/>
  <c r="BP46" i="17"/>
  <c r="BP47" i="17"/>
  <c r="BP48" i="17"/>
  <c r="BP49" i="17"/>
  <c r="BP50" i="17"/>
  <c r="BP51" i="17"/>
  <c r="BP52" i="17"/>
  <c r="BP53" i="17"/>
  <c r="BP54" i="17"/>
  <c r="BP55" i="17"/>
  <c r="BP56" i="17"/>
  <c r="BP57" i="17"/>
  <c r="BP58" i="17"/>
  <c r="BP59" i="17"/>
  <c r="BP60" i="17"/>
  <c r="BP61" i="17"/>
  <c r="BP62" i="17"/>
  <c r="BP63" i="17"/>
  <c r="BP64" i="17"/>
  <c r="BP65" i="17"/>
  <c r="BP66" i="17"/>
  <c r="BP67" i="17"/>
  <c r="BP68" i="17"/>
  <c r="BP69" i="17"/>
  <c r="BP70" i="17"/>
  <c r="BP71" i="17"/>
  <c r="BP72" i="17"/>
  <c r="BP73" i="17"/>
  <c r="BP74" i="17"/>
  <c r="BP75" i="17"/>
  <c r="BP76" i="17"/>
  <c r="BP77" i="17"/>
  <c r="BP78" i="17"/>
  <c r="BP79" i="17"/>
  <c r="BP80" i="17"/>
  <c r="BP81" i="17"/>
  <c r="BP82" i="17"/>
  <c r="BP83" i="17"/>
  <c r="BP84" i="17"/>
  <c r="BP85" i="17"/>
  <c r="BP86" i="17"/>
  <c r="BP87" i="17"/>
  <c r="BP88" i="17"/>
  <c r="BP89" i="17"/>
  <c r="BP90" i="17"/>
  <c r="BP91" i="17"/>
  <c r="BP92" i="17"/>
  <c r="BP93" i="17"/>
  <c r="BP94" i="17"/>
  <c r="BP95" i="17"/>
  <c r="BP96" i="17"/>
  <c r="BP97" i="17"/>
  <c r="BP98" i="17"/>
  <c r="BP99" i="17"/>
  <c r="BP100" i="17"/>
  <c r="BP101" i="17"/>
  <c r="BP102" i="17"/>
  <c r="BP103" i="17"/>
  <c r="BP104" i="17"/>
  <c r="BP105" i="17"/>
  <c r="BP106" i="17"/>
  <c r="BP107" i="17"/>
  <c r="BP108" i="17"/>
  <c r="BP109" i="17"/>
  <c r="BP110" i="17"/>
  <c r="BP111" i="17"/>
  <c r="BP112" i="17"/>
  <c r="BP113" i="17"/>
  <c r="BP114" i="17"/>
  <c r="BP115" i="17"/>
  <c r="BP116" i="17"/>
  <c r="BP117" i="17"/>
  <c r="BP118" i="17"/>
  <c r="BP119" i="17"/>
  <c r="BP120" i="17"/>
  <c r="BP121" i="17"/>
  <c r="BP122" i="17"/>
  <c r="BP123" i="17"/>
  <c r="BP124" i="17"/>
  <c r="BP125" i="17"/>
  <c r="BP126" i="17"/>
  <c r="BP127" i="17"/>
  <c r="BP128" i="17"/>
  <c r="BP129" i="17"/>
  <c r="BP130" i="17"/>
  <c r="BP131" i="17"/>
  <c r="BP132" i="17"/>
  <c r="BP133" i="17"/>
  <c r="BP134" i="17"/>
  <c r="BP135" i="17"/>
  <c r="BP136" i="17"/>
  <c r="BP137" i="17"/>
  <c r="BP138" i="17"/>
  <c r="BP139" i="17"/>
  <c r="BP140" i="17"/>
  <c r="BP141" i="17"/>
  <c r="BP142" i="17"/>
  <c r="BP143" i="17"/>
  <c r="BP144" i="17"/>
  <c r="BP145" i="17"/>
  <c r="BP146" i="17"/>
  <c r="BP147" i="17"/>
  <c r="BP148" i="17"/>
  <c r="BP149" i="17"/>
  <c r="BP150" i="17"/>
  <c r="BP151" i="17"/>
  <c r="BP152" i="17"/>
  <c r="BP153" i="17"/>
  <c r="BP154" i="17"/>
  <c r="BP155" i="17"/>
  <c r="BP156" i="17"/>
  <c r="BP157" i="17"/>
  <c r="BP158" i="17"/>
  <c r="BP159" i="17"/>
  <c r="BP160" i="17"/>
  <c r="BP161" i="17"/>
  <c r="BP162" i="17"/>
  <c r="BP163" i="17"/>
  <c r="BP164" i="17"/>
  <c r="BP165" i="17"/>
  <c r="BP166" i="17"/>
  <c r="BP167" i="17"/>
  <c r="BP168" i="17"/>
  <c r="BP169" i="17"/>
  <c r="BP170" i="17"/>
  <c r="BP171" i="17"/>
  <c r="BP172" i="17"/>
  <c r="BP173" i="17"/>
  <c r="BP174" i="17"/>
  <c r="BP175" i="17"/>
  <c r="BP176" i="17"/>
  <c r="BP177" i="17"/>
  <c r="BP178" i="17"/>
  <c r="BP179" i="17"/>
  <c r="BP180" i="17"/>
  <c r="BP181" i="17"/>
  <c r="BP182" i="17"/>
  <c r="BE189" i="17"/>
  <c r="BE190" i="17"/>
  <c r="BE185" i="17"/>
  <c r="BE186" i="17"/>
  <c r="BE5" i="17"/>
  <c r="BE6" i="17"/>
  <c r="BE7" i="17"/>
  <c r="BE8" i="17"/>
  <c r="BE9" i="17"/>
  <c r="BE10" i="17"/>
  <c r="BE11" i="17"/>
  <c r="BE12" i="17"/>
  <c r="BE13" i="17"/>
  <c r="BE14" i="17"/>
  <c r="BE15" i="17"/>
  <c r="BE16" i="17"/>
  <c r="BE17" i="17"/>
  <c r="BE18" i="17"/>
  <c r="BE19" i="17"/>
  <c r="BE20" i="17"/>
  <c r="BE21" i="17"/>
  <c r="BE22" i="17"/>
  <c r="BE23" i="17"/>
  <c r="BE24" i="17"/>
  <c r="BE25" i="17"/>
  <c r="BE26" i="17"/>
  <c r="BE27" i="17"/>
  <c r="BE28" i="17"/>
  <c r="BE29" i="17"/>
  <c r="BE30" i="17"/>
  <c r="BE31" i="17"/>
  <c r="BE32" i="17"/>
  <c r="BE33" i="17"/>
  <c r="BE34" i="17"/>
  <c r="BE35" i="17"/>
  <c r="BE36" i="17"/>
  <c r="BE37" i="17"/>
  <c r="BE38" i="17"/>
  <c r="BE39" i="17"/>
  <c r="BE40" i="17"/>
  <c r="BE41" i="17"/>
  <c r="BE42" i="17"/>
  <c r="BE43" i="17"/>
  <c r="BE44" i="17"/>
  <c r="BE45" i="17"/>
  <c r="BE46" i="17"/>
  <c r="BE47" i="17"/>
  <c r="BE48" i="17"/>
  <c r="BE49" i="17"/>
  <c r="BE50" i="17"/>
  <c r="BE51" i="17"/>
  <c r="BE52" i="17"/>
  <c r="BE53" i="17"/>
  <c r="BE54" i="17"/>
  <c r="BE55" i="17"/>
  <c r="BE56" i="17"/>
  <c r="BE57" i="17"/>
  <c r="BE58" i="17"/>
  <c r="BE59" i="17"/>
  <c r="BE60" i="17"/>
  <c r="BE61" i="17"/>
  <c r="BE62" i="17"/>
  <c r="BE63" i="17"/>
  <c r="BE64" i="17"/>
  <c r="BE65" i="17"/>
  <c r="BE66" i="17"/>
  <c r="BE67" i="17"/>
  <c r="BE68" i="17"/>
  <c r="BE69" i="17"/>
  <c r="BE70" i="17"/>
  <c r="BE71" i="17"/>
  <c r="BE72" i="17"/>
  <c r="BE73" i="17"/>
  <c r="BE74" i="17"/>
  <c r="BE75" i="17"/>
  <c r="BE76" i="17"/>
  <c r="BE77" i="17"/>
  <c r="BE78" i="17"/>
  <c r="BE79" i="17"/>
  <c r="BE80" i="17"/>
  <c r="BE81" i="17"/>
  <c r="BE82" i="17"/>
  <c r="BE83" i="17"/>
  <c r="BE84" i="17"/>
  <c r="BE85" i="17"/>
  <c r="BE86" i="17"/>
  <c r="BE87" i="17"/>
  <c r="BE88" i="17"/>
  <c r="BE89" i="17"/>
  <c r="BE90" i="17"/>
  <c r="BE91" i="17"/>
  <c r="BE92" i="17"/>
  <c r="BE93" i="17"/>
  <c r="BE94" i="17"/>
  <c r="BE95" i="17"/>
  <c r="BE96" i="17"/>
  <c r="BE97" i="17"/>
  <c r="BE98" i="17"/>
  <c r="BE99" i="17"/>
  <c r="BE100" i="17"/>
  <c r="BE101" i="17"/>
  <c r="BE102" i="17"/>
  <c r="BE103" i="17"/>
  <c r="BE104" i="17"/>
  <c r="BE105" i="17"/>
  <c r="BE106" i="17"/>
  <c r="BE107" i="17"/>
  <c r="BE108" i="17"/>
  <c r="BE109" i="17"/>
  <c r="BE110" i="17"/>
  <c r="BE111" i="17"/>
  <c r="BE112" i="17"/>
  <c r="BE113" i="17"/>
  <c r="BE114" i="17"/>
  <c r="BE115" i="17"/>
  <c r="BE116" i="17"/>
  <c r="BE117" i="17"/>
  <c r="BE118" i="17"/>
  <c r="BE119" i="17"/>
  <c r="BE120" i="17"/>
  <c r="BE121" i="17"/>
  <c r="BE122" i="17"/>
  <c r="BE123" i="17"/>
  <c r="BE124" i="17"/>
  <c r="BE125" i="17"/>
  <c r="BE126" i="17"/>
  <c r="BE127" i="17"/>
  <c r="BE128" i="17"/>
  <c r="BE129" i="17"/>
  <c r="BE130" i="17"/>
  <c r="BE131" i="17"/>
  <c r="BE132" i="17"/>
  <c r="BE133" i="17"/>
  <c r="BE134" i="17"/>
  <c r="BE135" i="17"/>
  <c r="BE136" i="17"/>
  <c r="BE137" i="17"/>
  <c r="BE138" i="17"/>
  <c r="BE139" i="17"/>
  <c r="BE140" i="17"/>
  <c r="BE141" i="17"/>
  <c r="BE142" i="17"/>
  <c r="BE143" i="17"/>
  <c r="BE144" i="17"/>
  <c r="BE145" i="17"/>
  <c r="BE146" i="17"/>
  <c r="BE147" i="17"/>
  <c r="BE148" i="17"/>
  <c r="BE149" i="17"/>
  <c r="BE150" i="17"/>
  <c r="BE151" i="17"/>
  <c r="BE152" i="17"/>
  <c r="BE153" i="17"/>
  <c r="BE154" i="17"/>
  <c r="BE155" i="17"/>
  <c r="BE156" i="17"/>
  <c r="BE157" i="17"/>
  <c r="BE158" i="17"/>
  <c r="BE159" i="17"/>
  <c r="BE160" i="17"/>
  <c r="BE161" i="17"/>
  <c r="BE162" i="17"/>
  <c r="BE163" i="17"/>
  <c r="BE164" i="17"/>
  <c r="BE165" i="17"/>
  <c r="BE166" i="17"/>
  <c r="BE167" i="17"/>
  <c r="BE168" i="17"/>
  <c r="BE169" i="17"/>
  <c r="BE170" i="17"/>
  <c r="BE171" i="17"/>
  <c r="BE172" i="17"/>
  <c r="BE173" i="17"/>
  <c r="BE174" i="17"/>
  <c r="BE175" i="17"/>
  <c r="BE176" i="17"/>
  <c r="BE177" i="17"/>
  <c r="BE178" i="17"/>
  <c r="BE179" i="17"/>
  <c r="BE180" i="17"/>
  <c r="BE181" i="17"/>
  <c r="BE182" i="17"/>
  <c r="AT190" i="17"/>
  <c r="AS190" i="17" s="1"/>
  <c r="AT189" i="17"/>
  <c r="AS189" i="17" s="1"/>
  <c r="AT186" i="17"/>
  <c r="AS186" i="17" s="1"/>
  <c r="AT185" i="17"/>
  <c r="AS185" i="17" s="1"/>
  <c r="AT182" i="17"/>
  <c r="AT181" i="17"/>
  <c r="AT180" i="17"/>
  <c r="AT179" i="17"/>
  <c r="AT178" i="17"/>
  <c r="AT177" i="17"/>
  <c r="AT176" i="17"/>
  <c r="AT175" i="17"/>
  <c r="AT174" i="17"/>
  <c r="AT173" i="17"/>
  <c r="AT172" i="17"/>
  <c r="AT171" i="17"/>
  <c r="AT170" i="17"/>
  <c r="AT169" i="17"/>
  <c r="AT168" i="17"/>
  <c r="AT167" i="17"/>
  <c r="AT166" i="17"/>
  <c r="AT165" i="17"/>
  <c r="AT164" i="17"/>
  <c r="AT163" i="17"/>
  <c r="AT162" i="17"/>
  <c r="AT161" i="17"/>
  <c r="AT160" i="17"/>
  <c r="AT159" i="17"/>
  <c r="AT158" i="17"/>
  <c r="AT157" i="17"/>
  <c r="AT156" i="17"/>
  <c r="AT155" i="17"/>
  <c r="AT154" i="17"/>
  <c r="AT153" i="17"/>
  <c r="AT152" i="17"/>
  <c r="AT151" i="17"/>
  <c r="AT150" i="17"/>
  <c r="AT149" i="17"/>
  <c r="AT148" i="17"/>
  <c r="AT147" i="17"/>
  <c r="AT146" i="17"/>
  <c r="AT145" i="17"/>
  <c r="AT144" i="17"/>
  <c r="AT143" i="17"/>
  <c r="AT142" i="17"/>
  <c r="AT141" i="17"/>
  <c r="AT140" i="17"/>
  <c r="AT139" i="17"/>
  <c r="AT138" i="17"/>
  <c r="AT137" i="17"/>
  <c r="AT136" i="17"/>
  <c r="AT135" i="17"/>
  <c r="AT134" i="17"/>
  <c r="AT133" i="17"/>
  <c r="AT132" i="17"/>
  <c r="AT131" i="17"/>
  <c r="AT130" i="17"/>
  <c r="AT129" i="17"/>
  <c r="AT128" i="17"/>
  <c r="AT127" i="17"/>
  <c r="AT126" i="17"/>
  <c r="AT125" i="17"/>
  <c r="AT124" i="17"/>
  <c r="AT123" i="17"/>
  <c r="AT122" i="17"/>
  <c r="AT121" i="17"/>
  <c r="AT120" i="17"/>
  <c r="AT119" i="17"/>
  <c r="AT118" i="17"/>
  <c r="AT117" i="17"/>
  <c r="AT116" i="17"/>
  <c r="AT115" i="17"/>
  <c r="AT114" i="17"/>
  <c r="AT113" i="17"/>
  <c r="AT112" i="17"/>
  <c r="AT111" i="17"/>
  <c r="AT110" i="17"/>
  <c r="AT109" i="17"/>
  <c r="AT108" i="17"/>
  <c r="AT107" i="17"/>
  <c r="AT106" i="17"/>
  <c r="AT105" i="17"/>
  <c r="AT104" i="17"/>
  <c r="AT103" i="17"/>
  <c r="AT102" i="17"/>
  <c r="AT101" i="17"/>
  <c r="AT100" i="17"/>
  <c r="AT99" i="17"/>
  <c r="AT98" i="17"/>
  <c r="AT97" i="17"/>
  <c r="AT96" i="17"/>
  <c r="AT95" i="17"/>
  <c r="AT94" i="17"/>
  <c r="AT93" i="17"/>
  <c r="AT92" i="17"/>
  <c r="AT91" i="17"/>
  <c r="AT90" i="17"/>
  <c r="AT89" i="17"/>
  <c r="AT88" i="17"/>
  <c r="AT87" i="17"/>
  <c r="AT86" i="17"/>
  <c r="AT85" i="17"/>
  <c r="AT84" i="17"/>
  <c r="AT83" i="17"/>
  <c r="AT82" i="17"/>
  <c r="AT81" i="17"/>
  <c r="AT80" i="17"/>
  <c r="AT79" i="17"/>
  <c r="AT78" i="17"/>
  <c r="AT77" i="17"/>
  <c r="AT76" i="17"/>
  <c r="AT75" i="17"/>
  <c r="AT74" i="17"/>
  <c r="AT73" i="17"/>
  <c r="AT72" i="17"/>
  <c r="AT71" i="17"/>
  <c r="AT70" i="17"/>
  <c r="AT69" i="17"/>
  <c r="AT68" i="17"/>
  <c r="AT67" i="17"/>
  <c r="AT66" i="17"/>
  <c r="AT65" i="17"/>
  <c r="AT64" i="17"/>
  <c r="AT63" i="17"/>
  <c r="AT62" i="17"/>
  <c r="AT61" i="17"/>
  <c r="AT60" i="17"/>
  <c r="AT59" i="17"/>
  <c r="AT58" i="17"/>
  <c r="AT57" i="17"/>
  <c r="AT56" i="17"/>
  <c r="AT55" i="17"/>
  <c r="AT54" i="17"/>
  <c r="AT53" i="17"/>
  <c r="AT52" i="17"/>
  <c r="AT51" i="17"/>
  <c r="AT50" i="17"/>
  <c r="AT49" i="17"/>
  <c r="AT48" i="17"/>
  <c r="AT47" i="17"/>
  <c r="AT46" i="17"/>
  <c r="AT45" i="17"/>
  <c r="AT44" i="17"/>
  <c r="AT43" i="17"/>
  <c r="AT42" i="17"/>
  <c r="AT41" i="17"/>
  <c r="AT40" i="17"/>
  <c r="AT39" i="17"/>
  <c r="AT38" i="17"/>
  <c r="AT37" i="17"/>
  <c r="AT36" i="17"/>
  <c r="AT35" i="17"/>
  <c r="AT34" i="17"/>
  <c r="AT33" i="17"/>
  <c r="AT32" i="17"/>
  <c r="AT31" i="17"/>
  <c r="AT30" i="17"/>
  <c r="AT29" i="17"/>
  <c r="AT28" i="17"/>
  <c r="AT27" i="17"/>
  <c r="AT26" i="17"/>
  <c r="AT25" i="17"/>
  <c r="AT24" i="17"/>
  <c r="AT23" i="17"/>
  <c r="AT22" i="17"/>
  <c r="AT21" i="17"/>
  <c r="AT20" i="17"/>
  <c r="AT19" i="17"/>
  <c r="AT18" i="17"/>
  <c r="AT17" i="17"/>
  <c r="AT16" i="17"/>
  <c r="AT15" i="17"/>
  <c r="AT14" i="17"/>
  <c r="AT13" i="17"/>
  <c r="AT12" i="17"/>
  <c r="AT11" i="17"/>
  <c r="AT10" i="17"/>
  <c r="AT9" i="17"/>
  <c r="AT8" i="17"/>
  <c r="AT7" i="17"/>
  <c r="AT6" i="17"/>
  <c r="AT5" i="17"/>
  <c r="AI182" i="17"/>
  <c r="AI181" i="17"/>
  <c r="AI179" i="17"/>
  <c r="AI178" i="17"/>
  <c r="AI177" i="17"/>
  <c r="AI176" i="17"/>
  <c r="AI175" i="17"/>
  <c r="AI174" i="17"/>
  <c r="AI173" i="17"/>
  <c r="AI172" i="17"/>
  <c r="AI171" i="17"/>
  <c r="AI170" i="17"/>
  <c r="AI169" i="17"/>
  <c r="AI168" i="17"/>
  <c r="AI167" i="17"/>
  <c r="AI166" i="17"/>
  <c r="AI165" i="17"/>
  <c r="AI164" i="17"/>
  <c r="AI163" i="17"/>
  <c r="AI162" i="17"/>
  <c r="AI161" i="17"/>
  <c r="AI160" i="17"/>
  <c r="AI159" i="17"/>
  <c r="AI158" i="17"/>
  <c r="AI157" i="17"/>
  <c r="AI156" i="17"/>
  <c r="AI155" i="17"/>
  <c r="AI154" i="17"/>
  <c r="AI153" i="17"/>
  <c r="AI152" i="17"/>
  <c r="AI151" i="17"/>
  <c r="AI150" i="17"/>
  <c r="AI149" i="17"/>
  <c r="AI148" i="17"/>
  <c r="AI147" i="17"/>
  <c r="AI146" i="17"/>
  <c r="AI145" i="17"/>
  <c r="AI144" i="17"/>
  <c r="AI143" i="17"/>
  <c r="AI142" i="17"/>
  <c r="AI141" i="17"/>
  <c r="AI140" i="17"/>
  <c r="AI139" i="17"/>
  <c r="AI138" i="17"/>
  <c r="AI137" i="17"/>
  <c r="AI136" i="17"/>
  <c r="AI135" i="17"/>
  <c r="AI134" i="17"/>
  <c r="AI133" i="17"/>
  <c r="AI132" i="17"/>
  <c r="AI131" i="17"/>
  <c r="AI130" i="17"/>
  <c r="AI129" i="17"/>
  <c r="AI128" i="17"/>
  <c r="AI127" i="17"/>
  <c r="AI126" i="17"/>
  <c r="AI125" i="17"/>
  <c r="AI124" i="17"/>
  <c r="AI123" i="17"/>
  <c r="AI122" i="17"/>
  <c r="AI121" i="17"/>
  <c r="AI120" i="17"/>
  <c r="AI119" i="17"/>
  <c r="AI118" i="17"/>
  <c r="AI117" i="17"/>
  <c r="AI116" i="17"/>
  <c r="AI115" i="17"/>
  <c r="AI114" i="17"/>
  <c r="AI113" i="17"/>
  <c r="AI112" i="17"/>
  <c r="AI111" i="17"/>
  <c r="AI110" i="17"/>
  <c r="AI109" i="17"/>
  <c r="AI108" i="17"/>
  <c r="AI107" i="17"/>
  <c r="AI106" i="17"/>
  <c r="AI105" i="17"/>
  <c r="AI104" i="17"/>
  <c r="AI103" i="17"/>
  <c r="AI102" i="17"/>
  <c r="AI101" i="17"/>
  <c r="AI100" i="17"/>
  <c r="AI99" i="17"/>
  <c r="AI98" i="17"/>
  <c r="AI97" i="17"/>
  <c r="AI96" i="17"/>
  <c r="AI95" i="17"/>
  <c r="AI94" i="17"/>
  <c r="AI93" i="17"/>
  <c r="AI92" i="17"/>
  <c r="AI91" i="17"/>
  <c r="AI90" i="17"/>
  <c r="AI89" i="17"/>
  <c r="AI88" i="17"/>
  <c r="AI87" i="17"/>
  <c r="AI86" i="17"/>
  <c r="AI85" i="17"/>
  <c r="AI84" i="17"/>
  <c r="AI83" i="17"/>
  <c r="AI82" i="17"/>
  <c r="AI81" i="17"/>
  <c r="AI80" i="17"/>
  <c r="AI79" i="17"/>
  <c r="AI78" i="17"/>
  <c r="AI77" i="17"/>
  <c r="AI76" i="17"/>
  <c r="AI75" i="17"/>
  <c r="AI74" i="17"/>
  <c r="AI73" i="17"/>
  <c r="AI72" i="17"/>
  <c r="AI71" i="17"/>
  <c r="AI70" i="17"/>
  <c r="AI69" i="17"/>
  <c r="AI68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I54" i="17"/>
  <c r="AI53" i="17"/>
  <c r="AI52" i="17"/>
  <c r="AI51" i="17"/>
  <c r="AI50" i="17"/>
  <c r="AI49" i="17"/>
  <c r="AI48" i="17"/>
  <c r="AI47" i="17"/>
  <c r="AI46" i="17"/>
  <c r="AI45" i="17"/>
  <c r="AI44" i="17"/>
  <c r="AI43" i="17"/>
  <c r="AI42" i="17"/>
  <c r="AI41" i="17"/>
  <c r="AI40" i="17"/>
  <c r="AI39" i="17"/>
  <c r="AI38" i="17"/>
  <c r="AI37" i="17"/>
  <c r="AI36" i="17"/>
  <c r="AI35" i="17"/>
  <c r="AI34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AI5" i="17"/>
  <c r="AH190" i="17"/>
  <c r="AG190" i="17"/>
  <c r="AH189" i="17"/>
  <c r="AG189" i="17"/>
  <c r="AH186" i="17"/>
  <c r="AG186" i="17"/>
  <c r="AH185" i="17"/>
  <c r="AG185" i="17"/>
  <c r="AI180" i="17"/>
  <c r="AI185" i="17"/>
  <c r="AI186" i="17"/>
  <c r="AI189" i="17"/>
  <c r="AI190" i="17"/>
  <c r="X190" i="17"/>
  <c r="M60" i="19" s="1"/>
  <c r="X189" i="17"/>
  <c r="M61" i="19" s="1"/>
  <c r="X186" i="17"/>
  <c r="X185" i="17"/>
  <c r="M58" i="19" s="1"/>
  <c r="BC185" i="17"/>
  <c r="BD185" i="17"/>
  <c r="BN185" i="17"/>
  <c r="BO185" i="17"/>
  <c r="BY185" i="17"/>
  <c r="BZ185" i="17"/>
  <c r="BC186" i="17"/>
  <c r="BD186" i="17"/>
  <c r="BN186" i="17"/>
  <c r="BO186" i="17"/>
  <c r="BY186" i="17"/>
  <c r="BZ186" i="17"/>
  <c r="AI14" i="14"/>
  <c r="X81" i="14"/>
  <c r="AH81" i="14" s="1"/>
  <c r="Q67" i="19"/>
  <c r="AI11" i="14"/>
  <c r="AJ16" i="16"/>
  <c r="X5" i="15"/>
  <c r="X6" i="15"/>
  <c r="X7" i="15"/>
  <c r="X8" i="15"/>
  <c r="X9" i="15"/>
  <c r="X10" i="15"/>
  <c r="X11" i="15"/>
  <c r="X12" i="15"/>
  <c r="X13" i="15"/>
  <c r="X14" i="15"/>
  <c r="Q70" i="19"/>
  <c r="Q71" i="19"/>
  <c r="Q69" i="19"/>
  <c r="Q68" i="19"/>
  <c r="Q64" i="19"/>
  <c r="Q65" i="19"/>
  <c r="Q66" i="19"/>
  <c r="Q63" i="19"/>
  <c r="Q62" i="19"/>
  <c r="P71" i="19"/>
  <c r="P70" i="19"/>
  <c r="P69" i="19"/>
  <c r="P68" i="19"/>
  <c r="P67" i="19"/>
  <c r="I82" i="19" s="1"/>
  <c r="P64" i="19"/>
  <c r="P65" i="19"/>
  <c r="P66" i="19"/>
  <c r="P63" i="19"/>
  <c r="P62" i="19"/>
  <c r="I81" i="19" s="1"/>
  <c r="Q57" i="19"/>
  <c r="Q56" i="19" a="1"/>
  <c r="Q56" i="19"/>
  <c r="P57" i="19"/>
  <c r="P56" i="19" a="1"/>
  <c r="P56" i="19"/>
  <c r="M57" i="19"/>
  <c r="O68" i="19"/>
  <c r="O66" i="19"/>
  <c r="O32" i="19"/>
  <c r="Q72" i="19"/>
  <c r="Q61" i="19"/>
  <c r="Q60" i="19"/>
  <c r="Q59" i="19"/>
  <c r="Q58" i="19"/>
  <c r="Q52" i="19"/>
  <c r="Q51" i="19"/>
  <c r="Q50" i="19"/>
  <c r="Q49" i="19"/>
  <c r="Q47" i="19"/>
  <c r="Q48" i="19"/>
  <c r="Q46" i="19"/>
  <c r="Q42" i="19"/>
  <c r="Q43" i="19"/>
  <c r="Q44" i="19"/>
  <c r="Q45" i="19"/>
  <c r="Q41" i="19"/>
  <c r="Q40" i="19"/>
  <c r="Q39" i="19"/>
  <c r="Q38" i="19"/>
  <c r="Q35" i="19"/>
  <c r="Q36" i="19"/>
  <c r="Q37" i="19"/>
  <c r="Q34" i="19"/>
  <c r="Q33" i="19"/>
  <c r="Q31" i="19"/>
  <c r="Q32" i="19"/>
  <c r="Q30" i="19"/>
  <c r="Q29" i="19"/>
  <c r="Q28" i="19"/>
  <c r="Q26" i="19"/>
  <c r="Q27" i="19"/>
  <c r="Q25" i="19"/>
  <c r="Q23" i="19"/>
  <c r="Q24" i="19"/>
  <c r="Q22" i="19"/>
  <c r="Q18" i="19"/>
  <c r="Q19" i="19"/>
  <c r="Q20" i="19"/>
  <c r="Q21" i="19"/>
  <c r="N25" i="19"/>
  <c r="Q17" i="19"/>
  <c r="Q15" i="19"/>
  <c r="Q16" i="19"/>
  <c r="Q14" i="19"/>
  <c r="Q7" i="19"/>
  <c r="Q8" i="19"/>
  <c r="Q9" i="19"/>
  <c r="Q10" i="19"/>
  <c r="Q11" i="19"/>
  <c r="Q12" i="19"/>
  <c r="Q13" i="19"/>
  <c r="Q6" i="19"/>
  <c r="P6" i="19"/>
  <c r="Q5" i="19"/>
  <c r="Q4" i="19"/>
  <c r="P50" i="19"/>
  <c r="P45" i="19"/>
  <c r="P39" i="19"/>
  <c r="P36" i="19"/>
  <c r="P37" i="19"/>
  <c r="P29" i="19"/>
  <c r="P27" i="19"/>
  <c r="P26" i="19"/>
  <c r="P25" i="19"/>
  <c r="P23" i="19"/>
  <c r="P19" i="19"/>
  <c r="O71" i="19"/>
  <c r="O72" i="19"/>
  <c r="O57" i="19"/>
  <c r="O59" i="19"/>
  <c r="O62" i="19"/>
  <c r="O63" i="19"/>
  <c r="O64" i="19"/>
  <c r="O65" i="19"/>
  <c r="O67" i="19"/>
  <c r="O69" i="19"/>
  <c r="O70" i="19"/>
  <c r="O29" i="19"/>
  <c r="O30" i="19"/>
  <c r="O31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N72" i="19"/>
  <c r="N71" i="19"/>
  <c r="N70" i="19"/>
  <c r="N69" i="19"/>
  <c r="N68" i="19"/>
  <c r="N67" i="19"/>
  <c r="N66" i="19"/>
  <c r="N64" i="19"/>
  <c r="N65" i="19"/>
  <c r="N63" i="19"/>
  <c r="N62" i="19"/>
  <c r="N59" i="19"/>
  <c r="N57" i="19"/>
  <c r="N53" i="19"/>
  <c r="N52" i="19"/>
  <c r="N51" i="19"/>
  <c r="N50" i="19"/>
  <c r="N49" i="19"/>
  <c r="N47" i="19"/>
  <c r="N48" i="19"/>
  <c r="N46" i="19"/>
  <c r="N43" i="19"/>
  <c r="N44" i="19"/>
  <c r="N45" i="19"/>
  <c r="N42" i="19"/>
  <c r="N41" i="19"/>
  <c r="N40" i="19"/>
  <c r="N39" i="19"/>
  <c r="N37" i="19"/>
  <c r="N35" i="19"/>
  <c r="N36" i="19"/>
  <c r="N38" i="19"/>
  <c r="N34" i="19"/>
  <c r="N33" i="19"/>
  <c r="N31" i="19"/>
  <c r="N32" i="19"/>
  <c r="N30" i="19"/>
  <c r="N29" i="19"/>
  <c r="N28" i="19"/>
  <c r="N26" i="19"/>
  <c r="N27" i="19"/>
  <c r="N23" i="19"/>
  <c r="N24" i="19"/>
  <c r="N22" i="19"/>
  <c r="N18" i="19"/>
  <c r="N19" i="19"/>
  <c r="N20" i="19"/>
  <c r="N21" i="19"/>
  <c r="N17" i="19"/>
  <c r="N15" i="19"/>
  <c r="N16" i="19"/>
  <c r="N14" i="19"/>
  <c r="N7" i="19"/>
  <c r="N8" i="19"/>
  <c r="N9" i="19"/>
  <c r="N10" i="19"/>
  <c r="N11" i="19"/>
  <c r="N12" i="19"/>
  <c r="N13" i="19"/>
  <c r="N6" i="19"/>
  <c r="N5" i="19"/>
  <c r="N4" i="19"/>
  <c r="O2" i="19"/>
  <c r="M71" i="19"/>
  <c r="M70" i="19"/>
  <c r="M69" i="19"/>
  <c r="M68" i="19"/>
  <c r="M67" i="19"/>
  <c r="F82" i="19" s="1"/>
  <c r="M64" i="19"/>
  <c r="M65" i="19"/>
  <c r="M66" i="19"/>
  <c r="M63" i="19"/>
  <c r="M62" i="19"/>
  <c r="F81" i="19" s="1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Q3" i="19"/>
  <c r="S3" i="19"/>
  <c r="V3" i="19"/>
  <c r="W3" i="19"/>
  <c r="Y3" i="19"/>
  <c r="Z3" i="19"/>
  <c r="AB3" i="19"/>
  <c r="AC3" i="19"/>
  <c r="AE3" i="19"/>
  <c r="AF3" i="19"/>
  <c r="AH3" i="19"/>
  <c r="AI3" i="19"/>
  <c r="AK3" i="19"/>
  <c r="AL3" i="19"/>
  <c r="AN3" i="19"/>
  <c r="AO3" i="19"/>
  <c r="AQ3" i="19"/>
  <c r="AR3" i="19"/>
  <c r="AT3" i="19"/>
  <c r="AU3" i="19"/>
  <c r="N3" i="19"/>
  <c r="J73" i="19"/>
  <c r="BZ5" i="17"/>
  <c r="BZ6" i="17"/>
  <c r="BZ7" i="17"/>
  <c r="BZ8" i="17"/>
  <c r="BZ9" i="17"/>
  <c r="BZ10" i="17"/>
  <c r="BZ11" i="17"/>
  <c r="BZ12" i="17"/>
  <c r="BZ13" i="17"/>
  <c r="BZ14" i="17"/>
  <c r="BZ15" i="17"/>
  <c r="BZ16" i="17"/>
  <c r="BZ17" i="17"/>
  <c r="BZ18" i="17"/>
  <c r="BZ19" i="17"/>
  <c r="BZ20" i="17"/>
  <c r="BZ21" i="17"/>
  <c r="BZ22" i="17"/>
  <c r="BZ23" i="17"/>
  <c r="BZ24" i="17"/>
  <c r="BZ25" i="17"/>
  <c r="BZ26" i="17"/>
  <c r="BZ27" i="17"/>
  <c r="BZ28" i="17"/>
  <c r="BZ29" i="17"/>
  <c r="BZ30" i="17"/>
  <c r="BZ31" i="17"/>
  <c r="BZ32" i="17"/>
  <c r="BZ33" i="17"/>
  <c r="BZ34" i="17"/>
  <c r="BZ35" i="17"/>
  <c r="BZ36" i="17"/>
  <c r="BZ37" i="17"/>
  <c r="BZ38" i="17"/>
  <c r="BZ39" i="17"/>
  <c r="BZ40" i="17"/>
  <c r="BZ41" i="17"/>
  <c r="BZ42" i="17"/>
  <c r="BZ43" i="17"/>
  <c r="BZ44" i="17"/>
  <c r="BZ45" i="17"/>
  <c r="BZ46" i="17"/>
  <c r="BZ47" i="17"/>
  <c r="BZ48" i="17"/>
  <c r="BZ49" i="17"/>
  <c r="BZ50" i="17"/>
  <c r="BZ51" i="17"/>
  <c r="BZ52" i="17"/>
  <c r="BZ53" i="17"/>
  <c r="BZ54" i="17"/>
  <c r="BZ55" i="17"/>
  <c r="BZ56" i="17"/>
  <c r="BZ57" i="17"/>
  <c r="BZ58" i="17"/>
  <c r="BZ59" i="17"/>
  <c r="BZ60" i="17"/>
  <c r="BZ61" i="17"/>
  <c r="BZ62" i="17"/>
  <c r="BZ63" i="17"/>
  <c r="BZ64" i="17"/>
  <c r="BZ65" i="17"/>
  <c r="BZ66" i="17"/>
  <c r="BZ67" i="17"/>
  <c r="BZ68" i="17"/>
  <c r="BZ69" i="17"/>
  <c r="BZ70" i="17"/>
  <c r="BZ71" i="17"/>
  <c r="BZ72" i="17"/>
  <c r="BZ73" i="17"/>
  <c r="BZ74" i="17"/>
  <c r="BZ75" i="17"/>
  <c r="BZ76" i="17"/>
  <c r="BZ77" i="17"/>
  <c r="BZ78" i="17"/>
  <c r="BZ79" i="17"/>
  <c r="BZ80" i="17"/>
  <c r="BZ81" i="17"/>
  <c r="BZ82" i="17"/>
  <c r="BZ83" i="17"/>
  <c r="BZ84" i="17"/>
  <c r="BZ85" i="17"/>
  <c r="BZ86" i="17"/>
  <c r="BZ87" i="17"/>
  <c r="BZ88" i="17"/>
  <c r="BZ89" i="17"/>
  <c r="BZ90" i="17"/>
  <c r="BZ91" i="17"/>
  <c r="BZ92" i="17"/>
  <c r="BZ93" i="17"/>
  <c r="BZ94" i="17"/>
  <c r="BZ95" i="17"/>
  <c r="BZ96" i="17"/>
  <c r="BZ97" i="17"/>
  <c r="BZ98" i="17"/>
  <c r="BZ99" i="17"/>
  <c r="BZ100" i="17"/>
  <c r="BZ101" i="17"/>
  <c r="BZ102" i="17"/>
  <c r="BZ103" i="17"/>
  <c r="BZ104" i="17"/>
  <c r="BZ105" i="17"/>
  <c r="BZ106" i="17"/>
  <c r="BZ107" i="17"/>
  <c r="BZ108" i="17"/>
  <c r="BZ109" i="17"/>
  <c r="BZ110" i="17"/>
  <c r="BZ111" i="17"/>
  <c r="BZ112" i="17"/>
  <c r="BZ113" i="17"/>
  <c r="BZ114" i="17"/>
  <c r="BZ115" i="17"/>
  <c r="BZ116" i="17"/>
  <c r="BZ117" i="17"/>
  <c r="BZ118" i="17"/>
  <c r="BZ119" i="17"/>
  <c r="BZ120" i="17"/>
  <c r="BZ121" i="17"/>
  <c r="BZ122" i="17"/>
  <c r="BZ123" i="17"/>
  <c r="BZ124" i="17"/>
  <c r="BZ125" i="17"/>
  <c r="BZ126" i="17"/>
  <c r="BZ127" i="17"/>
  <c r="BZ128" i="17"/>
  <c r="BZ129" i="17"/>
  <c r="BZ130" i="17"/>
  <c r="BZ131" i="17"/>
  <c r="BZ132" i="17"/>
  <c r="BZ133" i="17"/>
  <c r="BZ134" i="17"/>
  <c r="BZ135" i="17"/>
  <c r="BZ136" i="17"/>
  <c r="BZ137" i="17"/>
  <c r="BZ138" i="17"/>
  <c r="BZ139" i="17"/>
  <c r="BZ140" i="17"/>
  <c r="BZ141" i="17"/>
  <c r="BZ142" i="17"/>
  <c r="BZ143" i="17"/>
  <c r="BZ144" i="17"/>
  <c r="BZ145" i="17"/>
  <c r="BZ146" i="17"/>
  <c r="BZ147" i="17"/>
  <c r="BZ148" i="17"/>
  <c r="BZ149" i="17"/>
  <c r="BZ150" i="17"/>
  <c r="BZ151" i="17"/>
  <c r="BZ152" i="17"/>
  <c r="BZ153" i="17"/>
  <c r="BZ154" i="17"/>
  <c r="BZ155" i="17"/>
  <c r="BZ156" i="17"/>
  <c r="BZ157" i="17"/>
  <c r="BZ158" i="17"/>
  <c r="BZ159" i="17"/>
  <c r="BZ160" i="17"/>
  <c r="BZ161" i="17"/>
  <c r="BZ162" i="17"/>
  <c r="BZ163" i="17"/>
  <c r="BZ164" i="17"/>
  <c r="BZ165" i="17"/>
  <c r="BZ166" i="17"/>
  <c r="BZ167" i="17"/>
  <c r="BZ168" i="17"/>
  <c r="BZ169" i="17"/>
  <c r="BZ170" i="17"/>
  <c r="BZ171" i="17"/>
  <c r="BZ172" i="17"/>
  <c r="BZ173" i="17"/>
  <c r="BZ174" i="17"/>
  <c r="BZ175" i="17"/>
  <c r="BZ176" i="17"/>
  <c r="BZ177" i="17"/>
  <c r="BZ178" i="17"/>
  <c r="BZ179" i="17"/>
  <c r="BZ180" i="17"/>
  <c r="BZ181" i="17"/>
  <c r="BZ182" i="17"/>
  <c r="BY5" i="17"/>
  <c r="BY6" i="17"/>
  <c r="BY7" i="17"/>
  <c r="BY8" i="17"/>
  <c r="BY9" i="17"/>
  <c r="BY10" i="17"/>
  <c r="BY11" i="17"/>
  <c r="BY12" i="17"/>
  <c r="BY13" i="17"/>
  <c r="BY14" i="17"/>
  <c r="BY15" i="17"/>
  <c r="BY16" i="17"/>
  <c r="BY17" i="17"/>
  <c r="BY18" i="17"/>
  <c r="BY19" i="17"/>
  <c r="BY20" i="17"/>
  <c r="BY21" i="17"/>
  <c r="BY22" i="17"/>
  <c r="BY23" i="17"/>
  <c r="BY24" i="17"/>
  <c r="BY25" i="17"/>
  <c r="BY26" i="17"/>
  <c r="BY27" i="17"/>
  <c r="BY28" i="17"/>
  <c r="BY29" i="17"/>
  <c r="BY30" i="17"/>
  <c r="BY31" i="17"/>
  <c r="BY32" i="17"/>
  <c r="BY33" i="17"/>
  <c r="BY34" i="17"/>
  <c r="BY35" i="17"/>
  <c r="BY36" i="17"/>
  <c r="BY37" i="17"/>
  <c r="BY38" i="17"/>
  <c r="BY39" i="17"/>
  <c r="BY40" i="17"/>
  <c r="BY41" i="17"/>
  <c r="BY42" i="17"/>
  <c r="BY43" i="17"/>
  <c r="BY44" i="17"/>
  <c r="BY45" i="17"/>
  <c r="BY46" i="17"/>
  <c r="BY47" i="17"/>
  <c r="BY48" i="17"/>
  <c r="BY49" i="17"/>
  <c r="BY50" i="17"/>
  <c r="BY51" i="17"/>
  <c r="BY52" i="17"/>
  <c r="BY53" i="17"/>
  <c r="BY54" i="17"/>
  <c r="BY55" i="17"/>
  <c r="BY56" i="17"/>
  <c r="BY57" i="17"/>
  <c r="BY58" i="17"/>
  <c r="BY59" i="17"/>
  <c r="BY60" i="17"/>
  <c r="BY61" i="17"/>
  <c r="BY62" i="17"/>
  <c r="BY63" i="17"/>
  <c r="BY64" i="17"/>
  <c r="BY65" i="17"/>
  <c r="BY66" i="17"/>
  <c r="BY67" i="17"/>
  <c r="BY68" i="17"/>
  <c r="BY69" i="17"/>
  <c r="BY70" i="17"/>
  <c r="BY71" i="17"/>
  <c r="BY72" i="17"/>
  <c r="BY73" i="17"/>
  <c r="BY74" i="17"/>
  <c r="BY75" i="17"/>
  <c r="BY76" i="17"/>
  <c r="BY77" i="17"/>
  <c r="BY78" i="17"/>
  <c r="BY79" i="17"/>
  <c r="BY80" i="17"/>
  <c r="BY81" i="17"/>
  <c r="BY82" i="17"/>
  <c r="BY83" i="17"/>
  <c r="BY84" i="17"/>
  <c r="BY85" i="17"/>
  <c r="BY86" i="17"/>
  <c r="BY87" i="17"/>
  <c r="BY88" i="17"/>
  <c r="BY89" i="17"/>
  <c r="BY90" i="17"/>
  <c r="BY91" i="17"/>
  <c r="BY92" i="17"/>
  <c r="BY93" i="17"/>
  <c r="BY94" i="17"/>
  <c r="BY95" i="17"/>
  <c r="BY96" i="17"/>
  <c r="BY97" i="17"/>
  <c r="BY98" i="17"/>
  <c r="BY99" i="17"/>
  <c r="BY100" i="17"/>
  <c r="BY101" i="17"/>
  <c r="BY102" i="17"/>
  <c r="BY103" i="17"/>
  <c r="BY104" i="17"/>
  <c r="BY105" i="17"/>
  <c r="BY106" i="17"/>
  <c r="BY107" i="17"/>
  <c r="BY108" i="17"/>
  <c r="BY109" i="17"/>
  <c r="BY110" i="17"/>
  <c r="BY111" i="17"/>
  <c r="BY112" i="17"/>
  <c r="BY113" i="17"/>
  <c r="BY114" i="17"/>
  <c r="BY115" i="17"/>
  <c r="BY116" i="17"/>
  <c r="BY117" i="17"/>
  <c r="BY118" i="17"/>
  <c r="BY119" i="17"/>
  <c r="BY120" i="17"/>
  <c r="BY121" i="17"/>
  <c r="BY122" i="17"/>
  <c r="BY123" i="17"/>
  <c r="BY124" i="17"/>
  <c r="BY125" i="17"/>
  <c r="BY126" i="17"/>
  <c r="BY127" i="17"/>
  <c r="BY128" i="17"/>
  <c r="BY129" i="17"/>
  <c r="BY130" i="17"/>
  <c r="BY131" i="17"/>
  <c r="BY132" i="17"/>
  <c r="BY133" i="17"/>
  <c r="BY134" i="17"/>
  <c r="BY135" i="17"/>
  <c r="BY136" i="17"/>
  <c r="BY137" i="17"/>
  <c r="BY138" i="17"/>
  <c r="BY139" i="17"/>
  <c r="BY140" i="17"/>
  <c r="BY141" i="17"/>
  <c r="BY142" i="17"/>
  <c r="BY143" i="17"/>
  <c r="BY144" i="17"/>
  <c r="BY145" i="17"/>
  <c r="BY146" i="17"/>
  <c r="BY147" i="17"/>
  <c r="BY148" i="17"/>
  <c r="BY149" i="17"/>
  <c r="BY150" i="17"/>
  <c r="BY151" i="17"/>
  <c r="BY152" i="17"/>
  <c r="BY153" i="17"/>
  <c r="BY154" i="17"/>
  <c r="BY155" i="17"/>
  <c r="BY156" i="17"/>
  <c r="BY157" i="17"/>
  <c r="BY158" i="17"/>
  <c r="BY159" i="17"/>
  <c r="BY160" i="17"/>
  <c r="BY161" i="17"/>
  <c r="BY162" i="17"/>
  <c r="BY163" i="17"/>
  <c r="BY164" i="17"/>
  <c r="BY165" i="17"/>
  <c r="BY166" i="17"/>
  <c r="BY167" i="17"/>
  <c r="BY168" i="17"/>
  <c r="BY169" i="17"/>
  <c r="BY170" i="17"/>
  <c r="BY171" i="17"/>
  <c r="BY172" i="17"/>
  <c r="BY173" i="17"/>
  <c r="BY174" i="17"/>
  <c r="BY175" i="17"/>
  <c r="BY176" i="17"/>
  <c r="BY177" i="17"/>
  <c r="BY178" i="17"/>
  <c r="BY179" i="17"/>
  <c r="BY180" i="17"/>
  <c r="BY181" i="17"/>
  <c r="BY182" i="17"/>
  <c r="BO5" i="17"/>
  <c r="BO6" i="17"/>
  <c r="BO7" i="17"/>
  <c r="BO8" i="17"/>
  <c r="BO9" i="17"/>
  <c r="BO10" i="17"/>
  <c r="BO11" i="17"/>
  <c r="BO12" i="17"/>
  <c r="BO13" i="17"/>
  <c r="BO14" i="17"/>
  <c r="BO15" i="17"/>
  <c r="BO16" i="17"/>
  <c r="BO17" i="17"/>
  <c r="BO18" i="17"/>
  <c r="BO19" i="17"/>
  <c r="BO20" i="17"/>
  <c r="BO21" i="17"/>
  <c r="BO22" i="17"/>
  <c r="BO23" i="17"/>
  <c r="BO24" i="17"/>
  <c r="BO25" i="17"/>
  <c r="BO26" i="17"/>
  <c r="BO27" i="17"/>
  <c r="BO28" i="17"/>
  <c r="BO29" i="17"/>
  <c r="BO30" i="17"/>
  <c r="BO31" i="17"/>
  <c r="BO32" i="17"/>
  <c r="BO33" i="17"/>
  <c r="BO34" i="17"/>
  <c r="BO35" i="17"/>
  <c r="BO36" i="17"/>
  <c r="BO37" i="17"/>
  <c r="BO38" i="17"/>
  <c r="BO39" i="17"/>
  <c r="BO40" i="17"/>
  <c r="BO41" i="17"/>
  <c r="BO42" i="17"/>
  <c r="BO43" i="17"/>
  <c r="BO44" i="17"/>
  <c r="BO45" i="17"/>
  <c r="BO46" i="17"/>
  <c r="BO47" i="17"/>
  <c r="BO48" i="17"/>
  <c r="BO49" i="17"/>
  <c r="BO50" i="17"/>
  <c r="BO51" i="17"/>
  <c r="BO52" i="17"/>
  <c r="BO53" i="17"/>
  <c r="BO54" i="17"/>
  <c r="BO55" i="17"/>
  <c r="BO56" i="17"/>
  <c r="BO57" i="17"/>
  <c r="BO58" i="17"/>
  <c r="BO59" i="17"/>
  <c r="BO60" i="17"/>
  <c r="BO61" i="17"/>
  <c r="BO62" i="17"/>
  <c r="BO63" i="17"/>
  <c r="BO64" i="17"/>
  <c r="BO65" i="17"/>
  <c r="BO66" i="17"/>
  <c r="BO67" i="17"/>
  <c r="BO68" i="17"/>
  <c r="BO69" i="17"/>
  <c r="BO70" i="17"/>
  <c r="BO71" i="17"/>
  <c r="BO72" i="17"/>
  <c r="BO73" i="17"/>
  <c r="BO74" i="17"/>
  <c r="BO75" i="17"/>
  <c r="BO76" i="17"/>
  <c r="BO77" i="17"/>
  <c r="BO78" i="17"/>
  <c r="BO79" i="17"/>
  <c r="BO80" i="17"/>
  <c r="BO81" i="17"/>
  <c r="BO82" i="17"/>
  <c r="BO83" i="17"/>
  <c r="BO84" i="17"/>
  <c r="BO85" i="17"/>
  <c r="BO86" i="17"/>
  <c r="BO87" i="17"/>
  <c r="BO88" i="17"/>
  <c r="BO89" i="17"/>
  <c r="BO90" i="17"/>
  <c r="BO91" i="17"/>
  <c r="BO92" i="17"/>
  <c r="BO93" i="17"/>
  <c r="BO94" i="17"/>
  <c r="BO95" i="17"/>
  <c r="BO96" i="17"/>
  <c r="BO97" i="17"/>
  <c r="BO98" i="17"/>
  <c r="BO99" i="17"/>
  <c r="BO100" i="17"/>
  <c r="BO101" i="17"/>
  <c r="BO102" i="17"/>
  <c r="BO103" i="17"/>
  <c r="BO104" i="17"/>
  <c r="BO105" i="17"/>
  <c r="BO106" i="17"/>
  <c r="BO107" i="17"/>
  <c r="BO108" i="17"/>
  <c r="BO109" i="17"/>
  <c r="BO110" i="17"/>
  <c r="BO111" i="17"/>
  <c r="BO112" i="17"/>
  <c r="BO113" i="17"/>
  <c r="BO114" i="17"/>
  <c r="BO115" i="17"/>
  <c r="BO116" i="17"/>
  <c r="BO117" i="17"/>
  <c r="BO118" i="17"/>
  <c r="BO119" i="17"/>
  <c r="BO120" i="17"/>
  <c r="BO121" i="17"/>
  <c r="BO122" i="17"/>
  <c r="BO123" i="17"/>
  <c r="BO124" i="17"/>
  <c r="BO125" i="17"/>
  <c r="BO126" i="17"/>
  <c r="BO127" i="17"/>
  <c r="BO128" i="17"/>
  <c r="BO129" i="17"/>
  <c r="BO130" i="17"/>
  <c r="BO131" i="17"/>
  <c r="BO132" i="17"/>
  <c r="BO133" i="17"/>
  <c r="BO134" i="17"/>
  <c r="BO135" i="17"/>
  <c r="BO136" i="17"/>
  <c r="BO137" i="17"/>
  <c r="BO138" i="17"/>
  <c r="BO139" i="17"/>
  <c r="BO140" i="17"/>
  <c r="BO141" i="17"/>
  <c r="BO142" i="17"/>
  <c r="BO143" i="17"/>
  <c r="BO144" i="17"/>
  <c r="BO145" i="17"/>
  <c r="BO146" i="17"/>
  <c r="BO147" i="17"/>
  <c r="BO148" i="17"/>
  <c r="BO149" i="17"/>
  <c r="BO150" i="17"/>
  <c r="BO151" i="17"/>
  <c r="BO152" i="17"/>
  <c r="BO153" i="17"/>
  <c r="BO154" i="17"/>
  <c r="BO155" i="17"/>
  <c r="BO156" i="17"/>
  <c r="BO157" i="17"/>
  <c r="BO158" i="17"/>
  <c r="BO159" i="17"/>
  <c r="BO160" i="17"/>
  <c r="BO161" i="17"/>
  <c r="BO162" i="17"/>
  <c r="BO163" i="17"/>
  <c r="BO164" i="17"/>
  <c r="BO165" i="17"/>
  <c r="BO166" i="17"/>
  <c r="BO167" i="17"/>
  <c r="BO168" i="17"/>
  <c r="BO169" i="17"/>
  <c r="BO170" i="17"/>
  <c r="BO171" i="17"/>
  <c r="BO172" i="17"/>
  <c r="BO173" i="17"/>
  <c r="BO174" i="17"/>
  <c r="BO175" i="17"/>
  <c r="BO176" i="17"/>
  <c r="BO177" i="17"/>
  <c r="BO178" i="17"/>
  <c r="BO179" i="17"/>
  <c r="BO180" i="17"/>
  <c r="BO181" i="17"/>
  <c r="BO182" i="17"/>
  <c r="BN5" i="17"/>
  <c r="BN6" i="17"/>
  <c r="BN7" i="17"/>
  <c r="BN8" i="17"/>
  <c r="BN9" i="17"/>
  <c r="BN10" i="17"/>
  <c r="BN11" i="17"/>
  <c r="BN12" i="17"/>
  <c r="BN13" i="17"/>
  <c r="BN14" i="17"/>
  <c r="BN15" i="17"/>
  <c r="BN16" i="17"/>
  <c r="BN17" i="17"/>
  <c r="BN18" i="17"/>
  <c r="BN19" i="17"/>
  <c r="BN20" i="17"/>
  <c r="BN21" i="17"/>
  <c r="BN22" i="17"/>
  <c r="BN23" i="17"/>
  <c r="BN24" i="17"/>
  <c r="BN25" i="17"/>
  <c r="BN26" i="17"/>
  <c r="BN27" i="17"/>
  <c r="BN28" i="17"/>
  <c r="BN29" i="17"/>
  <c r="BN30" i="17"/>
  <c r="BN31" i="17"/>
  <c r="BN32" i="17"/>
  <c r="BN33" i="17"/>
  <c r="BN34" i="17"/>
  <c r="BN35" i="17"/>
  <c r="BN36" i="17"/>
  <c r="BN37" i="17"/>
  <c r="BN38" i="17"/>
  <c r="BN39" i="17"/>
  <c r="BN40" i="17"/>
  <c r="BN41" i="17"/>
  <c r="BN42" i="17"/>
  <c r="BN43" i="17"/>
  <c r="BN44" i="17"/>
  <c r="BN45" i="17"/>
  <c r="BN46" i="17"/>
  <c r="BN47" i="17"/>
  <c r="BN48" i="17"/>
  <c r="BN49" i="17"/>
  <c r="BN50" i="17"/>
  <c r="BN51" i="17"/>
  <c r="BN52" i="17"/>
  <c r="BN53" i="17"/>
  <c r="BN54" i="17"/>
  <c r="BN55" i="17"/>
  <c r="BN56" i="17"/>
  <c r="BN57" i="17"/>
  <c r="BN58" i="17"/>
  <c r="BN59" i="17"/>
  <c r="BN60" i="17"/>
  <c r="BN61" i="17"/>
  <c r="BN62" i="17"/>
  <c r="BN63" i="17"/>
  <c r="BN64" i="17"/>
  <c r="BN65" i="17"/>
  <c r="BN66" i="17"/>
  <c r="BN67" i="17"/>
  <c r="BN68" i="17"/>
  <c r="BN69" i="17"/>
  <c r="BN70" i="17"/>
  <c r="BN71" i="17"/>
  <c r="BN72" i="17"/>
  <c r="BN73" i="17"/>
  <c r="BN74" i="17"/>
  <c r="BN75" i="17"/>
  <c r="BN76" i="17"/>
  <c r="BN77" i="17"/>
  <c r="BN78" i="17"/>
  <c r="BN79" i="17"/>
  <c r="BN80" i="17"/>
  <c r="BN81" i="17"/>
  <c r="BN82" i="17"/>
  <c r="BN83" i="17"/>
  <c r="BN84" i="17"/>
  <c r="BN85" i="17"/>
  <c r="BN86" i="17"/>
  <c r="BN87" i="17"/>
  <c r="BN88" i="17"/>
  <c r="BN89" i="17"/>
  <c r="BN90" i="17"/>
  <c r="BN91" i="17"/>
  <c r="BN92" i="17"/>
  <c r="BN93" i="17"/>
  <c r="BN94" i="17"/>
  <c r="BN95" i="17"/>
  <c r="BN96" i="17"/>
  <c r="BN97" i="17"/>
  <c r="BN98" i="17"/>
  <c r="BN99" i="17"/>
  <c r="BN100" i="17"/>
  <c r="BN101" i="17"/>
  <c r="BN102" i="17"/>
  <c r="BN103" i="17"/>
  <c r="BN104" i="17"/>
  <c r="BN105" i="17"/>
  <c r="BN106" i="17"/>
  <c r="BN107" i="17"/>
  <c r="BN108" i="17"/>
  <c r="BN109" i="17"/>
  <c r="BN110" i="17"/>
  <c r="BN111" i="17"/>
  <c r="BN112" i="17"/>
  <c r="BN113" i="17"/>
  <c r="BN114" i="17"/>
  <c r="BN115" i="17"/>
  <c r="BN116" i="17"/>
  <c r="BN117" i="17"/>
  <c r="BN118" i="17"/>
  <c r="BN119" i="17"/>
  <c r="BN120" i="17"/>
  <c r="BN121" i="17"/>
  <c r="BN122" i="17"/>
  <c r="BN123" i="17"/>
  <c r="BN124" i="17"/>
  <c r="BN125" i="17"/>
  <c r="BN126" i="17"/>
  <c r="BN127" i="17"/>
  <c r="BN128" i="17"/>
  <c r="BN129" i="17"/>
  <c r="BN130" i="17"/>
  <c r="BN131" i="17"/>
  <c r="BN132" i="17"/>
  <c r="BN133" i="17"/>
  <c r="BN134" i="17"/>
  <c r="BN135" i="17"/>
  <c r="BN136" i="17"/>
  <c r="BN137" i="17"/>
  <c r="BN138" i="17"/>
  <c r="BN139" i="17"/>
  <c r="BN140" i="17"/>
  <c r="BN141" i="17"/>
  <c r="BN142" i="17"/>
  <c r="BN143" i="17"/>
  <c r="BN144" i="17"/>
  <c r="BN145" i="17"/>
  <c r="BN146" i="17"/>
  <c r="BN147" i="17"/>
  <c r="BN148" i="17"/>
  <c r="BN149" i="17"/>
  <c r="BN150" i="17"/>
  <c r="BN151" i="17"/>
  <c r="BN152" i="17"/>
  <c r="BN153" i="17"/>
  <c r="BN154" i="17"/>
  <c r="BN155" i="17"/>
  <c r="BN156" i="17"/>
  <c r="BN157" i="17"/>
  <c r="BN158" i="17"/>
  <c r="BN159" i="17"/>
  <c r="BN160" i="17"/>
  <c r="BN161" i="17"/>
  <c r="BN162" i="17"/>
  <c r="BN163" i="17"/>
  <c r="BN164" i="17"/>
  <c r="BN165" i="17"/>
  <c r="BN166" i="17"/>
  <c r="BN167" i="17"/>
  <c r="BN168" i="17"/>
  <c r="BN169" i="17"/>
  <c r="BN170" i="17"/>
  <c r="BN171" i="17"/>
  <c r="BN172" i="17"/>
  <c r="BN173" i="17"/>
  <c r="BN174" i="17"/>
  <c r="BN175" i="17"/>
  <c r="BN176" i="17"/>
  <c r="BN177" i="17"/>
  <c r="BN178" i="17"/>
  <c r="BN179" i="17"/>
  <c r="BN180" i="17"/>
  <c r="BN181" i="17"/>
  <c r="BN182" i="17"/>
  <c r="BD5" i="17"/>
  <c r="BD6" i="17"/>
  <c r="BD7" i="17"/>
  <c r="BD8" i="17"/>
  <c r="BD9" i="17"/>
  <c r="BD10" i="17"/>
  <c r="BD11" i="17"/>
  <c r="BD12" i="17"/>
  <c r="BD13" i="17"/>
  <c r="BD14" i="17"/>
  <c r="BD15" i="17"/>
  <c r="BD16" i="17"/>
  <c r="BD17" i="17"/>
  <c r="BD18" i="17"/>
  <c r="BD19" i="17"/>
  <c r="BD20" i="17"/>
  <c r="BD21" i="17"/>
  <c r="BD22" i="17"/>
  <c r="BD23" i="17"/>
  <c r="BD24" i="17"/>
  <c r="BD25" i="17"/>
  <c r="BD26" i="17"/>
  <c r="BD27" i="17"/>
  <c r="BD28" i="17"/>
  <c r="BD29" i="17"/>
  <c r="BD30" i="17"/>
  <c r="BD31" i="17"/>
  <c r="BD32" i="17"/>
  <c r="BD33" i="17"/>
  <c r="BD34" i="17"/>
  <c r="BD35" i="17"/>
  <c r="BD36" i="17"/>
  <c r="BD37" i="17"/>
  <c r="BD38" i="17"/>
  <c r="BD39" i="17"/>
  <c r="BD40" i="17"/>
  <c r="BD41" i="17"/>
  <c r="BD42" i="17"/>
  <c r="BD43" i="17"/>
  <c r="BD44" i="17"/>
  <c r="BD45" i="17"/>
  <c r="BD46" i="17"/>
  <c r="BD47" i="17"/>
  <c r="BD48" i="17"/>
  <c r="BD49" i="17"/>
  <c r="BD50" i="17"/>
  <c r="BD51" i="17"/>
  <c r="BD52" i="17"/>
  <c r="BD53" i="17"/>
  <c r="BD54" i="17"/>
  <c r="BD55" i="17"/>
  <c r="BD56" i="17"/>
  <c r="BD57" i="17"/>
  <c r="BD58" i="17"/>
  <c r="BD59" i="17"/>
  <c r="BD60" i="17"/>
  <c r="BD61" i="17"/>
  <c r="BD62" i="17"/>
  <c r="BD63" i="17"/>
  <c r="BD64" i="17"/>
  <c r="BD65" i="17"/>
  <c r="BD66" i="17"/>
  <c r="BD67" i="17"/>
  <c r="BD68" i="17"/>
  <c r="BD69" i="17"/>
  <c r="BD70" i="17"/>
  <c r="BD71" i="17"/>
  <c r="BD72" i="17"/>
  <c r="BD73" i="17"/>
  <c r="BD74" i="17"/>
  <c r="BD75" i="17"/>
  <c r="BD76" i="17"/>
  <c r="BD77" i="17"/>
  <c r="BD78" i="17"/>
  <c r="BD79" i="17"/>
  <c r="BD80" i="17"/>
  <c r="BD81" i="17"/>
  <c r="BD82" i="17"/>
  <c r="BD83" i="17"/>
  <c r="BD84" i="17"/>
  <c r="BD85" i="17"/>
  <c r="BD86" i="17"/>
  <c r="BD87" i="17"/>
  <c r="BD88" i="17"/>
  <c r="BD89" i="17"/>
  <c r="BD90" i="17"/>
  <c r="BD91" i="17"/>
  <c r="BD92" i="17"/>
  <c r="BD93" i="17"/>
  <c r="BD94" i="17"/>
  <c r="BD95" i="17"/>
  <c r="BD96" i="17"/>
  <c r="BD97" i="17"/>
  <c r="BD98" i="17"/>
  <c r="BD99" i="17"/>
  <c r="BD100" i="17"/>
  <c r="BD101" i="17"/>
  <c r="BD102" i="17"/>
  <c r="BD103" i="17"/>
  <c r="BD104" i="17"/>
  <c r="BD105" i="17"/>
  <c r="BD106" i="17"/>
  <c r="BD107" i="17"/>
  <c r="BD108" i="17"/>
  <c r="BD109" i="17"/>
  <c r="BD110" i="17"/>
  <c r="BD111" i="17"/>
  <c r="BD112" i="17"/>
  <c r="BD113" i="17"/>
  <c r="BD114" i="17"/>
  <c r="BD115" i="17"/>
  <c r="BD116" i="17"/>
  <c r="BD117" i="17"/>
  <c r="BD118" i="17"/>
  <c r="BD119" i="17"/>
  <c r="BD120" i="17"/>
  <c r="BD121" i="17"/>
  <c r="BD122" i="17"/>
  <c r="BD123" i="17"/>
  <c r="BD124" i="17"/>
  <c r="BD125" i="17"/>
  <c r="BD126" i="17"/>
  <c r="BD127" i="17"/>
  <c r="BD128" i="17"/>
  <c r="BD129" i="17"/>
  <c r="BD130" i="17"/>
  <c r="BD131" i="17"/>
  <c r="BD132" i="17"/>
  <c r="BD133" i="17"/>
  <c r="BD134" i="17"/>
  <c r="BD135" i="17"/>
  <c r="BD136" i="17"/>
  <c r="BD137" i="17"/>
  <c r="BD138" i="17"/>
  <c r="BD139" i="17"/>
  <c r="BD140" i="17"/>
  <c r="BD141" i="17"/>
  <c r="BD142" i="17"/>
  <c r="BD143" i="17"/>
  <c r="BD144" i="17"/>
  <c r="BD145" i="17"/>
  <c r="BD146" i="17"/>
  <c r="BD147" i="17"/>
  <c r="BD148" i="17"/>
  <c r="BD149" i="17"/>
  <c r="BD150" i="17"/>
  <c r="BD151" i="17"/>
  <c r="BD152" i="17"/>
  <c r="BD153" i="17"/>
  <c r="BD154" i="17"/>
  <c r="BD155" i="17"/>
  <c r="BD156" i="17"/>
  <c r="BD157" i="17"/>
  <c r="BD158" i="17"/>
  <c r="BD159" i="17"/>
  <c r="BD160" i="17"/>
  <c r="BD161" i="17"/>
  <c r="BD162" i="17"/>
  <c r="BD163" i="17"/>
  <c r="BD164" i="17"/>
  <c r="BD165" i="17"/>
  <c r="BD166" i="17"/>
  <c r="BD167" i="17"/>
  <c r="BD168" i="17"/>
  <c r="BD169" i="17"/>
  <c r="BD170" i="17"/>
  <c r="BD171" i="17"/>
  <c r="BD172" i="17"/>
  <c r="BD173" i="17"/>
  <c r="BD174" i="17"/>
  <c r="BD175" i="17"/>
  <c r="BD176" i="17"/>
  <c r="BD177" i="17"/>
  <c r="BD178" i="17"/>
  <c r="BD179" i="17"/>
  <c r="BD180" i="17"/>
  <c r="BD181" i="17"/>
  <c r="BD182" i="17"/>
  <c r="BC5" i="17"/>
  <c r="BC6" i="17"/>
  <c r="BC7" i="17"/>
  <c r="BC8" i="17"/>
  <c r="BC9" i="17"/>
  <c r="BC10" i="17"/>
  <c r="BC11" i="17"/>
  <c r="BC12" i="17"/>
  <c r="BC13" i="17"/>
  <c r="BC14" i="17"/>
  <c r="BC15" i="17"/>
  <c r="BC16" i="17"/>
  <c r="BC17" i="17"/>
  <c r="BC18" i="17"/>
  <c r="BC19" i="17"/>
  <c r="BC20" i="17"/>
  <c r="BC21" i="17"/>
  <c r="BC22" i="17"/>
  <c r="BC23" i="17"/>
  <c r="BC24" i="17"/>
  <c r="BC25" i="17"/>
  <c r="BC26" i="17"/>
  <c r="BC27" i="17"/>
  <c r="BC28" i="17"/>
  <c r="BC29" i="17"/>
  <c r="BC30" i="17"/>
  <c r="BC31" i="17"/>
  <c r="BC32" i="17"/>
  <c r="BC33" i="17"/>
  <c r="BC34" i="17"/>
  <c r="BC35" i="17"/>
  <c r="BC36" i="17"/>
  <c r="BC37" i="17"/>
  <c r="BC38" i="17"/>
  <c r="BC39" i="17"/>
  <c r="BC40" i="17"/>
  <c r="BC41" i="17"/>
  <c r="BC42" i="17"/>
  <c r="BC43" i="17"/>
  <c r="BC44" i="17"/>
  <c r="BC45" i="17"/>
  <c r="BC46" i="17"/>
  <c r="BC47" i="17"/>
  <c r="BC48" i="17"/>
  <c r="BC49" i="17"/>
  <c r="BC50" i="17"/>
  <c r="BC51" i="17"/>
  <c r="BC52" i="17"/>
  <c r="BC53" i="17"/>
  <c r="BC54" i="17"/>
  <c r="BC55" i="17"/>
  <c r="BC56" i="17"/>
  <c r="BC57" i="17"/>
  <c r="BC58" i="17"/>
  <c r="BC59" i="17"/>
  <c r="BC60" i="17"/>
  <c r="BC61" i="17"/>
  <c r="BC62" i="17"/>
  <c r="BC63" i="17"/>
  <c r="BC64" i="17"/>
  <c r="BC65" i="17"/>
  <c r="BC66" i="17"/>
  <c r="BC67" i="17"/>
  <c r="BC68" i="17"/>
  <c r="BC69" i="17"/>
  <c r="BC70" i="17"/>
  <c r="BC71" i="17"/>
  <c r="BC72" i="17"/>
  <c r="BC73" i="17"/>
  <c r="BC74" i="17"/>
  <c r="BC75" i="17"/>
  <c r="BC76" i="17"/>
  <c r="BC77" i="17"/>
  <c r="BC78" i="17"/>
  <c r="BC79" i="17"/>
  <c r="BC80" i="17"/>
  <c r="BC81" i="17"/>
  <c r="BC82" i="17"/>
  <c r="BC83" i="17"/>
  <c r="BC84" i="17"/>
  <c r="BC85" i="17"/>
  <c r="BC86" i="17"/>
  <c r="BC87" i="17"/>
  <c r="BC88" i="17"/>
  <c r="BC89" i="17"/>
  <c r="BC90" i="17"/>
  <c r="BC91" i="17"/>
  <c r="BC92" i="17"/>
  <c r="BC93" i="17"/>
  <c r="BC94" i="17"/>
  <c r="BC95" i="17"/>
  <c r="BC96" i="17"/>
  <c r="BC97" i="17"/>
  <c r="BC98" i="17"/>
  <c r="BC99" i="17"/>
  <c r="BC100" i="17"/>
  <c r="BC101" i="17"/>
  <c r="BC102" i="17"/>
  <c r="BC103" i="17"/>
  <c r="BC104" i="17"/>
  <c r="BC105" i="17"/>
  <c r="BC106" i="17"/>
  <c r="BC107" i="17"/>
  <c r="BC108" i="17"/>
  <c r="BC109" i="17"/>
  <c r="BC110" i="17"/>
  <c r="BC111" i="17"/>
  <c r="BC112" i="17"/>
  <c r="BC113" i="17"/>
  <c r="BC114" i="17"/>
  <c r="BC115" i="17"/>
  <c r="BC116" i="17"/>
  <c r="BC117" i="17"/>
  <c r="BC118" i="17"/>
  <c r="BC119" i="17"/>
  <c r="BC120" i="17"/>
  <c r="BC121" i="17"/>
  <c r="BC122" i="17"/>
  <c r="BC123" i="17"/>
  <c r="BC124" i="17"/>
  <c r="BC125" i="17"/>
  <c r="BC126" i="17"/>
  <c r="BC127" i="17"/>
  <c r="BC128" i="17"/>
  <c r="BC129" i="17"/>
  <c r="BC130" i="17"/>
  <c r="BC131" i="17"/>
  <c r="BC132" i="17"/>
  <c r="BC133" i="17"/>
  <c r="BC134" i="17"/>
  <c r="BC135" i="17"/>
  <c r="BC136" i="17"/>
  <c r="BC137" i="17"/>
  <c r="BC138" i="17"/>
  <c r="BC139" i="17"/>
  <c r="BC140" i="17"/>
  <c r="BC141" i="17"/>
  <c r="BC142" i="17"/>
  <c r="BC143" i="17"/>
  <c r="BC144" i="17"/>
  <c r="BC145" i="17"/>
  <c r="BC146" i="17"/>
  <c r="BC147" i="17"/>
  <c r="BC148" i="17"/>
  <c r="BC149" i="17"/>
  <c r="BC150" i="17"/>
  <c r="BC151" i="17"/>
  <c r="BC152" i="17"/>
  <c r="BC153" i="17"/>
  <c r="BC154" i="17"/>
  <c r="BC155" i="17"/>
  <c r="BC156" i="17"/>
  <c r="BC157" i="17"/>
  <c r="BC158" i="17"/>
  <c r="BC159" i="17"/>
  <c r="BC160" i="17"/>
  <c r="BC161" i="17"/>
  <c r="BC162" i="17"/>
  <c r="BC163" i="17"/>
  <c r="BC164" i="17"/>
  <c r="BC165" i="17"/>
  <c r="BC166" i="17"/>
  <c r="BC167" i="17"/>
  <c r="BC168" i="17"/>
  <c r="BC169" i="17"/>
  <c r="BC170" i="17"/>
  <c r="BC171" i="17"/>
  <c r="BC172" i="17"/>
  <c r="BC173" i="17"/>
  <c r="BC174" i="17"/>
  <c r="BC175" i="17"/>
  <c r="BC176" i="17"/>
  <c r="BC177" i="17"/>
  <c r="BC178" i="17"/>
  <c r="BC179" i="17"/>
  <c r="BC180" i="17"/>
  <c r="BC181" i="17"/>
  <c r="BC182" i="17"/>
  <c r="AS5" i="17"/>
  <c r="AS6" i="17"/>
  <c r="AS7" i="17"/>
  <c r="AS8" i="17"/>
  <c r="AS9" i="17"/>
  <c r="AS10" i="17"/>
  <c r="AS11" i="17"/>
  <c r="AS12" i="17"/>
  <c r="AS13" i="17"/>
  <c r="AS14" i="17"/>
  <c r="AS15" i="17"/>
  <c r="AS16" i="17"/>
  <c r="AS17" i="17"/>
  <c r="AS18" i="17"/>
  <c r="AS19" i="17"/>
  <c r="AS20" i="17"/>
  <c r="AS21" i="17"/>
  <c r="AS22" i="17"/>
  <c r="AS23" i="17"/>
  <c r="AS24" i="17"/>
  <c r="AS25" i="17"/>
  <c r="AS26" i="17"/>
  <c r="AS27" i="17"/>
  <c r="AS28" i="17"/>
  <c r="AS29" i="17"/>
  <c r="AS30" i="17"/>
  <c r="AS31" i="17"/>
  <c r="AS32" i="17"/>
  <c r="AS33" i="17"/>
  <c r="AS34" i="17"/>
  <c r="AS35" i="17"/>
  <c r="AS36" i="17"/>
  <c r="AS37" i="17"/>
  <c r="AS38" i="17"/>
  <c r="AS39" i="17"/>
  <c r="AS40" i="17"/>
  <c r="AS41" i="17"/>
  <c r="AS42" i="17"/>
  <c r="AS43" i="17"/>
  <c r="AS44" i="17"/>
  <c r="AS45" i="17"/>
  <c r="AS46" i="17"/>
  <c r="AS47" i="17"/>
  <c r="AS48" i="17"/>
  <c r="AS49" i="17"/>
  <c r="AS50" i="17"/>
  <c r="AS51" i="17"/>
  <c r="AS52" i="17"/>
  <c r="AS53" i="17"/>
  <c r="AS54" i="17"/>
  <c r="AS55" i="17"/>
  <c r="AS56" i="17"/>
  <c r="AS57" i="17"/>
  <c r="AS58" i="17"/>
  <c r="AS59" i="17"/>
  <c r="AS60" i="17"/>
  <c r="AS61" i="17"/>
  <c r="AS62" i="17"/>
  <c r="AS63" i="17"/>
  <c r="AS64" i="17"/>
  <c r="AS65" i="17"/>
  <c r="AS66" i="17"/>
  <c r="AS67" i="17"/>
  <c r="AS68" i="17"/>
  <c r="AS69" i="17"/>
  <c r="AS70" i="17"/>
  <c r="AS71" i="17"/>
  <c r="AS72" i="17"/>
  <c r="AS73" i="17"/>
  <c r="AS74" i="17"/>
  <c r="AS75" i="17"/>
  <c r="AS76" i="17"/>
  <c r="AS77" i="17"/>
  <c r="AS78" i="17"/>
  <c r="AS79" i="17"/>
  <c r="AS80" i="17"/>
  <c r="AS81" i="17"/>
  <c r="AS82" i="17"/>
  <c r="AS83" i="17"/>
  <c r="AS84" i="17"/>
  <c r="AS85" i="17"/>
  <c r="AS86" i="17"/>
  <c r="AS87" i="17"/>
  <c r="AS88" i="17"/>
  <c r="AS89" i="17"/>
  <c r="AS90" i="17"/>
  <c r="AS91" i="17"/>
  <c r="AS92" i="17"/>
  <c r="AS93" i="17"/>
  <c r="AS94" i="17"/>
  <c r="AS95" i="17"/>
  <c r="AS96" i="17"/>
  <c r="AS97" i="17"/>
  <c r="AS98" i="17"/>
  <c r="AS99" i="17"/>
  <c r="AS100" i="17"/>
  <c r="AS101" i="17"/>
  <c r="AS102" i="17"/>
  <c r="AS103" i="17"/>
  <c r="AS104" i="17"/>
  <c r="AS105" i="17"/>
  <c r="AS106" i="17"/>
  <c r="AS107" i="17"/>
  <c r="AS108" i="17"/>
  <c r="AS109" i="17"/>
  <c r="AS110" i="17"/>
  <c r="AS111" i="17"/>
  <c r="AS112" i="17"/>
  <c r="AS113" i="17"/>
  <c r="AS114" i="17"/>
  <c r="AS115" i="17"/>
  <c r="AS116" i="17"/>
  <c r="AS117" i="17"/>
  <c r="AS118" i="17"/>
  <c r="AS119" i="17"/>
  <c r="AS120" i="17"/>
  <c r="AS121" i="17"/>
  <c r="AS122" i="17"/>
  <c r="AS123" i="17"/>
  <c r="AS124" i="17"/>
  <c r="AS125" i="17"/>
  <c r="AS126" i="17"/>
  <c r="AS127" i="17"/>
  <c r="AS128" i="17"/>
  <c r="AS129" i="17"/>
  <c r="AS130" i="17"/>
  <c r="AS131" i="17"/>
  <c r="AS132" i="17"/>
  <c r="AS133" i="17"/>
  <c r="AS134" i="17"/>
  <c r="AS135" i="17"/>
  <c r="AS136" i="17"/>
  <c r="AS137" i="17"/>
  <c r="AS138" i="17"/>
  <c r="AS139" i="17"/>
  <c r="AS140" i="17"/>
  <c r="AS141" i="17"/>
  <c r="AS142" i="17"/>
  <c r="AS143" i="17"/>
  <c r="AS144" i="17"/>
  <c r="AS145" i="17"/>
  <c r="AS146" i="17"/>
  <c r="AS147" i="17"/>
  <c r="AS148" i="17"/>
  <c r="AS149" i="17"/>
  <c r="AS150" i="17"/>
  <c r="AS151" i="17"/>
  <c r="AS152" i="17"/>
  <c r="AS153" i="17"/>
  <c r="AS154" i="17"/>
  <c r="AS155" i="17"/>
  <c r="AS156" i="17"/>
  <c r="AS157" i="17"/>
  <c r="AS158" i="17"/>
  <c r="AS159" i="17"/>
  <c r="AS160" i="17"/>
  <c r="AS161" i="17"/>
  <c r="AS162" i="17"/>
  <c r="AS163" i="17"/>
  <c r="AS164" i="17"/>
  <c r="AS165" i="17"/>
  <c r="AS166" i="17"/>
  <c r="AS167" i="17"/>
  <c r="AS168" i="17"/>
  <c r="AS169" i="17"/>
  <c r="AS170" i="17"/>
  <c r="AS171" i="17"/>
  <c r="AS172" i="17"/>
  <c r="AS173" i="17"/>
  <c r="AS174" i="17"/>
  <c r="AS175" i="17"/>
  <c r="AS176" i="17"/>
  <c r="AS177" i="17"/>
  <c r="AS178" i="17"/>
  <c r="AS179" i="17"/>
  <c r="AS180" i="17"/>
  <c r="AS181" i="17"/>
  <c r="AS182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G5" i="17"/>
  <c r="AG6" i="17"/>
  <c r="AG7" i="17"/>
  <c r="AG8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8" i="17"/>
  <c r="AG59" i="17"/>
  <c r="AG60" i="17"/>
  <c r="AG61" i="17"/>
  <c r="AG62" i="17"/>
  <c r="AG63" i="17"/>
  <c r="AG64" i="17"/>
  <c r="AG65" i="17"/>
  <c r="AG68" i="17"/>
  <c r="AG69" i="17"/>
  <c r="AG70" i="17"/>
  <c r="AG71" i="17"/>
  <c r="AG72" i="17"/>
  <c r="AG73" i="17"/>
  <c r="AG74" i="17"/>
  <c r="AG75" i="17"/>
  <c r="AG76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G131" i="17"/>
  <c r="AG132" i="17"/>
  <c r="AG133" i="17"/>
  <c r="AG134" i="17"/>
  <c r="AG135" i="17"/>
  <c r="AG136" i="17"/>
  <c r="AG137" i="17"/>
  <c r="AG138" i="17"/>
  <c r="AG139" i="17"/>
  <c r="AG140" i="17"/>
  <c r="AG141" i="17"/>
  <c r="AG142" i="17"/>
  <c r="AG143" i="17"/>
  <c r="AG144" i="17"/>
  <c r="AG145" i="17"/>
  <c r="AG146" i="17"/>
  <c r="AG147" i="17"/>
  <c r="AG148" i="17"/>
  <c r="AG149" i="17"/>
  <c r="AG150" i="17"/>
  <c r="AG151" i="17"/>
  <c r="AG152" i="17"/>
  <c r="AG153" i="17"/>
  <c r="AG154" i="17"/>
  <c r="AG155" i="17"/>
  <c r="AG156" i="17"/>
  <c r="AG157" i="17"/>
  <c r="AG158" i="17"/>
  <c r="AG159" i="17"/>
  <c r="AG160" i="17"/>
  <c r="AG161" i="17"/>
  <c r="AG162" i="17"/>
  <c r="AG163" i="17"/>
  <c r="AG164" i="17"/>
  <c r="AG165" i="17"/>
  <c r="AG166" i="17"/>
  <c r="AG167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82" i="17"/>
  <c r="AI6" i="14"/>
  <c r="AI8" i="14"/>
  <c r="AI9" i="14"/>
  <c r="AI10" i="14"/>
  <c r="P7" i="19"/>
  <c r="P8" i="19"/>
  <c r="P9" i="19"/>
  <c r="AI16" i="14"/>
  <c r="AI17" i="14"/>
  <c r="AI20" i="14"/>
  <c r="AI21" i="14"/>
  <c r="AI24" i="14"/>
  <c r="P18" i="19"/>
  <c r="AI27" i="14"/>
  <c r="AI28" i="14"/>
  <c r="AI30" i="14"/>
  <c r="AI32" i="14"/>
  <c r="AI33" i="14"/>
  <c r="P28" i="19"/>
  <c r="AI44" i="14"/>
  <c r="AI45" i="14"/>
  <c r="AI46" i="14"/>
  <c r="AI47" i="14"/>
  <c r="AI48" i="14"/>
  <c r="AI52" i="14"/>
  <c r="AI53" i="14"/>
  <c r="AI58" i="14"/>
  <c r="AI60" i="14"/>
  <c r="AI62" i="14"/>
  <c r="AI63" i="14"/>
  <c r="AI66" i="14"/>
  <c r="AI67" i="14"/>
  <c r="AI70" i="14"/>
  <c r="AI71" i="14"/>
  <c r="P51" i="19"/>
  <c r="P61" i="19"/>
  <c r="P60" i="19"/>
  <c r="P72" i="19"/>
  <c r="I85" i="19" s="1"/>
  <c r="AI5" i="14"/>
  <c r="X6" i="14"/>
  <c r="X7" i="14"/>
  <c r="X8" i="14"/>
  <c r="X9" i="14"/>
  <c r="AH9" i="14" s="1"/>
  <c r="X10" i="14"/>
  <c r="AH10" i="14" s="1"/>
  <c r="X11" i="14"/>
  <c r="X12" i="14"/>
  <c r="X13" i="14"/>
  <c r="X14" i="14"/>
  <c r="X15" i="14"/>
  <c r="X16" i="14"/>
  <c r="X17" i="14"/>
  <c r="X18" i="14"/>
  <c r="AH18" i="14" s="1"/>
  <c r="X19" i="14"/>
  <c r="AH19" i="14" s="1"/>
  <c r="X20" i="14"/>
  <c r="X21" i="14"/>
  <c r="X22" i="14"/>
  <c r="AH22" i="14" s="1"/>
  <c r="X23" i="14"/>
  <c r="AH23" i="14" s="1"/>
  <c r="X24" i="14"/>
  <c r="X25" i="14"/>
  <c r="X26" i="14"/>
  <c r="X27" i="14"/>
  <c r="X28" i="14"/>
  <c r="AH28" i="14" s="1"/>
  <c r="X29" i="14"/>
  <c r="X30" i="14"/>
  <c r="X31" i="14"/>
  <c r="X32" i="14"/>
  <c r="AH32" i="14" s="1"/>
  <c r="X33" i="14"/>
  <c r="AH33" i="14" s="1"/>
  <c r="X34" i="14"/>
  <c r="X35" i="14"/>
  <c r="X36" i="14"/>
  <c r="X37" i="14"/>
  <c r="X38" i="14"/>
  <c r="X39" i="14"/>
  <c r="X40" i="14"/>
  <c r="X41" i="14"/>
  <c r="X42" i="14"/>
  <c r="X43" i="14"/>
  <c r="X44" i="14"/>
  <c r="AH44" i="14" s="1"/>
  <c r="X45" i="14"/>
  <c r="AH45" i="14" s="1"/>
  <c r="X46" i="14"/>
  <c r="AH46" i="14" s="1"/>
  <c r="X47" i="14"/>
  <c r="AH47" i="14" s="1"/>
  <c r="X48" i="14"/>
  <c r="X49" i="14"/>
  <c r="X50" i="14"/>
  <c r="X51" i="14"/>
  <c r="X52" i="14"/>
  <c r="AH52" i="14" s="1"/>
  <c r="X53" i="14"/>
  <c r="AH53" i="14" s="1"/>
  <c r="X54" i="14"/>
  <c r="X55" i="14"/>
  <c r="X56" i="14"/>
  <c r="X57" i="14"/>
  <c r="X58" i="14"/>
  <c r="AH58" i="14" s="1"/>
  <c r="X59" i="14"/>
  <c r="X60" i="14"/>
  <c r="X61" i="14"/>
  <c r="X62" i="14"/>
  <c r="X63" i="14"/>
  <c r="X64" i="14"/>
  <c r="X65" i="14"/>
  <c r="X66" i="14"/>
  <c r="X67" i="14"/>
  <c r="X68" i="14"/>
  <c r="X69" i="14"/>
  <c r="X70" i="14"/>
  <c r="AH70" i="14" s="1"/>
  <c r="X71" i="14"/>
  <c r="AH71" i="14" s="1"/>
  <c r="X72" i="14"/>
  <c r="X73" i="14"/>
  <c r="X74" i="14"/>
  <c r="X75" i="14"/>
  <c r="X76" i="14"/>
  <c r="X77" i="14"/>
  <c r="X78" i="14"/>
  <c r="X79" i="14"/>
  <c r="X80" i="14"/>
  <c r="M72" i="19"/>
  <c r="F85" i="19" s="1"/>
  <c r="X5" i="14"/>
  <c r="AH5" i="14" s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AA84" i="14"/>
  <c r="Y84" i="14"/>
  <c r="EZ5" i="14"/>
  <c r="EZ6" i="14"/>
  <c r="EZ7" i="14"/>
  <c r="EZ8" i="14"/>
  <c r="EZ9" i="14"/>
  <c r="EZ10" i="14"/>
  <c r="EZ11" i="14"/>
  <c r="EZ12" i="14"/>
  <c r="EZ13" i="14"/>
  <c r="EZ14" i="14"/>
  <c r="EZ15" i="14"/>
  <c r="EZ16" i="14"/>
  <c r="EZ17" i="14"/>
  <c r="EZ18" i="14"/>
  <c r="EZ19" i="14"/>
  <c r="EZ20" i="14"/>
  <c r="EZ21" i="14"/>
  <c r="EZ22" i="14"/>
  <c r="EZ23" i="14"/>
  <c r="EZ24" i="14"/>
  <c r="EZ25" i="14"/>
  <c r="EZ26" i="14"/>
  <c r="EZ27" i="14"/>
  <c r="EZ28" i="14"/>
  <c r="EZ29" i="14"/>
  <c r="EZ30" i="14"/>
  <c r="EZ31" i="14"/>
  <c r="EZ32" i="14"/>
  <c r="EZ33" i="14"/>
  <c r="EZ34" i="14"/>
  <c r="EZ35" i="14"/>
  <c r="EZ36" i="14"/>
  <c r="EZ37" i="14"/>
  <c r="EZ38" i="14"/>
  <c r="EZ39" i="14"/>
  <c r="EZ40" i="14"/>
  <c r="EZ41" i="14"/>
  <c r="EZ42" i="14"/>
  <c r="EZ43" i="14"/>
  <c r="EZ44" i="14"/>
  <c r="EZ45" i="14"/>
  <c r="EZ46" i="14"/>
  <c r="EZ47" i="14"/>
  <c r="EZ48" i="14"/>
  <c r="EZ49" i="14"/>
  <c r="EZ50" i="14"/>
  <c r="EZ51" i="14"/>
  <c r="EZ52" i="14"/>
  <c r="EZ53" i="14"/>
  <c r="EZ54" i="14"/>
  <c r="EZ55" i="14"/>
  <c r="EZ56" i="14"/>
  <c r="EZ57" i="14"/>
  <c r="EZ58" i="14"/>
  <c r="EZ59" i="14"/>
  <c r="EZ60" i="14"/>
  <c r="EZ61" i="14"/>
  <c r="EZ62" i="14"/>
  <c r="EZ63" i="14"/>
  <c r="EZ64" i="14"/>
  <c r="EZ65" i="14"/>
  <c r="EZ66" i="14"/>
  <c r="EZ67" i="14"/>
  <c r="EZ68" i="14"/>
  <c r="EZ69" i="14"/>
  <c r="EZ70" i="14"/>
  <c r="EZ71" i="14"/>
  <c r="EZ72" i="14"/>
  <c r="EZ73" i="14"/>
  <c r="EZ74" i="14"/>
  <c r="EZ75" i="14"/>
  <c r="EZ76" i="14"/>
  <c r="EZ77" i="14"/>
  <c r="EZ78" i="14"/>
  <c r="EZ79" i="14"/>
  <c r="EZ80" i="14"/>
  <c r="EZ81" i="14"/>
  <c r="EN5" i="14"/>
  <c r="EN6" i="14"/>
  <c r="EN7" i="14"/>
  <c r="EN8" i="14"/>
  <c r="EN9" i="14"/>
  <c r="EN10" i="14"/>
  <c r="EN11" i="14"/>
  <c r="EN12" i="14"/>
  <c r="EN13" i="14"/>
  <c r="EN14" i="14"/>
  <c r="EN15" i="14"/>
  <c r="EN16" i="14"/>
  <c r="EN17" i="14"/>
  <c r="EN18" i="14"/>
  <c r="EN19" i="14"/>
  <c r="EN20" i="14"/>
  <c r="EN21" i="14"/>
  <c r="EN22" i="14"/>
  <c r="EN23" i="14"/>
  <c r="EN24" i="14"/>
  <c r="EN25" i="14"/>
  <c r="EN26" i="14"/>
  <c r="EN27" i="14"/>
  <c r="EN28" i="14"/>
  <c r="EN29" i="14"/>
  <c r="EN30" i="14"/>
  <c r="EN31" i="14"/>
  <c r="EN32" i="14"/>
  <c r="EN33" i="14"/>
  <c r="EN34" i="14"/>
  <c r="EN35" i="14"/>
  <c r="EN36" i="14"/>
  <c r="EN37" i="14"/>
  <c r="EN38" i="14"/>
  <c r="EN39" i="14"/>
  <c r="EN40" i="14"/>
  <c r="EN41" i="14"/>
  <c r="EN42" i="14"/>
  <c r="EN43" i="14"/>
  <c r="EN44" i="14"/>
  <c r="EN45" i="14"/>
  <c r="EN46" i="14"/>
  <c r="EN47" i="14"/>
  <c r="EN48" i="14"/>
  <c r="EN49" i="14"/>
  <c r="EN50" i="14"/>
  <c r="EN51" i="14"/>
  <c r="EN52" i="14"/>
  <c r="EN53" i="14"/>
  <c r="EN54" i="14"/>
  <c r="EN55" i="14"/>
  <c r="EN56" i="14"/>
  <c r="EN57" i="14"/>
  <c r="EN58" i="14"/>
  <c r="EN59" i="14"/>
  <c r="EN60" i="14"/>
  <c r="EN61" i="14"/>
  <c r="EN62" i="14"/>
  <c r="EN63" i="14"/>
  <c r="EN64" i="14"/>
  <c r="EN65" i="14"/>
  <c r="EN66" i="14"/>
  <c r="EN67" i="14"/>
  <c r="EN68" i="14"/>
  <c r="EN69" i="14"/>
  <c r="EN70" i="14"/>
  <c r="EN71" i="14"/>
  <c r="EN72" i="14"/>
  <c r="EN73" i="14"/>
  <c r="EN74" i="14"/>
  <c r="EN75" i="14"/>
  <c r="EN76" i="14"/>
  <c r="EN77" i="14"/>
  <c r="EN78" i="14"/>
  <c r="EN79" i="14"/>
  <c r="EN80" i="14"/>
  <c r="EN81" i="14"/>
  <c r="EY5" i="14"/>
  <c r="EY6" i="14"/>
  <c r="EY7" i="14"/>
  <c r="EY8" i="14"/>
  <c r="EY9" i="14"/>
  <c r="EY10" i="14"/>
  <c r="EY11" i="14"/>
  <c r="EY12" i="14"/>
  <c r="EY13" i="14"/>
  <c r="EY14" i="14"/>
  <c r="EY15" i="14"/>
  <c r="EY16" i="14"/>
  <c r="EY17" i="14"/>
  <c r="EY18" i="14"/>
  <c r="EY19" i="14"/>
  <c r="EY20" i="14"/>
  <c r="EY21" i="14"/>
  <c r="EY22" i="14"/>
  <c r="EY23" i="14"/>
  <c r="EY24" i="14"/>
  <c r="EY25" i="14"/>
  <c r="EY26" i="14"/>
  <c r="EY27" i="14"/>
  <c r="EY28" i="14"/>
  <c r="EY29" i="14"/>
  <c r="EY30" i="14"/>
  <c r="EY31" i="14"/>
  <c r="EY32" i="14"/>
  <c r="EY33" i="14"/>
  <c r="EY34" i="14"/>
  <c r="EY35" i="14"/>
  <c r="EY36" i="14"/>
  <c r="EY37" i="14"/>
  <c r="EY38" i="14"/>
  <c r="EY39" i="14"/>
  <c r="EY40" i="14"/>
  <c r="EY41" i="14"/>
  <c r="EY42" i="14"/>
  <c r="EY43" i="14"/>
  <c r="EY44" i="14"/>
  <c r="EY45" i="14"/>
  <c r="EY46" i="14"/>
  <c r="EY47" i="14"/>
  <c r="EY48" i="14"/>
  <c r="EY49" i="14"/>
  <c r="EY50" i="14"/>
  <c r="EY51" i="14"/>
  <c r="EY52" i="14"/>
  <c r="EY53" i="14"/>
  <c r="EY54" i="14"/>
  <c r="EY55" i="14"/>
  <c r="EY56" i="14"/>
  <c r="EY57" i="14"/>
  <c r="EY58" i="14"/>
  <c r="EY59" i="14"/>
  <c r="EY60" i="14"/>
  <c r="EY61" i="14"/>
  <c r="EY62" i="14"/>
  <c r="EY63" i="14"/>
  <c r="EY64" i="14"/>
  <c r="EY65" i="14"/>
  <c r="EY66" i="14"/>
  <c r="EY67" i="14"/>
  <c r="EY68" i="14"/>
  <c r="EY69" i="14"/>
  <c r="EY70" i="14"/>
  <c r="EY71" i="14"/>
  <c r="EY72" i="14"/>
  <c r="EY73" i="14"/>
  <c r="EY74" i="14"/>
  <c r="EY75" i="14"/>
  <c r="EY76" i="14"/>
  <c r="EY77" i="14"/>
  <c r="EY78" i="14"/>
  <c r="EY79" i="14"/>
  <c r="EY80" i="14"/>
  <c r="EY81" i="14"/>
  <c r="EC5" i="14"/>
  <c r="EC6" i="14"/>
  <c r="EC7" i="14"/>
  <c r="EC8" i="14"/>
  <c r="EC9" i="14"/>
  <c r="EC10" i="14"/>
  <c r="EC11" i="14"/>
  <c r="EC12" i="14"/>
  <c r="EC13" i="14"/>
  <c r="EC14" i="14"/>
  <c r="EC15" i="14"/>
  <c r="EC16" i="14"/>
  <c r="EC17" i="14"/>
  <c r="EC18" i="14"/>
  <c r="EC19" i="14"/>
  <c r="EC20" i="14"/>
  <c r="EC21" i="14"/>
  <c r="EC22" i="14"/>
  <c r="EC23" i="14"/>
  <c r="EC24" i="14"/>
  <c r="EC25" i="14"/>
  <c r="EC26" i="14"/>
  <c r="EC27" i="14"/>
  <c r="EC28" i="14"/>
  <c r="EC29" i="14"/>
  <c r="EC30" i="14"/>
  <c r="EC31" i="14"/>
  <c r="EC32" i="14"/>
  <c r="EC33" i="14"/>
  <c r="EC34" i="14"/>
  <c r="EC35" i="14"/>
  <c r="EC36" i="14"/>
  <c r="EC37" i="14"/>
  <c r="EC38" i="14"/>
  <c r="EC39" i="14"/>
  <c r="EC40" i="14"/>
  <c r="EC41" i="14"/>
  <c r="EC42" i="14"/>
  <c r="EC43" i="14"/>
  <c r="EC44" i="14"/>
  <c r="EC45" i="14"/>
  <c r="EC46" i="14"/>
  <c r="EC47" i="14"/>
  <c r="EC48" i="14"/>
  <c r="EC49" i="14"/>
  <c r="EC50" i="14"/>
  <c r="EC51" i="14"/>
  <c r="EC52" i="14"/>
  <c r="EC53" i="14"/>
  <c r="EC54" i="14"/>
  <c r="EC55" i="14"/>
  <c r="EC56" i="14"/>
  <c r="EC57" i="14"/>
  <c r="EC58" i="14"/>
  <c r="EC59" i="14"/>
  <c r="EC60" i="14"/>
  <c r="EC61" i="14"/>
  <c r="EC62" i="14"/>
  <c r="EC63" i="14"/>
  <c r="EC64" i="14"/>
  <c r="EC65" i="14"/>
  <c r="EC66" i="14"/>
  <c r="EC67" i="14"/>
  <c r="EC68" i="14"/>
  <c r="EC69" i="14"/>
  <c r="EC70" i="14"/>
  <c r="EC71" i="14"/>
  <c r="EC72" i="14"/>
  <c r="EC73" i="14"/>
  <c r="EC74" i="14"/>
  <c r="EC75" i="14"/>
  <c r="EC76" i="14"/>
  <c r="EC77" i="14"/>
  <c r="EC78" i="14"/>
  <c r="EC79" i="14"/>
  <c r="EC80" i="14"/>
  <c r="EC81" i="14"/>
  <c r="DR5" i="14"/>
  <c r="DR6" i="14"/>
  <c r="DR7" i="14"/>
  <c r="DR8" i="14"/>
  <c r="DR9" i="14"/>
  <c r="DR10" i="14"/>
  <c r="DR11" i="14"/>
  <c r="DR12" i="14"/>
  <c r="DR13" i="14"/>
  <c r="DR14" i="14"/>
  <c r="DR15" i="14"/>
  <c r="DR16" i="14"/>
  <c r="DR17" i="14"/>
  <c r="DR18" i="14"/>
  <c r="DR19" i="14"/>
  <c r="DR20" i="14"/>
  <c r="DR21" i="14"/>
  <c r="DR22" i="14"/>
  <c r="DR23" i="14"/>
  <c r="DR24" i="14"/>
  <c r="DR25" i="14"/>
  <c r="DR26" i="14"/>
  <c r="DR27" i="14"/>
  <c r="DR28" i="14"/>
  <c r="DR29" i="14"/>
  <c r="DR30" i="14"/>
  <c r="DR31" i="14"/>
  <c r="DR32" i="14"/>
  <c r="DR33" i="14"/>
  <c r="DR34" i="14"/>
  <c r="DR35" i="14"/>
  <c r="DR36" i="14"/>
  <c r="DR37" i="14"/>
  <c r="DR38" i="14"/>
  <c r="DR39" i="14"/>
  <c r="DR40" i="14"/>
  <c r="DR41" i="14"/>
  <c r="DR42" i="14"/>
  <c r="DR43" i="14"/>
  <c r="DR44" i="14"/>
  <c r="DR45" i="14"/>
  <c r="DR46" i="14"/>
  <c r="DR47" i="14"/>
  <c r="DR48" i="14"/>
  <c r="DR49" i="14"/>
  <c r="DR50" i="14"/>
  <c r="DR51" i="14"/>
  <c r="DR52" i="14"/>
  <c r="DR53" i="14"/>
  <c r="DR54" i="14"/>
  <c r="DR55" i="14"/>
  <c r="DR56" i="14"/>
  <c r="DR57" i="14"/>
  <c r="DR58" i="14"/>
  <c r="DR59" i="14"/>
  <c r="DR60" i="14"/>
  <c r="DR61" i="14"/>
  <c r="DR62" i="14"/>
  <c r="DR63" i="14"/>
  <c r="DR64" i="14"/>
  <c r="DR65" i="14"/>
  <c r="DR66" i="14"/>
  <c r="DR67" i="14"/>
  <c r="DR68" i="14"/>
  <c r="DR69" i="14"/>
  <c r="DR70" i="14"/>
  <c r="DR71" i="14"/>
  <c r="DR72" i="14"/>
  <c r="DR73" i="14"/>
  <c r="DR74" i="14"/>
  <c r="DR75" i="14"/>
  <c r="DR76" i="14"/>
  <c r="DR77" i="14"/>
  <c r="DR78" i="14"/>
  <c r="DR79" i="14"/>
  <c r="DR80" i="14"/>
  <c r="DR81" i="14"/>
  <c r="DG5" i="14"/>
  <c r="DG6" i="14"/>
  <c r="DG7" i="14"/>
  <c r="DG8" i="14"/>
  <c r="DG9" i="14"/>
  <c r="DG10" i="14"/>
  <c r="DG11" i="14"/>
  <c r="DG12" i="14"/>
  <c r="DG13" i="14"/>
  <c r="DG14" i="14"/>
  <c r="DG15" i="14"/>
  <c r="DG16" i="14"/>
  <c r="DG17" i="14"/>
  <c r="DG18" i="14"/>
  <c r="DG19" i="14"/>
  <c r="DG20" i="14"/>
  <c r="DG21" i="14"/>
  <c r="DG22" i="14"/>
  <c r="DG23" i="14"/>
  <c r="DG24" i="14"/>
  <c r="DG25" i="14"/>
  <c r="DG26" i="14"/>
  <c r="DG27" i="14"/>
  <c r="DG28" i="14"/>
  <c r="DG29" i="14"/>
  <c r="DG30" i="14"/>
  <c r="DG31" i="14"/>
  <c r="DG32" i="14"/>
  <c r="DG33" i="14"/>
  <c r="DG34" i="14"/>
  <c r="DG35" i="14"/>
  <c r="DG36" i="14"/>
  <c r="DG37" i="14"/>
  <c r="DG38" i="14"/>
  <c r="DG39" i="14"/>
  <c r="DG40" i="14"/>
  <c r="DG41" i="14"/>
  <c r="DG42" i="14"/>
  <c r="DG43" i="14"/>
  <c r="DG44" i="14"/>
  <c r="DG45" i="14"/>
  <c r="DG46" i="14"/>
  <c r="DG47" i="14"/>
  <c r="DG48" i="14"/>
  <c r="DG49" i="14"/>
  <c r="DG50" i="14"/>
  <c r="DG51" i="14"/>
  <c r="DG52" i="14"/>
  <c r="DG53" i="14"/>
  <c r="DG54" i="14"/>
  <c r="DG55" i="14"/>
  <c r="DG56" i="14"/>
  <c r="DG57" i="14"/>
  <c r="DG58" i="14"/>
  <c r="DG59" i="14"/>
  <c r="DG60" i="14"/>
  <c r="DG61" i="14"/>
  <c r="DG62" i="14"/>
  <c r="DG63" i="14"/>
  <c r="DG64" i="14"/>
  <c r="DG65" i="14"/>
  <c r="DG66" i="14"/>
  <c r="DG67" i="14"/>
  <c r="DG68" i="14"/>
  <c r="DG69" i="14"/>
  <c r="DG70" i="14"/>
  <c r="DG71" i="14"/>
  <c r="DG72" i="14"/>
  <c r="DG73" i="14"/>
  <c r="DG74" i="14"/>
  <c r="DG75" i="14"/>
  <c r="DG76" i="14"/>
  <c r="DG77" i="14"/>
  <c r="DG78" i="14"/>
  <c r="DG79" i="14"/>
  <c r="DG80" i="14"/>
  <c r="DG81" i="14"/>
  <c r="DF5" i="14"/>
  <c r="DF6" i="14"/>
  <c r="DF7" i="14"/>
  <c r="DF8" i="14"/>
  <c r="DF9" i="14"/>
  <c r="DF10" i="14"/>
  <c r="DF11" i="14"/>
  <c r="DF12" i="14"/>
  <c r="DF13" i="14"/>
  <c r="DF14" i="14"/>
  <c r="DF15" i="14"/>
  <c r="DF16" i="14"/>
  <c r="DF17" i="14"/>
  <c r="DF18" i="14"/>
  <c r="DF19" i="14"/>
  <c r="DF20" i="14"/>
  <c r="DF21" i="14"/>
  <c r="DF22" i="14"/>
  <c r="DF23" i="14"/>
  <c r="DF24" i="14"/>
  <c r="DF25" i="14"/>
  <c r="DF26" i="14"/>
  <c r="DF27" i="14"/>
  <c r="DF28" i="14"/>
  <c r="DF29" i="14"/>
  <c r="DF30" i="14"/>
  <c r="DF31" i="14"/>
  <c r="DF32" i="14"/>
  <c r="DF33" i="14"/>
  <c r="DF34" i="14"/>
  <c r="DF35" i="14"/>
  <c r="DF36" i="14"/>
  <c r="DF37" i="14"/>
  <c r="DF38" i="14"/>
  <c r="DF39" i="14"/>
  <c r="DF40" i="14"/>
  <c r="DF41" i="14"/>
  <c r="DF42" i="14"/>
  <c r="DF43" i="14"/>
  <c r="DF44" i="14"/>
  <c r="DF45" i="14"/>
  <c r="DF46" i="14"/>
  <c r="DF47" i="14"/>
  <c r="DF48" i="14"/>
  <c r="DF49" i="14"/>
  <c r="DF50" i="14"/>
  <c r="DF51" i="14"/>
  <c r="DF52" i="14"/>
  <c r="DF53" i="14"/>
  <c r="DF54" i="14"/>
  <c r="DF55" i="14"/>
  <c r="DF56" i="14"/>
  <c r="DF57" i="14"/>
  <c r="DF58" i="14"/>
  <c r="DF59" i="14"/>
  <c r="DF60" i="14"/>
  <c r="DF61" i="14"/>
  <c r="DF62" i="14"/>
  <c r="DF63" i="14"/>
  <c r="DF64" i="14"/>
  <c r="DF65" i="14"/>
  <c r="DF66" i="14"/>
  <c r="DF67" i="14"/>
  <c r="DF68" i="14"/>
  <c r="DF69" i="14"/>
  <c r="DF70" i="14"/>
  <c r="DF71" i="14"/>
  <c r="DF72" i="14"/>
  <c r="DF73" i="14"/>
  <c r="DF74" i="14"/>
  <c r="DF75" i="14"/>
  <c r="DF76" i="14"/>
  <c r="DF77" i="14"/>
  <c r="DF78" i="14"/>
  <c r="DF79" i="14"/>
  <c r="DF80" i="14"/>
  <c r="DF81" i="14"/>
  <c r="CV5" i="14"/>
  <c r="CV6" i="14"/>
  <c r="CV7" i="14"/>
  <c r="CV8" i="14"/>
  <c r="CV9" i="14"/>
  <c r="CV10" i="14"/>
  <c r="CV11" i="14"/>
  <c r="CV12" i="14"/>
  <c r="CV13" i="14"/>
  <c r="CV14" i="14"/>
  <c r="CV15" i="14"/>
  <c r="CV16" i="14"/>
  <c r="CV17" i="14"/>
  <c r="CV18" i="14"/>
  <c r="CV19" i="14"/>
  <c r="CV20" i="14"/>
  <c r="CV21" i="14"/>
  <c r="CV22" i="14"/>
  <c r="CV23" i="14"/>
  <c r="CV24" i="14"/>
  <c r="CV25" i="14"/>
  <c r="CV26" i="14"/>
  <c r="CV27" i="14"/>
  <c r="CV28" i="14"/>
  <c r="CV29" i="14"/>
  <c r="CV30" i="14"/>
  <c r="CV31" i="14"/>
  <c r="CV32" i="14"/>
  <c r="CV33" i="14"/>
  <c r="CV34" i="14"/>
  <c r="CV35" i="14"/>
  <c r="CV36" i="14"/>
  <c r="CV37" i="14"/>
  <c r="CV38" i="14"/>
  <c r="CV39" i="14"/>
  <c r="CV40" i="14"/>
  <c r="CV41" i="14"/>
  <c r="CV42" i="14"/>
  <c r="CV43" i="14"/>
  <c r="CV44" i="14"/>
  <c r="CV45" i="14"/>
  <c r="CV46" i="14"/>
  <c r="CV47" i="14"/>
  <c r="CV48" i="14"/>
  <c r="CV49" i="14"/>
  <c r="CV50" i="14"/>
  <c r="CV51" i="14"/>
  <c r="CV52" i="14"/>
  <c r="CV53" i="14"/>
  <c r="CV54" i="14"/>
  <c r="CV55" i="14"/>
  <c r="CV56" i="14"/>
  <c r="CV57" i="14"/>
  <c r="CV58" i="14"/>
  <c r="CV59" i="14"/>
  <c r="CV60" i="14"/>
  <c r="CV61" i="14"/>
  <c r="CV62" i="14"/>
  <c r="CV63" i="14"/>
  <c r="CV64" i="14"/>
  <c r="CV65" i="14"/>
  <c r="CV66" i="14"/>
  <c r="CV67" i="14"/>
  <c r="CV68" i="14"/>
  <c r="CV69" i="14"/>
  <c r="CV70" i="14"/>
  <c r="CV71" i="14"/>
  <c r="CV72" i="14"/>
  <c r="CV73" i="14"/>
  <c r="CV74" i="14"/>
  <c r="CV75" i="14"/>
  <c r="CV76" i="14"/>
  <c r="CV77" i="14"/>
  <c r="CV78" i="14"/>
  <c r="CV79" i="14"/>
  <c r="CV80" i="14"/>
  <c r="CV81" i="14"/>
  <c r="CU5" i="14"/>
  <c r="CU6" i="14"/>
  <c r="CU7" i="14"/>
  <c r="CU8" i="14"/>
  <c r="CU9" i="14"/>
  <c r="CU10" i="14"/>
  <c r="CU11" i="14"/>
  <c r="CU12" i="14"/>
  <c r="CU13" i="14"/>
  <c r="CU14" i="14"/>
  <c r="CU15" i="14"/>
  <c r="CU16" i="14"/>
  <c r="CU17" i="14"/>
  <c r="CU18" i="14"/>
  <c r="CU19" i="14"/>
  <c r="CU20" i="14"/>
  <c r="CU21" i="14"/>
  <c r="CU22" i="14"/>
  <c r="CU23" i="14"/>
  <c r="CU24" i="14"/>
  <c r="CU25" i="14"/>
  <c r="CU26" i="14"/>
  <c r="CU27" i="14"/>
  <c r="CU28" i="14"/>
  <c r="CU29" i="14"/>
  <c r="CU30" i="14"/>
  <c r="CU31" i="14"/>
  <c r="CU32" i="14"/>
  <c r="CU33" i="14"/>
  <c r="CU34" i="14"/>
  <c r="CU35" i="14"/>
  <c r="CU36" i="14"/>
  <c r="CU37" i="14"/>
  <c r="CU38" i="14"/>
  <c r="CU39" i="14"/>
  <c r="CU40" i="14"/>
  <c r="CU41" i="14"/>
  <c r="CU42" i="14"/>
  <c r="CU43" i="14"/>
  <c r="CU44" i="14"/>
  <c r="CU45" i="14"/>
  <c r="CU46" i="14"/>
  <c r="CU47" i="14"/>
  <c r="CU48" i="14"/>
  <c r="CU49" i="14"/>
  <c r="CU50" i="14"/>
  <c r="CU51" i="14"/>
  <c r="CU52" i="14"/>
  <c r="CU53" i="14"/>
  <c r="CU54" i="14"/>
  <c r="CU55" i="14"/>
  <c r="CU56" i="14"/>
  <c r="CU57" i="14"/>
  <c r="CU58" i="14"/>
  <c r="CU59" i="14"/>
  <c r="CU60" i="14"/>
  <c r="CU61" i="14"/>
  <c r="CU62" i="14"/>
  <c r="CU63" i="14"/>
  <c r="CU64" i="14"/>
  <c r="CU65" i="14"/>
  <c r="CU66" i="14"/>
  <c r="CU67" i="14"/>
  <c r="CU68" i="14"/>
  <c r="CU69" i="14"/>
  <c r="CU70" i="14"/>
  <c r="CU71" i="14"/>
  <c r="CU72" i="14"/>
  <c r="CU73" i="14"/>
  <c r="CU74" i="14"/>
  <c r="CU75" i="14"/>
  <c r="CU76" i="14"/>
  <c r="CU77" i="14"/>
  <c r="CU78" i="14"/>
  <c r="CU79" i="14"/>
  <c r="CU80" i="14"/>
  <c r="CU81" i="14"/>
  <c r="CK5" i="14"/>
  <c r="CK6" i="14"/>
  <c r="CK7" i="14"/>
  <c r="CK8" i="14"/>
  <c r="CK9" i="14"/>
  <c r="CK10" i="14"/>
  <c r="CK11" i="14"/>
  <c r="CK12" i="14"/>
  <c r="CK13" i="14"/>
  <c r="CK14" i="14"/>
  <c r="CK15" i="14"/>
  <c r="CK16" i="14"/>
  <c r="CK17" i="14"/>
  <c r="CK18" i="14"/>
  <c r="CK19" i="14"/>
  <c r="CK20" i="14"/>
  <c r="CK21" i="14"/>
  <c r="CK22" i="14"/>
  <c r="CK23" i="14"/>
  <c r="CK24" i="14"/>
  <c r="CK25" i="14"/>
  <c r="CK26" i="14"/>
  <c r="CK27" i="14"/>
  <c r="CK28" i="14"/>
  <c r="CK29" i="14"/>
  <c r="CK30" i="14"/>
  <c r="CK31" i="14"/>
  <c r="CK32" i="14"/>
  <c r="CK33" i="14"/>
  <c r="CK34" i="14"/>
  <c r="CK35" i="14"/>
  <c r="CK36" i="14"/>
  <c r="CK37" i="14"/>
  <c r="CK38" i="14"/>
  <c r="CK39" i="14"/>
  <c r="CK40" i="14"/>
  <c r="CK41" i="14"/>
  <c r="CK42" i="14"/>
  <c r="CK43" i="14"/>
  <c r="CK44" i="14"/>
  <c r="CK45" i="14"/>
  <c r="CK46" i="14"/>
  <c r="CK47" i="14"/>
  <c r="CK48" i="14"/>
  <c r="CK49" i="14"/>
  <c r="CK50" i="14"/>
  <c r="CK51" i="14"/>
  <c r="CK52" i="14"/>
  <c r="CK53" i="14"/>
  <c r="CK54" i="14"/>
  <c r="CK55" i="14"/>
  <c r="CK56" i="14"/>
  <c r="CK57" i="14"/>
  <c r="CK58" i="14"/>
  <c r="CK59" i="14"/>
  <c r="CK60" i="14"/>
  <c r="CK61" i="14"/>
  <c r="CK62" i="14"/>
  <c r="CK63" i="14"/>
  <c r="CK64" i="14"/>
  <c r="CK65" i="14"/>
  <c r="CK66" i="14"/>
  <c r="CK67" i="14"/>
  <c r="CK68" i="14"/>
  <c r="CK69" i="14"/>
  <c r="CK70" i="14"/>
  <c r="CK71" i="14"/>
  <c r="CK72" i="14"/>
  <c r="CK73" i="14"/>
  <c r="CK74" i="14"/>
  <c r="CK75" i="14"/>
  <c r="CK76" i="14"/>
  <c r="CK77" i="14"/>
  <c r="CK78" i="14"/>
  <c r="CK79" i="14"/>
  <c r="CK80" i="14"/>
  <c r="CK81" i="14"/>
  <c r="CJ5" i="14"/>
  <c r="CJ6" i="14"/>
  <c r="CJ7" i="14"/>
  <c r="CJ8" i="14"/>
  <c r="CJ9" i="14"/>
  <c r="CJ10" i="14"/>
  <c r="CJ11" i="14"/>
  <c r="CJ12" i="14"/>
  <c r="CJ13" i="14"/>
  <c r="CJ14" i="14"/>
  <c r="CJ15" i="14"/>
  <c r="CJ16" i="14"/>
  <c r="CJ17" i="14"/>
  <c r="CJ18" i="14"/>
  <c r="CJ19" i="14"/>
  <c r="CJ20" i="14"/>
  <c r="CJ21" i="14"/>
  <c r="CJ22" i="14"/>
  <c r="CJ23" i="14"/>
  <c r="CJ24" i="14"/>
  <c r="CJ25" i="14"/>
  <c r="CJ26" i="14"/>
  <c r="CJ27" i="14"/>
  <c r="CJ28" i="14"/>
  <c r="CJ29" i="14"/>
  <c r="CJ30" i="14"/>
  <c r="CJ31" i="14"/>
  <c r="CJ32" i="14"/>
  <c r="CJ33" i="14"/>
  <c r="CJ34" i="14"/>
  <c r="CJ35" i="14"/>
  <c r="CJ36" i="14"/>
  <c r="CJ37" i="14"/>
  <c r="CJ38" i="14"/>
  <c r="CJ39" i="14"/>
  <c r="CJ40" i="14"/>
  <c r="CJ41" i="14"/>
  <c r="CJ42" i="14"/>
  <c r="CJ43" i="14"/>
  <c r="CJ44" i="14"/>
  <c r="CJ45" i="14"/>
  <c r="CJ46" i="14"/>
  <c r="CJ47" i="14"/>
  <c r="CJ48" i="14"/>
  <c r="CJ49" i="14"/>
  <c r="CJ50" i="14"/>
  <c r="CJ51" i="14"/>
  <c r="CJ52" i="14"/>
  <c r="CJ53" i="14"/>
  <c r="CJ54" i="14"/>
  <c r="CJ55" i="14"/>
  <c r="CJ56" i="14"/>
  <c r="CJ57" i="14"/>
  <c r="CJ58" i="14"/>
  <c r="CJ59" i="14"/>
  <c r="CJ60" i="14"/>
  <c r="CJ61" i="14"/>
  <c r="CJ62" i="14"/>
  <c r="CJ63" i="14"/>
  <c r="CJ64" i="14"/>
  <c r="CJ65" i="14"/>
  <c r="CJ66" i="14"/>
  <c r="CJ67" i="14"/>
  <c r="CJ68" i="14"/>
  <c r="CJ69" i="14"/>
  <c r="CJ70" i="14"/>
  <c r="CJ71" i="14"/>
  <c r="CJ72" i="14"/>
  <c r="CJ73" i="14"/>
  <c r="CJ74" i="14"/>
  <c r="CJ75" i="14"/>
  <c r="CJ76" i="14"/>
  <c r="CJ77" i="14"/>
  <c r="CJ78" i="14"/>
  <c r="CJ79" i="14"/>
  <c r="CJ80" i="14"/>
  <c r="CJ81" i="14"/>
  <c r="BZ5" i="14"/>
  <c r="BZ6" i="14"/>
  <c r="BZ7" i="14"/>
  <c r="BZ8" i="14"/>
  <c r="BZ9" i="14"/>
  <c r="BZ10" i="14"/>
  <c r="BZ11" i="14"/>
  <c r="BZ12" i="14"/>
  <c r="BZ13" i="14"/>
  <c r="BZ14" i="14"/>
  <c r="BZ15" i="14"/>
  <c r="BZ16" i="14"/>
  <c r="BZ17" i="14"/>
  <c r="BZ18" i="14"/>
  <c r="BZ19" i="14"/>
  <c r="BZ20" i="14"/>
  <c r="BZ21" i="14"/>
  <c r="BZ22" i="14"/>
  <c r="BZ23" i="14"/>
  <c r="BZ24" i="14"/>
  <c r="BZ25" i="14"/>
  <c r="BZ26" i="14"/>
  <c r="BZ27" i="14"/>
  <c r="BZ28" i="14"/>
  <c r="BZ29" i="14"/>
  <c r="BZ30" i="14"/>
  <c r="BZ31" i="14"/>
  <c r="BZ32" i="14"/>
  <c r="BZ33" i="14"/>
  <c r="BZ34" i="14"/>
  <c r="BZ35" i="14"/>
  <c r="BZ36" i="14"/>
  <c r="BZ37" i="14"/>
  <c r="BZ38" i="14"/>
  <c r="BZ39" i="14"/>
  <c r="BZ40" i="14"/>
  <c r="BZ41" i="14"/>
  <c r="BZ42" i="14"/>
  <c r="BZ43" i="14"/>
  <c r="BZ44" i="14"/>
  <c r="BZ45" i="14"/>
  <c r="BZ46" i="14"/>
  <c r="BZ47" i="14"/>
  <c r="BZ48" i="14"/>
  <c r="BZ49" i="14"/>
  <c r="BZ50" i="14"/>
  <c r="BZ51" i="14"/>
  <c r="BZ52" i="14"/>
  <c r="BZ53" i="14"/>
  <c r="BZ54" i="14"/>
  <c r="BZ55" i="14"/>
  <c r="BZ56" i="14"/>
  <c r="BZ57" i="14"/>
  <c r="BZ58" i="14"/>
  <c r="BZ59" i="14"/>
  <c r="BZ60" i="14"/>
  <c r="BZ61" i="14"/>
  <c r="BZ62" i="14"/>
  <c r="BZ63" i="14"/>
  <c r="BZ64" i="14"/>
  <c r="BZ65" i="14"/>
  <c r="BZ66" i="14"/>
  <c r="BZ67" i="14"/>
  <c r="BZ68" i="14"/>
  <c r="BZ69" i="14"/>
  <c r="BZ70" i="14"/>
  <c r="BZ71" i="14"/>
  <c r="BZ72" i="14"/>
  <c r="BZ73" i="14"/>
  <c r="BZ74" i="14"/>
  <c r="BZ75" i="14"/>
  <c r="BZ76" i="14"/>
  <c r="BZ77" i="14"/>
  <c r="BZ78" i="14"/>
  <c r="BZ79" i="14"/>
  <c r="BZ80" i="14"/>
  <c r="BZ81" i="14"/>
  <c r="BY5" i="14"/>
  <c r="BY6" i="14"/>
  <c r="BY7" i="14"/>
  <c r="BY8" i="14"/>
  <c r="BY9" i="14"/>
  <c r="BY10" i="14"/>
  <c r="BY11" i="14"/>
  <c r="BY12" i="14"/>
  <c r="BY13" i="14"/>
  <c r="BY14" i="14"/>
  <c r="BY15" i="14"/>
  <c r="BY16" i="14"/>
  <c r="BY17" i="14"/>
  <c r="BY18" i="14"/>
  <c r="BY19" i="14"/>
  <c r="BY20" i="14"/>
  <c r="BY21" i="14"/>
  <c r="BY22" i="14"/>
  <c r="BY23" i="14"/>
  <c r="BY24" i="14"/>
  <c r="BY25" i="14"/>
  <c r="BY26" i="14"/>
  <c r="BY27" i="14"/>
  <c r="BY28" i="14"/>
  <c r="BY29" i="14"/>
  <c r="BY30" i="14"/>
  <c r="BY31" i="14"/>
  <c r="BY32" i="14"/>
  <c r="BY33" i="14"/>
  <c r="BY34" i="14"/>
  <c r="BY35" i="14"/>
  <c r="BY36" i="14"/>
  <c r="BY37" i="14"/>
  <c r="BY38" i="14"/>
  <c r="BY39" i="14"/>
  <c r="BY40" i="14"/>
  <c r="BY41" i="14"/>
  <c r="BY42" i="14"/>
  <c r="BY43" i="14"/>
  <c r="BY44" i="14"/>
  <c r="BY45" i="14"/>
  <c r="BY46" i="14"/>
  <c r="BY47" i="14"/>
  <c r="BY48" i="14"/>
  <c r="BY49" i="14"/>
  <c r="BY50" i="14"/>
  <c r="BY51" i="14"/>
  <c r="BY52" i="14"/>
  <c r="BY53" i="14"/>
  <c r="BY54" i="14"/>
  <c r="BY55" i="14"/>
  <c r="BY56" i="14"/>
  <c r="BY57" i="14"/>
  <c r="BY58" i="14"/>
  <c r="BY59" i="14"/>
  <c r="BY60" i="14"/>
  <c r="BY61" i="14"/>
  <c r="BY62" i="14"/>
  <c r="BY63" i="14"/>
  <c r="BY64" i="14"/>
  <c r="BY65" i="14"/>
  <c r="BY66" i="14"/>
  <c r="BY67" i="14"/>
  <c r="BY68" i="14"/>
  <c r="BY69" i="14"/>
  <c r="BY70" i="14"/>
  <c r="BY71" i="14"/>
  <c r="BY72" i="14"/>
  <c r="BY73" i="14"/>
  <c r="BY74" i="14"/>
  <c r="BY75" i="14"/>
  <c r="BY76" i="14"/>
  <c r="BY77" i="14"/>
  <c r="BY78" i="14"/>
  <c r="BY79" i="14"/>
  <c r="BY80" i="14"/>
  <c r="BY81" i="14"/>
  <c r="BO5" i="14"/>
  <c r="BO6" i="14"/>
  <c r="BO7" i="14"/>
  <c r="BO8" i="14"/>
  <c r="BO9" i="14"/>
  <c r="BO10" i="14"/>
  <c r="BO11" i="14"/>
  <c r="BO12" i="14"/>
  <c r="BO13" i="14"/>
  <c r="BO14" i="14"/>
  <c r="BO15" i="14"/>
  <c r="BO16" i="14"/>
  <c r="BO17" i="14"/>
  <c r="BO18" i="14"/>
  <c r="BO19" i="14"/>
  <c r="BO20" i="14"/>
  <c r="BO21" i="14"/>
  <c r="BO22" i="14"/>
  <c r="BO23" i="14"/>
  <c r="BO24" i="14"/>
  <c r="BO25" i="14"/>
  <c r="BO26" i="14"/>
  <c r="BO27" i="14"/>
  <c r="BO28" i="14"/>
  <c r="BO29" i="14"/>
  <c r="BO30" i="14"/>
  <c r="BO31" i="14"/>
  <c r="BO32" i="14"/>
  <c r="BO33" i="14"/>
  <c r="BO34" i="14"/>
  <c r="BO35" i="14"/>
  <c r="BO36" i="14"/>
  <c r="BO37" i="14"/>
  <c r="BO38" i="14"/>
  <c r="BO39" i="14"/>
  <c r="BO40" i="14"/>
  <c r="BO41" i="14"/>
  <c r="BO42" i="14"/>
  <c r="BO43" i="14"/>
  <c r="BO44" i="14"/>
  <c r="BO45" i="14"/>
  <c r="BO46" i="14"/>
  <c r="BO47" i="14"/>
  <c r="BO48" i="14"/>
  <c r="BO49" i="14"/>
  <c r="BO50" i="14"/>
  <c r="BO51" i="14"/>
  <c r="BO52" i="14"/>
  <c r="BO53" i="14"/>
  <c r="BO54" i="14"/>
  <c r="BO55" i="14"/>
  <c r="BO56" i="14"/>
  <c r="BO57" i="14"/>
  <c r="BO58" i="14"/>
  <c r="BO59" i="14"/>
  <c r="BO60" i="14"/>
  <c r="BO61" i="14"/>
  <c r="BO62" i="14"/>
  <c r="BO63" i="14"/>
  <c r="BO64" i="14"/>
  <c r="BO65" i="14"/>
  <c r="BO66" i="14"/>
  <c r="BO67" i="14"/>
  <c r="BO68" i="14"/>
  <c r="BO69" i="14"/>
  <c r="BO70" i="14"/>
  <c r="BO71" i="14"/>
  <c r="BO72" i="14"/>
  <c r="BO73" i="14"/>
  <c r="BO74" i="14"/>
  <c r="BO75" i="14"/>
  <c r="BO76" i="14"/>
  <c r="BO77" i="14"/>
  <c r="BO78" i="14"/>
  <c r="BO79" i="14"/>
  <c r="BO80" i="14"/>
  <c r="BO81" i="14"/>
  <c r="BN5" i="14"/>
  <c r="BN6" i="14"/>
  <c r="BN7" i="14"/>
  <c r="BN8" i="14"/>
  <c r="BN9" i="14"/>
  <c r="BN10" i="14"/>
  <c r="BN11" i="14"/>
  <c r="BN12" i="14"/>
  <c r="BN13" i="14"/>
  <c r="BN14" i="14"/>
  <c r="BN15" i="14"/>
  <c r="BN16" i="14"/>
  <c r="BN17" i="14"/>
  <c r="BN18" i="14"/>
  <c r="BN19" i="14"/>
  <c r="BN20" i="14"/>
  <c r="BN21" i="14"/>
  <c r="BN22" i="14"/>
  <c r="BN23" i="14"/>
  <c r="BN24" i="14"/>
  <c r="BN25" i="14"/>
  <c r="BN26" i="14"/>
  <c r="BN27" i="14"/>
  <c r="BN28" i="14"/>
  <c r="BN29" i="14"/>
  <c r="BN30" i="14"/>
  <c r="BN31" i="14"/>
  <c r="BN32" i="14"/>
  <c r="BN33" i="14"/>
  <c r="BN34" i="14"/>
  <c r="BN35" i="14"/>
  <c r="BN36" i="14"/>
  <c r="BN37" i="14"/>
  <c r="BN38" i="14"/>
  <c r="BN39" i="14"/>
  <c r="BN40" i="14"/>
  <c r="BN41" i="14"/>
  <c r="BN42" i="14"/>
  <c r="BN43" i="14"/>
  <c r="BN44" i="14"/>
  <c r="BN45" i="14"/>
  <c r="BN46" i="14"/>
  <c r="BN47" i="14"/>
  <c r="BN48" i="14"/>
  <c r="BN49" i="14"/>
  <c r="BN50" i="14"/>
  <c r="BN51" i="14"/>
  <c r="BN52" i="14"/>
  <c r="BN53" i="14"/>
  <c r="BN54" i="14"/>
  <c r="BN55" i="14"/>
  <c r="BN56" i="14"/>
  <c r="BN57" i="14"/>
  <c r="BN58" i="14"/>
  <c r="BN59" i="14"/>
  <c r="BN60" i="14"/>
  <c r="BN61" i="14"/>
  <c r="BN62" i="14"/>
  <c r="BN63" i="14"/>
  <c r="BN64" i="14"/>
  <c r="BN65" i="14"/>
  <c r="BN66" i="14"/>
  <c r="BN67" i="14"/>
  <c r="BN68" i="14"/>
  <c r="BN69" i="14"/>
  <c r="BN70" i="14"/>
  <c r="BN71" i="14"/>
  <c r="BN72" i="14"/>
  <c r="BN73" i="14"/>
  <c r="BN74" i="14"/>
  <c r="BN75" i="14"/>
  <c r="BN76" i="14"/>
  <c r="BN77" i="14"/>
  <c r="BN78" i="14"/>
  <c r="BN79" i="14"/>
  <c r="BN80" i="14"/>
  <c r="BN81" i="14"/>
  <c r="BD5" i="14"/>
  <c r="BD6" i="14"/>
  <c r="BD7" i="14"/>
  <c r="BD8" i="14"/>
  <c r="BD9" i="14"/>
  <c r="BD10" i="14"/>
  <c r="BD11" i="14"/>
  <c r="BD12" i="14"/>
  <c r="BD13" i="14"/>
  <c r="BD14" i="14"/>
  <c r="BD15" i="14"/>
  <c r="BD16" i="14"/>
  <c r="BD17" i="14"/>
  <c r="BD18" i="14"/>
  <c r="BD19" i="14"/>
  <c r="BD20" i="14"/>
  <c r="BD21" i="14"/>
  <c r="BD22" i="14"/>
  <c r="BD23" i="14"/>
  <c r="BD24" i="14"/>
  <c r="BD25" i="14"/>
  <c r="BD26" i="14"/>
  <c r="BD27" i="14"/>
  <c r="BD28" i="14"/>
  <c r="BD29" i="14"/>
  <c r="BD30" i="14"/>
  <c r="BD31" i="14"/>
  <c r="BD32" i="14"/>
  <c r="BD33" i="14"/>
  <c r="BD34" i="14"/>
  <c r="BD35" i="14"/>
  <c r="BD36" i="14"/>
  <c r="BD37" i="14"/>
  <c r="BD38" i="14"/>
  <c r="BD39" i="14"/>
  <c r="BD40" i="14"/>
  <c r="BD41" i="14"/>
  <c r="BD42" i="14"/>
  <c r="BD43" i="14"/>
  <c r="BD44" i="14"/>
  <c r="BD45" i="14"/>
  <c r="BD46" i="14"/>
  <c r="BD47" i="14"/>
  <c r="BD48" i="14"/>
  <c r="BD49" i="14"/>
  <c r="BD50" i="14"/>
  <c r="BD51" i="14"/>
  <c r="BD52" i="14"/>
  <c r="BD53" i="14"/>
  <c r="BD54" i="14"/>
  <c r="BD55" i="14"/>
  <c r="BD56" i="14"/>
  <c r="BD57" i="14"/>
  <c r="BD58" i="14"/>
  <c r="BD59" i="14"/>
  <c r="BD60" i="14"/>
  <c r="BD61" i="14"/>
  <c r="BD62" i="14"/>
  <c r="BD63" i="14"/>
  <c r="BD64" i="14"/>
  <c r="BD65" i="14"/>
  <c r="BD66" i="14"/>
  <c r="BD67" i="14"/>
  <c r="BD68" i="14"/>
  <c r="BD69" i="14"/>
  <c r="BD70" i="14"/>
  <c r="BD71" i="14"/>
  <c r="BD72" i="14"/>
  <c r="BD73" i="14"/>
  <c r="BD74" i="14"/>
  <c r="BD75" i="14"/>
  <c r="BD76" i="14"/>
  <c r="BD77" i="14"/>
  <c r="BD78" i="14"/>
  <c r="BD79" i="14"/>
  <c r="BD80" i="14"/>
  <c r="BD81" i="14"/>
  <c r="BC5" i="14"/>
  <c r="BC6" i="14"/>
  <c r="BC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BC38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54" i="14"/>
  <c r="BC55" i="14"/>
  <c r="BC56" i="14"/>
  <c r="BC57" i="14"/>
  <c r="BC58" i="14"/>
  <c r="BC59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AR5" i="14"/>
  <c r="AR6" i="14"/>
  <c r="AR7" i="14"/>
  <c r="AR8" i="14"/>
  <c r="AR9" i="14"/>
  <c r="AR10" i="14"/>
  <c r="AR11" i="14"/>
  <c r="AR12" i="14"/>
  <c r="AR13" i="14"/>
  <c r="AR14" i="14"/>
  <c r="AR15" i="14"/>
  <c r="AR16" i="14"/>
  <c r="AR17" i="14"/>
  <c r="AR18" i="14"/>
  <c r="AR19" i="14"/>
  <c r="AR20" i="14"/>
  <c r="AR21" i="14"/>
  <c r="AR22" i="14"/>
  <c r="AR23" i="14"/>
  <c r="AR24" i="14"/>
  <c r="AR25" i="14"/>
  <c r="AR26" i="14"/>
  <c r="AR27" i="14"/>
  <c r="AR28" i="14"/>
  <c r="AR29" i="14"/>
  <c r="AR30" i="14"/>
  <c r="AR31" i="14"/>
  <c r="AR32" i="14"/>
  <c r="AR33" i="14"/>
  <c r="AR34" i="14"/>
  <c r="AR35" i="14"/>
  <c r="AR36" i="14"/>
  <c r="AR37" i="14"/>
  <c r="AR38" i="14"/>
  <c r="AR39" i="14"/>
  <c r="AR41" i="14"/>
  <c r="AR42" i="14"/>
  <c r="AR43" i="14"/>
  <c r="AR44" i="14"/>
  <c r="AR45" i="14"/>
  <c r="AR46" i="14"/>
  <c r="AR47" i="14"/>
  <c r="AR48" i="14"/>
  <c r="AR49" i="14"/>
  <c r="AR50" i="14"/>
  <c r="AR51" i="14"/>
  <c r="AR52" i="14"/>
  <c r="AR53" i="14"/>
  <c r="AR54" i="14"/>
  <c r="AR55" i="14"/>
  <c r="AR56" i="14"/>
  <c r="AR57" i="14"/>
  <c r="AR58" i="14"/>
  <c r="AR59" i="14"/>
  <c r="AR60" i="14"/>
  <c r="AR61" i="14"/>
  <c r="AR62" i="14"/>
  <c r="AR63" i="14"/>
  <c r="AR66" i="14"/>
  <c r="AR67" i="14"/>
  <c r="AR68" i="14"/>
  <c r="AR69" i="14"/>
  <c r="AR70" i="14"/>
  <c r="AR72" i="14"/>
  <c r="AR73" i="14"/>
  <c r="AR74" i="14"/>
  <c r="AR75" i="14"/>
  <c r="AR76" i="14"/>
  <c r="AR77" i="14"/>
  <c r="AR78" i="14"/>
  <c r="AR79" i="14"/>
  <c r="AR80" i="14"/>
  <c r="AR81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6" i="14"/>
  <c r="AG67" i="14"/>
  <c r="AG68" i="14"/>
  <c r="AG69" i="14"/>
  <c r="AG70" i="14"/>
  <c r="AG72" i="14"/>
  <c r="AG73" i="14"/>
  <c r="AG74" i="14"/>
  <c r="AG75" i="14"/>
  <c r="AG76" i="14"/>
  <c r="AG77" i="14"/>
  <c r="AG78" i="14"/>
  <c r="AG79" i="14"/>
  <c r="AG80" i="14"/>
  <c r="AG81" i="14"/>
  <c r="X84" i="14"/>
  <c r="Z85" i="14" s="1"/>
  <c r="Z89" i="14" s="1"/>
  <c r="Z84" i="14"/>
  <c r="T81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10" i="14"/>
  <c r="T9" i="14"/>
  <c r="B205" i="22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K17" i="21"/>
  <c r="K18" i="21"/>
  <c r="K19" i="21"/>
  <c r="K20" i="21"/>
  <c r="K21" i="21"/>
  <c r="K22" i="21"/>
  <c r="K16" i="21"/>
  <c r="K6" i="21"/>
  <c r="J6" i="21"/>
  <c r="K5" i="21"/>
  <c r="J5" i="21"/>
  <c r="K4" i="21"/>
  <c r="J4" i="21"/>
  <c r="S18" i="19"/>
  <c r="V18" i="19"/>
  <c r="W18" i="19"/>
  <c r="Y18" i="19"/>
  <c r="Z18" i="19"/>
  <c r="AB18" i="19"/>
  <c r="AC18" i="19"/>
  <c r="AE18" i="19"/>
  <c r="AF18" i="19"/>
  <c r="AH18" i="19"/>
  <c r="AI18" i="19"/>
  <c r="AK18" i="19"/>
  <c r="AL18" i="19"/>
  <c r="AN18" i="19"/>
  <c r="AO18" i="19"/>
  <c r="AQ18" i="19"/>
  <c r="AR18" i="19"/>
  <c r="AT18" i="19"/>
  <c r="AU18" i="19"/>
  <c r="S19" i="19"/>
  <c r="V19" i="19"/>
  <c r="W19" i="19"/>
  <c r="Y19" i="19"/>
  <c r="Z19" i="19"/>
  <c r="AB19" i="19"/>
  <c r="AC19" i="19"/>
  <c r="AE19" i="19"/>
  <c r="AF19" i="19"/>
  <c r="AH19" i="19"/>
  <c r="AI19" i="19"/>
  <c r="AK19" i="19"/>
  <c r="AL19" i="19"/>
  <c r="AN19" i="19"/>
  <c r="AO19" i="19"/>
  <c r="AQ19" i="19"/>
  <c r="AR19" i="19"/>
  <c r="AT19" i="19"/>
  <c r="AU19" i="19"/>
  <c r="S20" i="19"/>
  <c r="V20" i="19"/>
  <c r="W20" i="19"/>
  <c r="Y20" i="19"/>
  <c r="Z20" i="19"/>
  <c r="AB20" i="19"/>
  <c r="AC20" i="19"/>
  <c r="AE20" i="19"/>
  <c r="AF20" i="19"/>
  <c r="AH20" i="19"/>
  <c r="AI20" i="19"/>
  <c r="AK20" i="19"/>
  <c r="AL20" i="19"/>
  <c r="AN20" i="19"/>
  <c r="AO20" i="19"/>
  <c r="AQ20" i="19"/>
  <c r="AR20" i="19"/>
  <c r="AT20" i="19"/>
  <c r="AU20" i="19"/>
  <c r="AU17" i="19"/>
  <c r="AT17" i="19"/>
  <c r="AR17" i="19"/>
  <c r="AQ17" i="19"/>
  <c r="AO17" i="19"/>
  <c r="AN17" i="19"/>
  <c r="AL17" i="19"/>
  <c r="AK17" i="19"/>
  <c r="AI17" i="19"/>
  <c r="AH17" i="19"/>
  <c r="AF17" i="19"/>
  <c r="AE17" i="19"/>
  <c r="AC17" i="19"/>
  <c r="AB17" i="19"/>
  <c r="Z17" i="19"/>
  <c r="Y17" i="19"/>
  <c r="W17" i="19"/>
  <c r="V17" i="19"/>
  <c r="S17" i="19"/>
  <c r="AT16" i="19"/>
  <c r="AQ16" i="19"/>
  <c r="AN16" i="19"/>
  <c r="AK16" i="19"/>
  <c r="AH16" i="19"/>
  <c r="AE16" i="19"/>
  <c r="AB16" i="19"/>
  <c r="Y16" i="19"/>
  <c r="V16" i="19"/>
  <c r="S16" i="19"/>
  <c r="AO16" i="19"/>
  <c r="AU16" i="19"/>
  <c r="AR16" i="19"/>
  <c r="AL16" i="19"/>
  <c r="AI16" i="19"/>
  <c r="AF16" i="19"/>
  <c r="AC16" i="19"/>
  <c r="Z16" i="19"/>
  <c r="W16" i="19"/>
  <c r="S15" i="19"/>
  <c r="V15" i="19"/>
  <c r="W15" i="19"/>
  <c r="Y15" i="19"/>
  <c r="Z15" i="19"/>
  <c r="AB15" i="19"/>
  <c r="AC15" i="19"/>
  <c r="AE15" i="19"/>
  <c r="AF15" i="19"/>
  <c r="AH15" i="19"/>
  <c r="AI15" i="19"/>
  <c r="AK15" i="19"/>
  <c r="AL15" i="19"/>
  <c r="AN15" i="19"/>
  <c r="AO15" i="19"/>
  <c r="AQ15" i="19"/>
  <c r="AR15" i="19"/>
  <c r="AT15" i="19"/>
  <c r="AU15" i="19"/>
  <c r="AU14" i="19"/>
  <c r="AT14" i="19"/>
  <c r="AR14" i="19"/>
  <c r="AQ14" i="19"/>
  <c r="AO14" i="19"/>
  <c r="AN14" i="19"/>
  <c r="AL14" i="19"/>
  <c r="AK14" i="19"/>
  <c r="AI14" i="19"/>
  <c r="AH14" i="19"/>
  <c r="AF14" i="19"/>
  <c r="AE14" i="19"/>
  <c r="AC14" i="19"/>
  <c r="AB14" i="19"/>
  <c r="Z14" i="19"/>
  <c r="Y14" i="19"/>
  <c r="W14" i="19"/>
  <c r="V14" i="19"/>
  <c r="S14" i="19"/>
  <c r="AU13" i="19"/>
  <c r="AT13" i="19"/>
  <c r="AR13" i="19"/>
  <c r="AQ13" i="19"/>
  <c r="AO13" i="19"/>
  <c r="AN13" i="19"/>
  <c r="AL13" i="19"/>
  <c r="AK13" i="19"/>
  <c r="AI13" i="19"/>
  <c r="AH13" i="19"/>
  <c r="AF13" i="19"/>
  <c r="AE13" i="19"/>
  <c r="AC13" i="19"/>
  <c r="AB13" i="19"/>
  <c r="Z13" i="19"/>
  <c r="Y13" i="19"/>
  <c r="W13" i="19"/>
  <c r="V13" i="19"/>
  <c r="S13" i="19"/>
  <c r="S7" i="19"/>
  <c r="V7" i="19"/>
  <c r="W7" i="19"/>
  <c r="Y7" i="19"/>
  <c r="Z7" i="19"/>
  <c r="AB7" i="19"/>
  <c r="AC7" i="19"/>
  <c r="AE7" i="19"/>
  <c r="AF7" i="19"/>
  <c r="AH7" i="19"/>
  <c r="AI7" i="19"/>
  <c r="AK7" i="19"/>
  <c r="AL7" i="19"/>
  <c r="AN7" i="19"/>
  <c r="AO7" i="19"/>
  <c r="AQ7" i="19"/>
  <c r="AR7" i="19"/>
  <c r="AT7" i="19"/>
  <c r="AU7" i="19"/>
  <c r="S8" i="19"/>
  <c r="V8" i="19"/>
  <c r="W8" i="19"/>
  <c r="Y8" i="19"/>
  <c r="Z8" i="19"/>
  <c r="AB8" i="19"/>
  <c r="AC8" i="19"/>
  <c r="AE8" i="19"/>
  <c r="AF8" i="19"/>
  <c r="AH8" i="19"/>
  <c r="AI8" i="19"/>
  <c r="AK8" i="19"/>
  <c r="AL8" i="19"/>
  <c r="AN8" i="19"/>
  <c r="AO8" i="19"/>
  <c r="AQ8" i="19"/>
  <c r="AR8" i="19"/>
  <c r="AT8" i="19"/>
  <c r="AU8" i="19"/>
  <c r="S9" i="19"/>
  <c r="V9" i="19"/>
  <c r="W9" i="19"/>
  <c r="Y9" i="19"/>
  <c r="Z9" i="19"/>
  <c r="AB9" i="19"/>
  <c r="AC9" i="19"/>
  <c r="AE9" i="19"/>
  <c r="AF9" i="19"/>
  <c r="AH9" i="19"/>
  <c r="AI9" i="19"/>
  <c r="AK9" i="19"/>
  <c r="AL9" i="19"/>
  <c r="AN9" i="19"/>
  <c r="AO9" i="19"/>
  <c r="AQ9" i="19"/>
  <c r="AR9" i="19"/>
  <c r="AT9" i="19"/>
  <c r="AU9" i="19"/>
  <c r="S10" i="19"/>
  <c r="V10" i="19"/>
  <c r="W10" i="19"/>
  <c r="Y10" i="19"/>
  <c r="Z10" i="19"/>
  <c r="AB10" i="19"/>
  <c r="AC10" i="19"/>
  <c r="AE10" i="19"/>
  <c r="AF10" i="19"/>
  <c r="AH10" i="19"/>
  <c r="AI10" i="19"/>
  <c r="AK10" i="19"/>
  <c r="AL10" i="19"/>
  <c r="AN10" i="19"/>
  <c r="AO10" i="19"/>
  <c r="AQ10" i="19"/>
  <c r="AR10" i="19"/>
  <c r="AT10" i="19"/>
  <c r="AU10" i="19"/>
  <c r="S11" i="19"/>
  <c r="V11" i="19"/>
  <c r="W11" i="19"/>
  <c r="Y11" i="19"/>
  <c r="Z11" i="19"/>
  <c r="AB11" i="19"/>
  <c r="AC11" i="19"/>
  <c r="AE11" i="19"/>
  <c r="AF11" i="19"/>
  <c r="AH11" i="19"/>
  <c r="AI11" i="19"/>
  <c r="AK11" i="19"/>
  <c r="AL11" i="19"/>
  <c r="AN11" i="19"/>
  <c r="AO11" i="19"/>
  <c r="AQ11" i="19"/>
  <c r="AR11" i="19"/>
  <c r="AT11" i="19"/>
  <c r="AU11" i="19"/>
  <c r="S12" i="19"/>
  <c r="V12" i="19"/>
  <c r="W12" i="19"/>
  <c r="Y12" i="19"/>
  <c r="Z12" i="19"/>
  <c r="AB12" i="19"/>
  <c r="AC12" i="19"/>
  <c r="AE12" i="19"/>
  <c r="AF12" i="19"/>
  <c r="AH12" i="19"/>
  <c r="AI12" i="19"/>
  <c r="AK12" i="19"/>
  <c r="AL12" i="19"/>
  <c r="AN12" i="19"/>
  <c r="AO12" i="19"/>
  <c r="AQ12" i="19"/>
  <c r="AR12" i="19"/>
  <c r="AT12" i="19"/>
  <c r="AU12" i="19"/>
  <c r="AU6" i="19"/>
  <c r="AT6" i="19"/>
  <c r="AR6" i="19"/>
  <c r="AQ6" i="19"/>
  <c r="AO6" i="19"/>
  <c r="AN6" i="19"/>
  <c r="AK6" i="19"/>
  <c r="AH6" i="19"/>
  <c r="AF6" i="19"/>
  <c r="AE6" i="19"/>
  <c r="AC6" i="19"/>
  <c r="AB6" i="19"/>
  <c r="Z6" i="19"/>
  <c r="Y6" i="19"/>
  <c r="W6" i="19"/>
  <c r="V6" i="19"/>
  <c r="S6" i="19"/>
  <c r="AI6" i="19"/>
  <c r="AL6" i="19"/>
  <c r="S4" i="19"/>
  <c r="V4" i="19"/>
  <c r="W4" i="19"/>
  <c r="Y4" i="19"/>
  <c r="Z4" i="19"/>
  <c r="AB4" i="19"/>
  <c r="AC4" i="19"/>
  <c r="AE4" i="19"/>
  <c r="AF4" i="19"/>
  <c r="AH4" i="19"/>
  <c r="AI4" i="19"/>
  <c r="AK4" i="19"/>
  <c r="AL4" i="19"/>
  <c r="AN4" i="19"/>
  <c r="AO4" i="19"/>
  <c r="AQ4" i="19"/>
  <c r="AR4" i="19"/>
  <c r="AT4" i="19"/>
  <c r="AU4" i="19"/>
  <c r="AU2" i="19"/>
  <c r="AT2" i="19"/>
  <c r="AR2" i="19"/>
  <c r="AQ2" i="19"/>
  <c r="AO2" i="19"/>
  <c r="AN2" i="19"/>
  <c r="AL2" i="19"/>
  <c r="AK2" i="19"/>
  <c r="AI2" i="19"/>
  <c r="AH2" i="19"/>
  <c r="AF2" i="19"/>
  <c r="AE2" i="19"/>
  <c r="AC2" i="19"/>
  <c r="AB2" i="19"/>
  <c r="Z2" i="19"/>
  <c r="Y2" i="19"/>
  <c r="W2" i="19"/>
  <c r="V2" i="19"/>
  <c r="S2" i="19"/>
  <c r="Q2" i="19"/>
  <c r="P2" i="19"/>
  <c r="N2" i="19"/>
  <c r="M2" i="19"/>
  <c r="AW79" i="19"/>
  <c r="AT78" i="19"/>
  <c r="AQ78" i="19"/>
  <c r="AN78" i="19"/>
  <c r="AK78" i="19"/>
  <c r="AH78" i="19"/>
  <c r="AE78" i="19"/>
  <c r="AB78" i="19"/>
  <c r="Y78" i="19"/>
  <c r="V78" i="19"/>
  <c r="S78" i="19"/>
  <c r="P78" i="19"/>
  <c r="M78" i="19"/>
  <c r="AW78" i="19" s="1"/>
  <c r="AT77" i="19"/>
  <c r="AQ77" i="19"/>
  <c r="AN77" i="19"/>
  <c r="AK77" i="19"/>
  <c r="AH77" i="19"/>
  <c r="AE77" i="19"/>
  <c r="AB77" i="19"/>
  <c r="Y77" i="19"/>
  <c r="V77" i="19"/>
  <c r="S77" i="19"/>
  <c r="P77" i="19"/>
  <c r="M77" i="19"/>
  <c r="AW77" i="19" s="1"/>
  <c r="AT76" i="19"/>
  <c r="AQ76" i="19"/>
  <c r="AN76" i="19"/>
  <c r="AK76" i="19"/>
  <c r="AH76" i="19"/>
  <c r="AE76" i="19"/>
  <c r="AB76" i="19"/>
  <c r="Y76" i="19"/>
  <c r="V76" i="19"/>
  <c r="S76" i="19"/>
  <c r="P76" i="19"/>
  <c r="M76" i="19"/>
  <c r="AW76" i="19" s="1"/>
  <c r="AT75" i="19"/>
  <c r="AQ75" i="19"/>
  <c r="AN75" i="19"/>
  <c r="AK75" i="19"/>
  <c r="AH75" i="19"/>
  <c r="AE75" i="19"/>
  <c r="AB75" i="19"/>
  <c r="Y75" i="19"/>
  <c r="V75" i="19"/>
  <c r="S75" i="19"/>
  <c r="M75" i="19"/>
  <c r="AX73" i="19"/>
  <c r="AT73" i="19"/>
  <c r="AQ73" i="19"/>
  <c r="AN73" i="19"/>
  <c r="AK73" i="19"/>
  <c r="AH73" i="19"/>
  <c r="AE73" i="19"/>
  <c r="AB73" i="19"/>
  <c r="Y73" i="19"/>
  <c r="V73" i="19"/>
  <c r="S73" i="19"/>
  <c r="AZ72" i="19"/>
  <c r="AY71" i="19"/>
  <c r="AZ70" i="19"/>
  <c r="AZ69" i="19"/>
  <c r="AZ68" i="19"/>
  <c r="AZ67" i="19"/>
  <c r="AZ63" i="19"/>
  <c r="AZ65" i="19"/>
  <c r="AZ66" i="19"/>
  <c r="AZ64" i="19"/>
  <c r="AZ62" i="19"/>
  <c r="AZ60" i="19"/>
  <c r="AZ58" i="19"/>
  <c r="AZ53" i="19"/>
  <c r="AZ52" i="19"/>
  <c r="AZ51" i="19"/>
  <c r="AZ49" i="19"/>
  <c r="AZ48" i="19"/>
  <c r="AZ46" i="19"/>
  <c r="AZ45" i="19"/>
  <c r="AZ44" i="19"/>
  <c r="AZ43" i="19"/>
  <c r="AZ42" i="19"/>
  <c r="AZ41" i="19"/>
  <c r="AZ40" i="19"/>
  <c r="AZ39" i="19"/>
  <c r="AZ37" i="19"/>
  <c r="AZ36" i="19"/>
  <c r="AZ32" i="19"/>
  <c r="AZ31" i="19"/>
  <c r="AZ30" i="19"/>
  <c r="AZ18" i="19"/>
  <c r="AZ16" i="19"/>
  <c r="AZ13" i="19"/>
  <c r="AZ10" i="19"/>
  <c r="AZ9" i="19"/>
  <c r="AZ8" i="19"/>
  <c r="AZ7" i="19"/>
  <c r="AS14" i="15" l="1"/>
  <c r="AH14" i="15"/>
  <c r="AS13" i="15"/>
  <c r="AH13" i="15"/>
  <c r="AS12" i="15"/>
  <c r="AH12" i="15"/>
  <c r="AS11" i="15"/>
  <c r="AH11" i="15"/>
  <c r="AS10" i="15"/>
  <c r="AH10" i="15"/>
  <c r="AS9" i="15"/>
  <c r="AH9" i="15"/>
  <c r="AS8" i="15"/>
  <c r="AH8" i="15"/>
  <c r="AS7" i="15"/>
  <c r="AH7" i="15"/>
  <c r="AS6" i="15"/>
  <c r="AH6" i="15"/>
  <c r="AS5" i="15"/>
  <c r="AH5" i="15"/>
  <c r="AS80" i="14"/>
  <c r="AH80" i="14"/>
  <c r="AS79" i="14"/>
  <c r="AH79" i="14"/>
  <c r="AS78" i="14"/>
  <c r="AH78" i="14"/>
  <c r="AS77" i="14"/>
  <c r="AH77" i="14"/>
  <c r="AS76" i="14"/>
  <c r="AH76" i="14"/>
  <c r="AS75" i="14"/>
  <c r="AH75" i="14"/>
  <c r="M51" i="19"/>
  <c r="AS74" i="14"/>
  <c r="AH74" i="14"/>
  <c r="AS73" i="14"/>
  <c r="AH73" i="14"/>
  <c r="AS72" i="14"/>
  <c r="AH72" i="14"/>
  <c r="AS69" i="14"/>
  <c r="AH69" i="14"/>
  <c r="AS68" i="14"/>
  <c r="AH68" i="14"/>
  <c r="M47" i="19"/>
  <c r="AH67" i="14"/>
  <c r="M46" i="19"/>
  <c r="AH66" i="14"/>
  <c r="AS65" i="14"/>
  <c r="AH65" i="14"/>
  <c r="AS64" i="14"/>
  <c r="AH64" i="14"/>
  <c r="M44" i="19"/>
  <c r="AH63" i="14"/>
  <c r="M43" i="19"/>
  <c r="AH62" i="14"/>
  <c r="M42" i="19"/>
  <c r="AH61" i="14"/>
  <c r="M41" i="19"/>
  <c r="AH60" i="14"/>
  <c r="AS59" i="14"/>
  <c r="AH59" i="14"/>
  <c r="AS57" i="14"/>
  <c r="AH57" i="14"/>
  <c r="AS56" i="14"/>
  <c r="AH56" i="14"/>
  <c r="AS55" i="14"/>
  <c r="AH55" i="14"/>
  <c r="AS54" i="14"/>
  <c r="AH54" i="14"/>
  <c r="M37" i="19"/>
  <c r="AS51" i="14"/>
  <c r="AH51" i="14"/>
  <c r="M36" i="19"/>
  <c r="AS50" i="14"/>
  <c r="AH50" i="14"/>
  <c r="M35" i="19"/>
  <c r="AH49" i="14"/>
  <c r="M34" i="19"/>
  <c r="AH48" i="14"/>
  <c r="M31" i="19"/>
  <c r="AH43" i="14"/>
  <c r="M30" i="19"/>
  <c r="AH42" i="14"/>
  <c r="AS41" i="14"/>
  <c r="AH41" i="14"/>
  <c r="AS40" i="14"/>
  <c r="AH40" i="14"/>
  <c r="M28" i="19"/>
  <c r="AS39" i="14"/>
  <c r="AH39" i="14"/>
  <c r="AS38" i="14"/>
  <c r="AH38" i="14"/>
  <c r="AS37" i="14"/>
  <c r="AH37" i="14"/>
  <c r="AS36" i="14"/>
  <c r="AH36" i="14"/>
  <c r="M26" i="19"/>
  <c r="AS35" i="14"/>
  <c r="AH35" i="14"/>
  <c r="M25" i="19"/>
  <c r="AS34" i="14"/>
  <c r="AH34" i="14"/>
  <c r="M23" i="19"/>
  <c r="AS31" i="14"/>
  <c r="AH31" i="14"/>
  <c r="M22" i="19"/>
  <c r="AH30" i="14"/>
  <c r="AS29" i="14"/>
  <c r="AH29" i="14"/>
  <c r="M20" i="19"/>
  <c r="AH27" i="14"/>
  <c r="M19" i="19"/>
  <c r="AS26" i="14"/>
  <c r="AH26" i="14"/>
  <c r="M18" i="19"/>
  <c r="AS25" i="14"/>
  <c r="AH25" i="14"/>
  <c r="M17" i="19"/>
  <c r="AH24" i="14"/>
  <c r="M15" i="19"/>
  <c r="AH21" i="14"/>
  <c r="M14" i="19"/>
  <c r="AH20" i="14"/>
  <c r="M12" i="19"/>
  <c r="AH17" i="14"/>
  <c r="M11" i="19"/>
  <c r="AH16" i="14"/>
  <c r="M10" i="19"/>
  <c r="AH15" i="14"/>
  <c r="M9" i="19"/>
  <c r="AH14" i="14"/>
  <c r="M8" i="19"/>
  <c r="AS13" i="14"/>
  <c r="AH13" i="14"/>
  <c r="M7" i="19"/>
  <c r="AS12" i="14"/>
  <c r="AH12" i="14"/>
  <c r="M6" i="19"/>
  <c r="AH11" i="14"/>
  <c r="M4" i="19"/>
  <c r="AH8" i="14"/>
  <c r="M59" i="19"/>
  <c r="F84" i="19" s="1"/>
  <c r="AH7" i="14"/>
  <c r="M3" i="19"/>
  <c r="AH6" i="14"/>
  <c r="AS5" i="14"/>
  <c r="AS71" i="14"/>
  <c r="AS70" i="14"/>
  <c r="P47" i="19"/>
  <c r="AS67" i="14"/>
  <c r="P46" i="19"/>
  <c r="AS66" i="14"/>
  <c r="P44" i="19"/>
  <c r="AS63" i="14"/>
  <c r="P43" i="19"/>
  <c r="AS62" i="14"/>
  <c r="P42" i="19"/>
  <c r="AS61" i="14"/>
  <c r="P41" i="19"/>
  <c r="AS60" i="14"/>
  <c r="P40" i="19"/>
  <c r="AS58" i="14"/>
  <c r="AS53" i="14"/>
  <c r="AS52" i="14"/>
  <c r="P35" i="19"/>
  <c r="AS49" i="14"/>
  <c r="P34" i="19"/>
  <c r="AS48" i="14"/>
  <c r="AS47" i="14"/>
  <c r="AS46" i="14"/>
  <c r="AS45" i="14"/>
  <c r="AS44" i="14"/>
  <c r="P31" i="19"/>
  <c r="AS43" i="14"/>
  <c r="P30" i="19"/>
  <c r="AS42" i="14"/>
  <c r="AS33" i="14"/>
  <c r="AS32" i="14"/>
  <c r="P22" i="19"/>
  <c r="AS30" i="14"/>
  <c r="P21" i="19"/>
  <c r="AS28" i="14"/>
  <c r="P20" i="19"/>
  <c r="AS27" i="14"/>
  <c r="P17" i="19"/>
  <c r="AS24" i="14"/>
  <c r="AS23" i="14"/>
  <c r="AS22" i="14"/>
  <c r="P15" i="19"/>
  <c r="AS21" i="14"/>
  <c r="P14" i="19"/>
  <c r="AS20" i="14"/>
  <c r="AS19" i="14"/>
  <c r="AS18" i="14"/>
  <c r="P12" i="19"/>
  <c r="AS17" i="14"/>
  <c r="P11" i="19"/>
  <c r="AS16" i="14"/>
  <c r="P10" i="19"/>
  <c r="AS15" i="14"/>
  <c r="AS10" i="14"/>
  <c r="AS9" i="14"/>
  <c r="P4" i="19"/>
  <c r="AS8" i="14"/>
  <c r="P59" i="19"/>
  <c r="AS7" i="14"/>
  <c r="P3" i="19"/>
  <c r="AS6" i="14"/>
  <c r="AS11" i="14"/>
  <c r="AS14" i="14"/>
  <c r="AS83" i="14"/>
  <c r="AH83" i="14"/>
  <c r="AS82" i="14"/>
  <c r="AS81" i="14"/>
  <c r="X183" i="17"/>
  <c r="P58" i="19"/>
  <c r="AI183" i="17"/>
  <c r="P53" i="19" s="1"/>
  <c r="P75" i="19" s="1"/>
  <c r="AW75" i="19" s="1"/>
  <c r="I84" i="19"/>
  <c r="P52" i="19"/>
  <c r="P49" i="19"/>
  <c r="P48" i="19"/>
  <c r="P38" i="19"/>
  <c r="P33" i="19"/>
  <c r="P32" i="19"/>
  <c r="P24" i="19"/>
  <c r="P16" i="19"/>
  <c r="P13" i="19"/>
  <c r="P5" i="19"/>
  <c r="I83" i="19" s="1"/>
  <c r="I86" i="19" s="1"/>
  <c r="M52" i="19"/>
  <c r="M50" i="19"/>
  <c r="M49" i="19"/>
  <c r="M48" i="19"/>
  <c r="M45" i="19"/>
  <c r="M40" i="19"/>
  <c r="M39" i="19"/>
  <c r="M38" i="19"/>
  <c r="M33" i="19"/>
  <c r="M32" i="19"/>
  <c r="M29" i="19"/>
  <c r="M27" i="19"/>
  <c r="M24" i="19"/>
  <c r="M21" i="19"/>
  <c r="M16" i="19"/>
  <c r="M13" i="19"/>
  <c r="M5" i="19"/>
  <c r="F83" i="19" s="1"/>
  <c r="F86" i="19" s="1"/>
  <c r="Z91" i="14"/>
  <c r="M73" i="19"/>
  <c r="AY73" i="19"/>
  <c r="AZ71" i="19"/>
  <c r="AZ73" i="19" s="1"/>
  <c r="S74" i="19"/>
  <c r="V74" i="19"/>
  <c r="W73" i="19"/>
  <c r="Y74" i="19"/>
  <c r="Z73" i="19"/>
  <c r="AB74" i="19"/>
  <c r="AC73" i="19"/>
  <c r="AE74" i="19"/>
  <c r="AF73" i="19"/>
  <c r="AH74" i="19"/>
  <c r="AI73" i="19"/>
  <c r="AK74" i="19"/>
  <c r="AL73" i="19"/>
  <c r="AN74" i="19"/>
  <c r="AO73" i="19"/>
  <c r="AQ83" i="19"/>
  <c r="AQ85" i="19" s="1"/>
  <c r="AQ74" i="19"/>
  <c r="AR73" i="19"/>
  <c r="AT74" i="19"/>
  <c r="AU73" i="19"/>
  <c r="P73" i="19" l="1"/>
  <c r="T73" i="19" s="1"/>
  <c r="M74" i="19"/>
  <c r="AW74" i="19" s="1"/>
  <c r="N73" i="19"/>
  <c r="P74" i="19" l="1"/>
  <c r="Q7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5F216BD8-A3ED-409A-955C-65E2C338C0B3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DE ESTADO DE JUSTICA E S R DOS GUAJAJARAS 1353 SANTO AGOSTINHO BELO HORIZONTE</t>
        </r>
      </text>
    </comment>
    <comment ref="C6" authorId="0" shapeId="0" xr:uid="{B6403EA1-D957-42FB-BBAA-885EBB58C3AC}">
      <text>
        <r>
          <rPr>
            <sz val="11"/>
            <color theme="1"/>
            <rFont val="Aptos Narrow"/>
            <family val="2"/>
            <scheme val="minor"/>
          </rPr>
          <t>Sandra Cristina Reno (SEJUSP):
SEJUSP AV LONDRINA 1175 VENEZA IPATINGA</t>
        </r>
      </text>
    </comment>
    <comment ref="C7" authorId="0" shapeId="0" xr:uid="{4A6B77DA-C495-4304-885B-2181C871159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CORONEL TEODORO GOMES DE ARAUJO 1195 LG A GROGOTO BARBACENA</t>
        </r>
      </text>
    </comment>
    <comment ref="C8" authorId="0" shapeId="0" xr:uid="{B602239A-38AB-4FF0-8E5C-015DCF56BE28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JUSTICA E SEG PUBLICA R SILVESTRE FERRAZ 362 CENTRO POUSO ALEGRE</t>
        </r>
      </text>
    </comment>
    <comment ref="C9" authorId="0" shapeId="0" xr:uid="{35A5105C-6C9E-4865-A67D-943132131B7D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JUSTICA E SEG PUBLICA R ALAIDE CHIARINI S/N CENTRO POUSO ALEGRE</t>
        </r>
      </text>
    </comment>
    <comment ref="C10" authorId="0" shapeId="0" xr:uid="{B3F55172-78EE-4797-BC9E-0FB5AFA2A6A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 SEG PUBLICA AV UM 301 PARQUE NORTE VESPASIANO</t>
        </r>
      </text>
    </comment>
    <comment ref="C11" authorId="0" shapeId="0" xr:uid="{8087DB74-5149-4BF5-AF67-61A702BCF61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SEJDH R JOAO ALFREDO 3800 LG A SANTA TEREZA BELO HORIZONTE</t>
        </r>
      </text>
    </comment>
    <comment ref="C12" authorId="0" shapeId="0" xr:uid="{98949BF0-D899-4A35-B401-46A115645DF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SEJDH R JOAO ALFREDO 3800 SANTA TEREZA BELO HORIZONTE</t>
        </r>
      </text>
    </comment>
    <comment ref="C13" authorId="0" shapeId="0" xr:uid="{EB66D52B-FDC5-4602-964D-1D7B85AA6F7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ALEM PARAIBA 31 LAGOINHA BELO HORIZONTE</t>
        </r>
      </text>
    </comment>
    <comment ref="C14" authorId="0" shapeId="0" xr:uid="{A3742879-80C6-41E7-B0CB-DB1C0431A48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CERESP AV ALCIDES FERNANDES DE SOUZA S/N PINGO DAGUA BETIM</t>
        </r>
      </text>
    </comment>
    <comment ref="C15" authorId="0" shapeId="0" xr:uid="{07F0E36A-3FA0-476E-8D1D-40853B20BE0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CERESP PR LOUIS ENSCH S/N CIDADE INDUSTRIAL CONTAGEM</t>
        </r>
      </text>
    </comment>
    <comment ref="C16" authorId="0" shapeId="0" xr:uid="{68EE0893-26D2-46AD-B050-1A2C0B4D9DFA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E DEFESA SOCIAL          R CANDIDO DE SOUZA 520 NOVA GAMELEIRA                      BELO HORIZONTE</t>
        </r>
      </text>
    </comment>
    <comment ref="C17" authorId="0" shapeId="0" xr:uid="{ABA9DB86-A88C-456E-B4FF-F2DDEBCF266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FELIPE DOS SANTOS FREIRE 1 CIDADE NOVA SANTANA DO PARAISO</t>
        </r>
      </text>
    </comment>
    <comment ref="C18" authorId="0" shapeId="0" xr:uid="{A6795CA2-85AC-4301-B8B4-9CAA9A6FE35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DOS ANDRADAS 4071 SANTA TEREZA BELO HORIZONTE</t>
        </r>
      </text>
    </comment>
    <comment ref="C19" authorId="0" shapeId="0" xr:uid="{F4EFF38D-C7B8-42B5-AC2F-9E88415630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JOAO ALFREDO 3792 HORTO BELO HORIZONTE</t>
        </r>
      </text>
    </comment>
    <comment ref="C20" authorId="0" shapeId="0" xr:uid="{C1900867-0FB5-430F-BA1C-82D1C5C9C9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VP UM S/N NOVA CONTAGEM CONTAGEM</t>
        </r>
      </text>
    </comment>
    <comment ref="C21" authorId="0" shapeId="0" xr:uid="{4634F80C-7444-4516-B5DD-4638B4A37CE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CADEIA AV SANTA CRUZ S/N SANTA CRUZ CARMO DO PARANAIBA</t>
        </r>
      </text>
    </comment>
    <comment ref="C22" authorId="0" shapeId="0" xr:uid="{7B006452-972E-4C9C-A338-1B52346CB7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SANTA CRUZ 2150 SANTA CRUZ CARMO DO PARANAIBA</t>
        </r>
      </text>
    </comment>
    <comment ref="C23" authorId="0" shapeId="0" xr:uid="{C7F0200E-CCDD-4670-B387-59A8922113B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SANTA CRUZ 2150 SANTA CRUZ CARMO DO PARANAIBA</t>
        </r>
      </text>
    </comment>
    <comment ref="C24" authorId="0" shapeId="0" xr:uid="{AAC3BB2A-A60E-4605-815E-709928A34E8A}">
      <text>
        <r>
          <rPr>
            <sz val="11"/>
            <color theme="1"/>
            <rFont val="Aptos Narrow"/>
            <family val="2"/>
            <scheme val="minor"/>
          </rPr>
          <t>Sandra Cristina Reno (SEJUSP):
Nome e endereço na fatura detalhada:
SECRETARIA E DEFESA SOCIAL DUTRA    
RD LMG 806 KM 5 S/N FAZENDA DAS LAGES                      RIBEIRAO DAS NEVES</t>
        </r>
      </text>
    </comment>
    <comment ref="C25" authorId="0" shapeId="0" xr:uid="{5276C8C0-BCFD-4BAB-BB54-68CF5AD64880}">
      <text>
        <r>
          <rPr>
            <sz val="11"/>
            <color theme="1"/>
            <rFont val="Aptos Narrow"/>
            <family val="2"/>
            <scheme val="minor"/>
          </rPr>
          <t>Sandra Cristina Reno (SEJUSP):
SEJUSP MG R GUSTAVO LEONARDO 1095 SAO JACINTO TEOFILO OTONI</t>
        </r>
      </text>
    </comment>
    <comment ref="C26" authorId="0" shapeId="0" xr:uid="{9CCA19E7-F63F-4D35-BCFC-8BB6D1094F4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 R PENITENCIARIA 1 FRUTAL II FRUTAL</t>
        </r>
      </text>
    </comment>
    <comment ref="C27" authorId="0" shapeId="0" xr:uid="{C75CE922-42D1-4FF0-9B4B-5615C3E132C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OLIVIA RODRIGUES VIEIRA 1 CENTRO IPABA</t>
        </r>
      </text>
    </comment>
    <comment ref="C28" authorId="0" shapeId="0" xr:uid="{33706682-DC56-4AB9-8BCD-12AB9ED992E5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DEFESA SOCIAL RD RODOVIA LMG 862 KM 30 BLOCO 01 ZONA RURAL TRES CORACOES</t>
        </r>
      </text>
    </comment>
    <comment ref="C29" authorId="0" shapeId="0" xr:uid="{49482DA7-274A-4078-AAA7-38D37D95389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 SOCIAL RD RODOVIA LMG 862 KM 30 ZONA RURAL TRES CORACOES</t>
        </r>
      </text>
    </comment>
    <comment ref="C30" authorId="0" shapeId="0" xr:uid="{83B464C5-F87C-46F3-B9AE-F9383DFA0D9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MUS PJMA R ESPLANADA 14 VILA ESPLANADA RIBEIRAO DAS NEVES</t>
        </r>
      </text>
    </comment>
    <comment ref="C31" authorId="0" shapeId="0" xr:uid="{D17734FF-2DD2-4258-82CC-C79FE4AF808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CEAPA R ESPLANADA 16 VILA ESPLANADA RIBEIRAO DAS NEVES</t>
        </r>
      </text>
    </comment>
    <comment ref="C32" authorId="0" shapeId="0" xr:uid="{1F089EB1-3DFE-4A9F-B99C-EC5DE8DDD0E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17 VILA ESPLANADA RIBEIRAO DAS NEVES</t>
        </r>
      </text>
    </comment>
    <comment ref="C33" authorId="0" shapeId="0" xr:uid="{C1099856-1AC2-4350-937F-49BA52AB8D4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DIRETOR R DOUTOR FRANCISCO ADRIANO DE PAULA 30 VILA ESPLANADA RIBEIRAO DAS NEVES</t>
        </r>
      </text>
    </comment>
    <comment ref="C34" authorId="0" shapeId="0" xr:uid="{88BFF208-66BD-4EB4-BCCB-66FF9F9C14E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DOUTOR FRANCISCO ADRIANO DE PAULA 29 VILA ESPLANADA RIBEIRAO DAS NEVES</t>
        </r>
      </text>
    </comment>
    <comment ref="C35" authorId="0" shapeId="0" xr:uid="{EFD0D046-4124-4855-99EF-5EA72CBB256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CESEC R ESPLANADA 22 CA A VILA ESPLANADA RIBEIRAO DAS NEVES</t>
        </r>
      </text>
    </comment>
    <comment ref="C36" authorId="0" shapeId="0" xr:uid="{72567D18-6148-4562-B132-1389B5AEC9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15 VILA ESPLANADA RIBEIRAO DAS NEVES</t>
        </r>
      </text>
    </comment>
    <comment ref="C37" authorId="0" shapeId="0" xr:uid="{B972382E-9D08-4F15-A776-100B442EC29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76 VILA ESPLANADA RIBEIRAO DAS NEVES</t>
        </r>
      </text>
    </comment>
    <comment ref="C38" authorId="0" shapeId="0" xr:uid="{BF74F7B1-B35E-4846-97F6-88536B7ED1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ADM PJMA R ESPLANADA 19 VILA ESPLANADA RIBEIRAO DAS NEVES</t>
        </r>
      </text>
    </comment>
    <comment ref="C39" authorId="0" shapeId="0" xr:uid="{91BC8E1B-9401-4D85-8841-8D7B1E03BC6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ALKIMIM R ESPLANADA UM S/N VILA ESPLANADA RIBEIRAO DAS NEVES</t>
        </r>
      </text>
    </comment>
    <comment ref="C40" authorId="0" shapeId="0" xr:uid="{14BF1CA5-F9A9-477E-B9CB-20715F65B78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GAB PJMA R ESPLANADA 10 VILA ESPLANADA RIBEIRAO DAS NEVES</t>
        </r>
      </text>
    </comment>
    <comment ref="C41" authorId="0" shapeId="0" xr:uid="{1E1832E2-29B2-419E-B039-B85D62B99D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C S/N PRIMAVERA SAO JOAQUIM DE BICAS</t>
        </r>
      </text>
    </comment>
    <comment ref="C42" authorId="0" shapeId="0" xr:uid="{5E7135BD-B5CF-4D4C-B6DB-6A6384D6D34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ENGENHEIRO ROLANDO TRINDADE BASSI 13 LG DELEGACIA NOSSA MONTES CLAROS</t>
        </r>
      </text>
    </comment>
    <comment ref="C43" authorId="0" shapeId="0" xr:uid="{6445ACF0-41E5-4F10-A56D-5BB5273199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DUTRA RD LMG 806 KM 5 S/N FAZENDA DAS LAGES RIBEIRAO DAS NEVES</t>
        </r>
      </text>
    </comment>
    <comment ref="C44" authorId="0" shapeId="0" xr:uid="{EF784900-F400-4217-A827-2F66D365F7C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TREZE DE MAIO 1118 CA _C SANTO ANTONIO ABAETE</t>
        </r>
      </text>
    </comment>
    <comment ref="C45" authorId="0" shapeId="0" xr:uid="{C93BAF66-F77F-4213-AB96-A9F5CC627C8F}">
      <text>
        <r>
          <rPr>
            <sz val="11"/>
            <color theme="1"/>
            <rFont val="Aptos Narrow"/>
            <family val="2"/>
            <scheme val="minor"/>
          </rPr>
          <t>Sandra Cristina Reno (SEJUSP):
SEC DE JUSTICA E SEG PUBLICA SEJUSP R TREZE DE MAIO 1118 SANTO ANTONIO ABAETE</t>
        </r>
      </text>
    </comment>
    <comment ref="C46" authorId="0" shapeId="0" xr:uid="{1FD5A18C-699B-4EC3-A4E1-485B7FDF259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TREZE DE MAIO 1118 LG A SANTO ANTONIO ABAETE</t>
        </r>
      </text>
    </comment>
    <comment ref="C47" authorId="0" shapeId="0" xr:uid="{946D08D6-9F20-45CC-98BF-A9DDE1DF91F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PEDRO GONCALVES DE MAGALHAES S/N CENTRO ACUCENA</t>
        </r>
      </text>
    </comment>
    <comment ref="C48" authorId="0" shapeId="0" xr:uid="{60D19AD7-3124-4C39-8763-3F82FF34CEF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CADEIA R DEODORO DE ALMEIDA PINTO 166 CENTRO AGUAS FORMOSAS</t>
        </r>
      </text>
    </comment>
    <comment ref="C49" authorId="0" shapeId="0" xr:uid="{5B869955-3EF6-41FF-865A-C5248EEB8E0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BARAO DE GUARAREMA 112 SAO JOSE ALEM PARAIBA</t>
        </r>
      </text>
    </comment>
    <comment ref="C50" authorId="0" shapeId="0" xr:uid="{618B0A60-D4BF-4C1C-88B2-E13BF70B2DD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ET ESTRADA ALFENAS FAMA S/N CHACARA SAO JUDAS TADEU ALFENAS</t>
        </r>
      </text>
    </comment>
    <comment ref="C51" authorId="0" shapeId="0" xr:uid="{0C914ABC-73AF-4CCB-B110-2D232F8B870F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DE JUST E SEG PUBLICA ET ESTRADA ALFENAS FAMA S/N KM 03 CHACARA SAO JUDAS TADEU ALFENAS</t>
        </r>
      </text>
    </comment>
    <comment ref="C52" authorId="0" shapeId="0" xr:uid="{CB7576AF-2CBD-4533-9BE9-EA250F64CFF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IMACULADA CONCEICAO 488 JOAO FAZENDEIRO ALMENARA</t>
        </r>
      </text>
    </comment>
    <comment ref="C53" authorId="0" shapeId="0" xr:uid="{0459BDD9-21DF-47F4-9C1F-69343405D9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IMACULADA CONCEICAO 493 JOAO FAZENDEIRO ALMENARA</t>
        </r>
      </text>
    </comment>
    <comment ref="C54" authorId="0" shapeId="0" xr:uid="{0960EEE4-86D6-4615-9D1C-9E9CF8CBFCF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BIAS FORTES 23 CENTRO ALMENARA</t>
        </r>
      </text>
    </comment>
    <comment ref="C55" authorId="0" shapeId="0" xr:uid="{C3AB1AF8-D486-4E12-A6A0-CAC26C4C46A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T VEREADOR ANTONIO DE LIMA VALIN S/N RODOVIA ANDRADAS</t>
        </r>
      </text>
    </comment>
    <comment ref="C56" authorId="0" shapeId="0" xr:uid="{D28CCBA0-1E67-401C-8A6A-53E2EA50B69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JOAQUIM EMERENCIANO 155 CENTRO ANDRELANDIA</t>
        </r>
      </text>
    </comment>
    <comment ref="C57" authorId="0" shapeId="0" xr:uid="{438E6E84-4483-43DD-9CB8-C38F3B7D52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 DA CADEIA S/N ALTO SANTUARIO ARACUAI</t>
        </r>
      </text>
    </comment>
    <comment ref="C58" authorId="0" shapeId="0" xr:uid="{43837DBD-29B9-4328-B63A-5623834F72A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LUIZ GONZAGA PEREIRA 931 RENASCENCA ARACUAI</t>
        </r>
      </text>
    </comment>
    <comment ref="C59" authorId="0" shapeId="0" xr:uid="{2F86938D-7A57-4C35-BF9F-78BF460E362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OROZINO TEIXEI ARAXA</t>
        </r>
      </text>
    </comment>
    <comment ref="C60" authorId="0" shapeId="0" xr:uid="{58F1A393-77EC-4F8A-95B4-01070C1181E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LG B OROZINO T ARAXA</t>
        </r>
      </text>
    </comment>
    <comment ref="C61" authorId="0" shapeId="0" xr:uid="{64294518-2A31-4736-AA44-856BE451810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TENENTE CORONEL HERMENEGILDO MAGALHAES 55 LG A OROZINO T ARAXA</t>
        </r>
      </text>
    </comment>
    <comment ref="C62" authorId="0" shapeId="0" xr:uid="{8BF0198A-C9A0-4E89-8F1E-C4ACF850F58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BOA VISTA 966 LG A LAVA PES BAMBUI</t>
        </r>
      </text>
    </comment>
    <comment ref="C63" authorId="0" shapeId="0" xr:uid="{CD6389CD-0AE0-4FF6-9A99-A4B4E40F8B1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NEIDE FERREIRA DE LACERDA S/N GARCIA II BARAO DE COCAIS</t>
        </r>
      </text>
    </comment>
    <comment ref="C64" authorId="0" shapeId="0" xr:uid="{67A5F271-DE29-4775-9D8E-C3DB47195D9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RUA ALAMEDA SANTA B 15 GILSON LAMHA BICAS</t>
        </r>
      </text>
    </comment>
    <comment ref="C65" authorId="0" shapeId="0" xr:uid="{DEDB6279-F2C3-4A5A-BADE-35CA6802268E}">
      <text>
        <r>
          <rPr>
            <sz val="11"/>
            <color theme="1"/>
            <rFont val="Aptos Narrow"/>
            <family val="2"/>
            <scheme val="minor"/>
          </rPr>
          <t>Sandra Cristina Reno (SEJUSP):
SEC DE ESTADO DE JUSTICA E SEGURANC R ALZIRA DE OLIVEIRA SANTOS AMARAL 33 JARDIM DOS ANJOS BOM DESPACHO</t>
        </r>
      </text>
    </comment>
    <comment ref="C66" authorId="0" shapeId="0" xr:uid="{50319633-B2CD-44BD-8664-3C1F2C932CD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INALDA XAVIER LOPES 900 MONSENHOR FARIA DE CASTRO BOTELHOS</t>
        </r>
      </text>
    </comment>
    <comment ref="C67" authorId="0" shapeId="0" xr:uid="{9CC7437D-66CF-4FBA-ACAE-9847FB1D3B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INALDA XAVIER LOPES 920 MONSENHOR FARIA DE CASTRO BOTELHOS</t>
        </r>
      </text>
    </comment>
    <comment ref="C68" authorId="0" shapeId="0" xr:uid="{007BE199-B257-42FF-B7DA-7D20F8DD80B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ITAGUA 3400 GRAJAU BRUMADINHO</t>
        </r>
      </text>
    </comment>
    <comment ref="C69" authorId="0" shapeId="0" xr:uid="{228D2EE1-70A2-41A4-A650-44324D99BD4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PEDRO VALADARES VERSIANE 767 ISRAEL PINHEIRO BURITIS</t>
        </r>
      </text>
    </comment>
    <comment ref="C70" authorId="0" shapeId="0" xr:uid="{2D3C508F-C920-4013-8DCF-4C5D329FAAF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ADMINISTR PRISIONAL AV NOSSA SENHORA DA PENA 765 ISRAEL PINHEIRO BURITIS</t>
        </r>
      </text>
    </comment>
    <comment ref="C71" authorId="0" shapeId="0" xr:uid="{D8928910-D090-466A-AD3F-BFD9F0D7774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MOISES PONTE DE OLIVEIRA 122 CENTRO CAMPESTRE</t>
        </r>
      </text>
    </comment>
    <comment ref="C72" authorId="0" shapeId="0" xr:uid="{5600A3A4-6C4A-4696-AF52-D84AA2609A1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DOIS 470 ANTONIO JOVEM VASCONCELOS CANAPOLIS</t>
        </r>
      </text>
    </comment>
    <comment ref="C73" authorId="0" shapeId="0" xr:uid="{FAFF6F8B-E3EC-498F-BB9D-A0FA45EEF31B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ADMINIST PRISIONAL R JOSE PRISCO 100 PLANALTO CAPELINHA</t>
        </r>
      </text>
    </comment>
    <comment ref="C74" authorId="0" shapeId="0" xr:uid="{9517D155-F7C4-4F7B-BC9A-733D5749BB7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JOSE PRISCO 100 BL B PLANALTO CAPELINHA</t>
        </r>
      </text>
    </comment>
    <comment ref="C75" authorId="0" shapeId="0" xr:uid="{83C015AA-14DF-48B9-884A-E25C58E0A10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AL GERMANO NOGUEIRA 405 SANTA LUZIA CARANDAI</t>
        </r>
      </text>
    </comment>
    <comment ref="C76" authorId="0" shapeId="0" xr:uid="{D3E03555-DF99-48F2-B5FE-E904A031C7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VALMIR ARAUJO DE SOUZA 80 CENTRO CARLOS CHAGAS</t>
        </r>
      </text>
    </comment>
    <comment ref="C77" authorId="0" shapeId="0" xr:uid="{A72657E9-DD6B-426A-B774-DFA043456FC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PROFESSORA MARIA PERES 14 JARDIM AMERICA CARMO DO RIO CLARO</t>
        </r>
      </text>
    </comment>
    <comment ref="C78" authorId="0" shapeId="0" xr:uid="{43870FA4-5F60-4BB8-993C-D7FACA41601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FRANCISCA SOUZA PEIXOTO S/N CENTENARIO CATAGUASES</t>
        </r>
      </text>
    </comment>
    <comment ref="C79" authorId="0" shapeId="0" xr:uid="{C511E463-FC0D-47F8-8B7D-363463874E3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 IRMA SUZANA 29 PRAIA CONGONHAS</t>
        </r>
      </text>
    </comment>
    <comment ref="C80" authorId="0" shapeId="0" xr:uid="{CB6D0B10-B676-4952-AD70-1AE31FA2A3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RODRIGUES MAIA 515 JARDIM AMERICA CONSELHEIRO LAFAIETE</t>
        </r>
      </text>
    </comment>
    <comment ref="C81" authorId="0" shapeId="0" xr:uid="{2FDAEE12-D34C-422E-9403-7D9A130337E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ADM PRISIONAL SEAP R ANGELICA MAGALHAES 119 CENTRO CORINTO</t>
        </r>
      </text>
    </comment>
    <comment ref="C82" authorId="0" shapeId="0" xr:uid="{E719D13B-0C25-4BDF-BD5D-A7A21C0431E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EGIDIO MACHADO 866 CENTRO COROMANDEL</t>
        </r>
      </text>
    </comment>
    <comment ref="C83" authorId="0" shapeId="0" xr:uid="{9E156374-73C9-4652-89AD-093F4AA8267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DOMINGOS LACERDA 662 CENTRO COROMANDEL</t>
        </r>
      </text>
    </comment>
    <comment ref="C84" authorId="0" shapeId="0" xr:uid="{85D89926-6389-45AC-A20A-6020EA0365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EGIDIO MACHADO 878 CENTRO COROMANDEL</t>
        </r>
      </text>
    </comment>
    <comment ref="C85" authorId="0" shapeId="0" xr:uid="{B6EDD530-DC7E-4358-BA24-B8C9A02C7F1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SUAPI R TRES GROTAS 319 CA A TODOS OS SANTOS CORONEL FABRICIANO</t>
        </r>
      </text>
    </comment>
    <comment ref="C86" authorId="0" shapeId="0" xr:uid="{C1FADF6E-4FD7-49CE-B146-1D557C6BDA3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BIAS FORTES 3450 VILA SAO JOSE CURVELO</t>
        </r>
      </text>
    </comment>
    <comment ref="C87" authorId="0" shapeId="0" xr:uid="{10F36DAF-43E3-443B-A57F-55F3DB87224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RAMIRO ROQUE S/N CIDADE NOVA DIAMANTINA</t>
        </r>
      </text>
    </comment>
    <comment ref="C88" authorId="0" shapeId="0" xr:uid="{87EC0F87-53A2-4FB5-8826-388390086638}">
      <text>
        <r>
          <rPr>
            <sz val="11"/>
            <color theme="1"/>
            <rFont val="Aptos Narrow"/>
            <family val="2"/>
            <scheme val="minor"/>
          </rPr>
          <t>Sandra Cristina Reno (SEJUSP):
ECRETARIA E ADMINIST PRISIONAL R MARINHO CARLOS DE SOUZA 435 CENTRO DIVINO</t>
        </r>
      </text>
    </comment>
    <comment ref="C89" authorId="0" shapeId="0" xr:uid="{2179CAA4-F1C7-477D-ADB1-8AD156D3DE2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R PAQUETA 160 FLORAMAR DIVINOPOLIS</t>
        </r>
      </text>
    </comment>
    <comment ref="C90" authorId="0" shapeId="0" xr:uid="{0C4CF519-351B-4CAA-8ECD-077F100447A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AV TINHARE 150 FLORAMAR DIVINOPOLIS</t>
        </r>
      </text>
    </comment>
    <comment ref="C91" authorId="0" shapeId="0" xr:uid="{D9997C4A-BA11-4D7E-ACEB-2B4BEB38C07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FLORAMAR R CONDE DE KELIDONIA 180 FLORAMAR DIVINOPOLIS</t>
        </r>
      </text>
    </comment>
    <comment ref="C92" authorId="0" shapeId="0" xr:uid="{C92105DA-E0C6-42FA-A245-53B775C6F861}">
      <text>
        <r>
          <rPr>
            <sz val="11"/>
            <color theme="1"/>
            <rFont val="Aptos Narrow"/>
            <family val="2"/>
            <scheme val="minor"/>
          </rPr>
          <t>Sandra Cristina Reno (SEJUSP):
SEC DE JUSTICA E SEG PUBLICA SEJUSP R SANTO ANTONIO 475 CENTRO DIVINOPOLIS</t>
        </r>
      </text>
    </comment>
    <comment ref="C93" authorId="0" shapeId="0" xr:uid="{5D95C558-28A1-4B7A-BD6F-FE6C3ADCC46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DEFESA SOCIAL R OSCAR DA CUNHA E CASTRO 369 SAO PEDRO ERVALIA</t>
        </r>
      </text>
    </comment>
    <comment ref="C94" authorId="0" shapeId="0" xr:uid="{5E362F76-6F4A-436E-8F2B-B055678BF04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DEFESA SOCIAL R OSCAR DA CUNHA E CASTRO 369 BL 02 SAO PEDRO ERVALIA</t>
        </r>
      </text>
    </comment>
    <comment ref="C95" authorId="0" shapeId="0" xr:uid="{5ED32EEB-9E0D-4EF3-828F-D6F8EBBFC5C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CORONEL MIRANDA 710 CATETE EUGENOPOLIS</t>
        </r>
      </text>
    </comment>
    <comment ref="C96" authorId="0" shapeId="0" xr:uid="{5C9E9160-5170-4A2C-B390-E9ECBDEFF70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DAS CIRIEMAS 280 JARDIM BELA VISTA EXTREMA</t>
        </r>
      </text>
    </comment>
    <comment ref="C97" authorId="0" shapeId="0" xr:uid="{CE412821-5226-4D87-ACEE-05A32EAB675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ESCRIT R CASTRO ALVES 233 XV DE NOVEMBRO FRUTAL</t>
        </r>
      </text>
    </comment>
    <comment ref="C98" authorId="0" shapeId="0" xr:uid="{E37C2B42-F030-419C-81C7-37E7843FED6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CARDEAL CARMELO 488 LG A CENTRO GUARANESIA</t>
        </r>
      </text>
    </comment>
    <comment ref="C99" authorId="0" shapeId="0" xr:uid="{F9BE4D19-68C7-4E7C-8079-10B83545DEE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RD BR 491 S/N KM 74,5 ZONA RURAL GUARANESIA</t>
        </r>
      </text>
    </comment>
    <comment ref="C100" authorId="0" shapeId="0" xr:uid="{30454F26-A624-4640-8510-5E98C52BD51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LUIZ COSTA MONTEIRO 89 CENTRO GUAXUPE</t>
        </r>
      </text>
    </comment>
    <comment ref="C101" authorId="0" shapeId="0" xr:uid="{202DF4AE-62B0-47DC-B4A1-680C7294A7E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VEREADOR JOSE VIANA SILVA S/N CENTRO INHAPIM</t>
        </r>
      </text>
    </comment>
    <comment ref="C102" authorId="0" shapeId="0" xr:uid="{EB11A289-6F97-4CA5-8E4A-6CCF608ECA4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VEREADOR JOSE VIANA SILVA S/N CENTRO INHAPIM</t>
        </r>
      </text>
    </comment>
    <comment ref="C103" authorId="0" shapeId="0" xr:uid="{623CD152-8535-440B-AEE0-EC4E3A83A6C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CORONEL FULGENCIO 295 CA FS NOSSA SENHORA DE FATIMA ITACARAMBI</t>
        </r>
      </text>
    </comment>
    <comment ref="C104" authorId="0" shapeId="0" xr:uid="{6EF3BE7B-0732-499B-A549-67CA4B82A42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FRUTAL 249 NOSSA SENHORA DE FATIMA ITACARAMBI</t>
        </r>
      </text>
    </comment>
    <comment ref="C105" authorId="0" shapeId="0" xr:uid="{EC0D303C-03E8-48F4-8BCE-A050129FB071}">
      <text>
        <r>
          <rPr>
            <sz val="11"/>
            <color theme="1"/>
            <rFont val="Aptos Narrow"/>
            <family val="2"/>
            <scheme val="minor"/>
          </rPr>
          <t>Sandra Cristina Reno (SEJUSP):
SECRET DE ADMINISTRACAO PRISIONAL AV FRUTAL 490 NOSSA SENHORA DE FATIMA ITACARAMBI</t>
        </r>
      </text>
    </comment>
    <comment ref="C106" authorId="0" shapeId="0" xr:uid="{F0171626-390C-486A-9DCC-8E83EC84C9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COMISSARIO BENEDITO VILAS BOAS 1700 IPE ITAJUBA</t>
        </r>
      </text>
    </comment>
    <comment ref="C107" authorId="0" shapeId="0" xr:uid="{8A0994C2-71FF-4A59-A06B-4D282023AB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 PRISIONAL PRESIDIO R SANTA LUZIA 168 CENTRO ITAMARANDIBA</t>
        </r>
      </text>
    </comment>
    <comment ref="C108" authorId="0" shapeId="0" xr:uid="{98AB7076-F5CD-4719-BF5F-14C19A6697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SENADOR LUCIO GUTTENCOURT 660 ALTA VISTA ITAOBIM</t>
        </r>
      </text>
    </comment>
    <comment ref="C109" authorId="0" shapeId="0" xr:uid="{1FF1BDA9-DCF7-456B-87BD-6DEE344066B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DEZESSETE 755 CENTRO ITAPAGIPE</t>
        </r>
      </text>
    </comment>
    <comment ref="C110" authorId="0" shapeId="0" xr:uid="{1254FB7A-4D04-4F5F-A9F1-CCAC180A0EC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SANTA LUZIA 288 CENTRO JABOTICATUBAS</t>
        </r>
      </text>
    </comment>
    <comment ref="C111" authorId="0" shapeId="0" xr:uid="{F7D44192-386B-4C1B-9CCB-C919E6F8CE1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JOSE LUCIO 22 CENTRO JACINTO</t>
        </r>
      </text>
    </comment>
    <comment ref="C112" authorId="0" shapeId="0" xr:uid="{80A8D7DE-A39F-4AFD-92F3-98FE267354A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ANTONIO LUIZ DE FRANCA 412 VEREDAS JANAUBA</t>
        </r>
      </text>
    </comment>
    <comment ref="C113" authorId="0" shapeId="0" xr:uid="{B403A81E-2E0C-430C-A195-2127E5C478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ANTONIO LUIZ DE FRANCA 412 LG 1 VEREDAS JANAUBA</t>
        </r>
      </text>
    </comment>
    <comment ref="C114" authorId="0" shapeId="0" xr:uid="{10907E7D-7E68-4066-B9A5-8ABE3075831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MANOEL BANDEIRA 350 VEREDAS JANAUBA</t>
        </r>
      </text>
    </comment>
    <comment ref="C115" authorId="0" shapeId="0" xr:uid="{E4A8698A-2FF6-40D7-8889-DED6F9E1DEA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MANOEL BANDEIRA 350 LG 1 VEREDAS JANAUBA</t>
        </r>
      </text>
    </comment>
    <comment ref="C116" authorId="0" shapeId="0" xr:uid="{EDBC5CEE-F916-46CA-9724-DCFCD411A40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PR DOS PESCADORES S/N VILA PAULA JANUARIA</t>
        </r>
      </text>
    </comment>
    <comment ref="C117" authorId="0" shapeId="0" xr:uid="{A51F0A81-6D98-4F4C-929A-15472DA179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DOS PESCADORES S/N VILA PAULA JANUARIA</t>
        </r>
      </text>
    </comment>
    <comment ref="C118" authorId="0" shapeId="0" xr:uid="{41D1A675-F89F-4D90-ADC7-5413ACB30D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A PRISIONAL R JOAO PINHEIRO 81 CENTRO JEQUITINHONHA</t>
        </r>
      </text>
    </comment>
    <comment ref="C119" authorId="0" shapeId="0" xr:uid="{F33369F6-D559-45CD-BDE1-8BAAF0FAE3F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PINHEIRO 83 CENTRO JEQUITINHONHA</t>
        </r>
      </text>
    </comment>
    <comment ref="C120" authorId="0" shapeId="0" xr:uid="{4C215C8A-A73F-45B9-BF59-061B8520A94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RD MG 181 S/N KM 01 ITAIPU JOAO PINHEIRO</t>
        </r>
      </text>
    </comment>
    <comment ref="C121" authorId="0" shapeId="0" xr:uid="{DEA3F786-4722-4C7F-A21C-AAD50BBF6D3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MINAS GERAIS 140 SAO GERONIMO JUATUBA</t>
        </r>
      </text>
    </comment>
    <comment ref="C122" authorId="0" shapeId="0" xr:uid="{12D8AE78-51F6-4AFA-92B9-FE6BDD3334B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CAICARA 540 BRANT LAGOA SANTA</t>
        </r>
      </text>
    </comment>
    <comment ref="C123" authorId="0" shapeId="0" xr:uid="{E5B45235-0552-4F2D-AA84-397F9E8B631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JARDIM FLORESTA LAVRAS</t>
        </r>
      </text>
    </comment>
    <comment ref="C124" authorId="0" shapeId="0" xr:uid="{0AB50B25-B58B-454B-A3CA-F514C9A22E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CA A JARDIM BELA VISTA LAVRAS</t>
        </r>
      </text>
    </comment>
    <comment ref="C125" authorId="0" shapeId="0" xr:uid="{FFDC430F-2407-4B7D-AD80-BB53AD5ACC6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ERNESTO MATIOLLI 982 BL C PLANALTO LAVRAS</t>
        </r>
      </text>
    </comment>
    <comment ref="C126" authorId="0" shapeId="0" xr:uid="{86373A1F-5373-4D1A-BDC7-53EAE513E36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T RIBEIRO JUNQUEIRA 405 BL A EXPOSICAO LEOPOLDINA</t>
        </r>
      </text>
    </comment>
    <comment ref="C127" authorId="0" shapeId="0" xr:uid="{6992A2CF-D9C2-45E1-B035-21EF0CE6830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VIGARIO PARREIRAS 1007 CENTRO LUZ</t>
        </r>
      </text>
    </comment>
    <comment ref="C128" authorId="0" shapeId="0" xr:uid="{4BB3CE3F-E5D2-4C6D-BADB-B257207518D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MARIA DO ROSARIO ABRANTES 37 SANTA RITA MALACACHETA</t>
        </r>
      </text>
    </comment>
    <comment ref="C129" authorId="0" shapeId="0" xr:uid="{875DBA9C-D032-4993-9E6D-1FA1F6CF4F2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TIRADENTES 650 CENTRO MANGA</t>
        </r>
      </text>
    </comment>
    <comment ref="C130" authorId="0" shapeId="0" xr:uid="{60B665C1-9B76-4BA8-8266-2B8EEB593B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BENTO GONCALVES 249 CENTRO MATOZINHOS</t>
        </r>
      </text>
    </comment>
    <comment ref="C131" authorId="0" shapeId="0" xr:uid="{77B881C7-CBF0-4406-BB00-950833C4DA6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DOUTOR ARISTIDES CUNHA 15 CENTRO MONTE SANTO DE MINAS</t>
        </r>
      </text>
    </comment>
    <comment ref="C132" authorId="0" shapeId="0" xr:uid="{5BD1B0BC-CF3D-4835-9878-F3B7AE26E8C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ANTONIO DE FREITAS 19 LG PRESIDIO JARAGUA II MONTES CLAROS</t>
        </r>
      </text>
    </comment>
    <comment ref="C133" authorId="0" shapeId="0" xr:uid="{FFE2239B-5704-47FC-99E9-79CA31A3DF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ANTONIO DE FREITAS 100 JARAGUA II MONTES CLAROS</t>
        </r>
      </text>
    </comment>
    <comment ref="C134" authorId="0" shapeId="0" xr:uid="{3CCD60A7-CB61-4FA6-8AAB-1DBC7494B55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PR CORONEL ARISTIDES S/N CENTRO NOVA LIMA</t>
        </r>
      </text>
    </comment>
    <comment ref="C135" authorId="0" shapeId="0" xr:uid="{CC4F0213-2D04-40ED-9519-5E661C63223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JOSE PEDRO DA SILVA 255 FRANCISCO LUCAS NOVA SERRANA</t>
        </r>
      </text>
    </comment>
    <comment ref="C136" authorId="0" shapeId="0" xr:uid="{FEC46710-44CD-4B7A-80DD-34280C83539E}">
      <text>
        <r>
          <rPr>
            <sz val="11"/>
            <color theme="1"/>
            <rFont val="Aptos Narrow"/>
            <family val="2"/>
            <scheme val="minor"/>
          </rPr>
          <t>Sandra Cristina Reno (SEJUSP):
COLONIA INDUSTRIAL PRESIDIO R JOSE PEDRO DA SILVA 245 FRANCISCO LUCAS NOVA SERRANA</t>
        </r>
      </text>
    </comment>
    <comment ref="C137" authorId="0" shapeId="0" xr:uid="{459622B5-3AEE-475A-B154-63AA0E2DAAB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JACINTO CARVALHO 141 SAO FRANCISCO NOVO CRUZEIRO</t>
        </r>
      </text>
    </comment>
    <comment ref="C138" authorId="0" shapeId="0" xr:uid="{ACA0FCFD-D7C6-4695-9A06-CAFE60F5365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RD PAPA JOAO PAULO II S/N AN 4 - SUAPI SERRA VERDE PARACATU</t>
        </r>
      </text>
    </comment>
    <comment ref="C139" authorId="0" shapeId="0" xr:uid="{4A482E37-1915-4A02-93E7-D07A0C5152B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NOSSA SENHORA DE FATIMA S/N DA BOMBA PECANHA</t>
        </r>
      </text>
    </comment>
    <comment ref="C140" authorId="0" shapeId="0" xr:uid="{29A195B3-F3FC-405E-8F8F-FC4B31A2297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T BRASILINO GONCALVES 27 CENTRO PEDRA AZUL</t>
        </r>
      </text>
    </comment>
    <comment ref="C141" authorId="0" shapeId="0" xr:uid="{37BCAF84-4D9D-4D3B-B895-EF87E32C43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DOUTOR ROCHA 1545 CENTRO PEDRO LEOPOLDO</t>
        </r>
      </text>
    </comment>
    <comment ref="C142" authorId="0" shapeId="0" xr:uid="{0819D75D-71AE-445D-A628-34CFC32D915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LUCIANO BARBOSA 27 CENTRO PERDIZES</t>
        </r>
      </text>
    </comment>
    <comment ref="C143" authorId="0" shapeId="0" xr:uid="{4F4D624B-7123-4BA5-92D7-7CC9A4ABBB0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GOVERNADOR VALADARES 448 CENTRO PORTEIRINHA</t>
        </r>
      </text>
    </comment>
    <comment ref="C144" authorId="0" shapeId="0" xr:uid="{8F8849F3-F3A6-4CC9-BF1B-D7E00A08B6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BENTO DORIA RAMOS 2050 SANTA EDWIGES POUSO ALEGRE</t>
        </r>
      </text>
    </comment>
    <comment ref="C145" authorId="0" shapeId="0" xr:uid="{C49B89B3-FF0F-4C4C-A2CA-EA2A9D79F96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PRESIDENTE ANTONIO CARLOS 1235 CRUZEIRO DO SUL SOCA PRATA</t>
        </r>
      </text>
    </comment>
    <comment ref="C146" authorId="0" shapeId="0" xr:uid="{6EE044BD-863B-4429-B037-4D25724DF31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QUARESMEIRA 84 CA FS TEJUCO RESENDE COSTA</t>
        </r>
      </text>
    </comment>
    <comment ref="C147" authorId="0" shapeId="0" xr:uid="{286C8EA0-D38A-430E-8E2A-56D8F224181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MESSIAS PEREIRA BAHIA 63 PREF GERALDO HOMEM DE FARIA RIO POMBA</t>
        </r>
      </text>
    </comment>
    <comment ref="C148" authorId="0" shapeId="0" xr:uid="{8BCCD5DF-98B2-4F16-AD0C-75051BB61A8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EXPEDICIONARIO ROMEU JERONIMO DANTAS S/N CAIEIRA SABARA</t>
        </r>
      </text>
    </comment>
    <comment ref="C149" authorId="0" shapeId="0" xr:uid="{8510F60A-7301-4D3A-A3B2-35ECF0D2BBF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JOSE AMERICANO MENDES 234 CENTRO SALINAS</t>
        </r>
      </text>
    </comment>
    <comment ref="C150" authorId="0" shapeId="0" xr:uid="{1C7BF46D-01A5-4973-9A5F-B2800740F62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ETELVINA VIANA COUTINHO 275 MARIA ANTONIETA PALMITAL SANTA LUZIA</t>
        </r>
      </text>
    </comment>
    <comment ref="C151" authorId="0" shapeId="0" xr:uid="{A874B723-A2F2-461D-8642-223BDB5067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FLORIANO PEIXOTO 105 CENTRO SANTA LUZIA</t>
        </r>
      </text>
    </comment>
    <comment ref="C152" authorId="0" shapeId="0" xr:uid="{30651AEC-531C-4369-AFA6-A0F01D79D4DF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DEFESA SOCIAL R DAS ROSAS 802 RECANTO DAS MARGARIDAS SANTA RITA DO SAPUCAI</t>
        </r>
      </text>
    </comment>
    <comment ref="C153" authorId="0" shapeId="0" xr:uid="{0685AC1A-2FB6-4499-9966-5C4277F52AF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QUINTINO BOCAIUVA 83 CENTRO SANTA RITA DO SAPUCAI</t>
        </r>
      </text>
    </comment>
    <comment ref="C154" authorId="0" shapeId="0" xr:uid="{DFBECC87-CC32-4DDF-AB48-AA72945B873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GENESIO FRANCO DE MORAIS 1161 CENTRO SANTA VITORIA</t>
        </r>
      </text>
    </comment>
    <comment ref="C155" authorId="0" shapeId="0" xr:uid="{B64E7301-DCE8-4C2E-94E9-90AA09D1806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QUINZE DE FEVEREIRO 1471 SAO SEBASTIAO SANTOS DUMONT</t>
        </r>
      </text>
    </comment>
    <comment ref="C156" authorId="0" shapeId="0" xr:uid="{55EBA35F-7CC4-4738-8775-B8E27D1434C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BRASILIA DE MINAS 703 BANDEIRANTE SAO FRANCISCO</t>
        </r>
      </text>
    </comment>
    <comment ref="C157" authorId="0" shapeId="0" xr:uid="{D2078AEB-4C3E-47D3-9F78-BB4B3678D13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BRASILIA DE MINAS 703 BANDEIRANTE SAO FRANCISCO</t>
        </r>
      </text>
    </comment>
    <comment ref="C158" authorId="0" shapeId="0" xr:uid="{AAD93513-9760-41BA-B4A7-0A3797D2572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JOAO FERREIRA 96 CENTRO SAO JOAO DA PONTE</t>
        </r>
      </text>
    </comment>
    <comment ref="C159" authorId="0" shapeId="0" xr:uid="{7C991E8D-6B5B-4198-A486-C6F49D668685}">
      <text>
        <r>
          <rPr>
            <sz val="11"/>
            <color theme="1"/>
            <rFont val="Aptos Narrow"/>
            <family val="2"/>
            <scheme val="minor"/>
          </rPr>
          <t>Sandra Cristina Reno (SEJUSP):
 SECRETARIA E ADMINIST PRISIONAL R DOM PEDRO II 64 ESTRELA DALVA CAIXA DAGUA SAO JOAO EVANGELISTA</t>
        </r>
      </text>
    </comment>
    <comment ref="C160" authorId="0" shapeId="0" xr:uid="{14F7ADF2-D44B-4C15-B705-C38A401B0F7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C 550 PRIMAVERA SAO JOAQUIM DE BICAS</t>
        </r>
      </text>
    </comment>
    <comment ref="C161" authorId="0" shapeId="0" xr:uid="{861C5821-0E0B-4CA3-A02B-6995BFA3ECD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AV C 550 BL A PRIMAVERA SAO JOAQUIM DE BICAS</t>
        </r>
      </text>
    </comment>
    <comment ref="C162" authorId="0" shapeId="0" xr:uid="{49C4CD6B-53B1-4D17-B0AE-55B4750F925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AV TANCREDO DE ALMEIDA NEVES 366 CENTRO SAO SEBASTIAO DO MARANHAO</t>
        </r>
      </text>
    </comment>
    <comment ref="C163" authorId="0" shapeId="0" xr:uid="{3097DB22-F683-4FA0-8367-D80E014E8BB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SARGENTO LIMA 260 PARQUE SAO JUDAS TADEU SAO SEBASTIAO DO PARAISO</t>
        </r>
      </text>
    </comment>
    <comment ref="C164" authorId="0" shapeId="0" xr:uid="{120A7AF9-DC6C-4B99-98F1-1FDC067F324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SARGENTO LIMA 250 LG A PARQUE SAO JUDAS TADEU SAO SEBASTIAO DO PARAISO</t>
        </r>
      </text>
    </comment>
    <comment ref="C165" authorId="0" shapeId="0" xr:uid="{88537E72-1C2E-49B2-926B-211AE1F9D3E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SARGENTO LIMA 250 PARQUE SAO JUDAS TADEU SAO SEBASTIAO DO PARAISO</t>
        </r>
      </text>
    </comment>
    <comment ref="C166" authorId="0" shapeId="0" xr:uid="{FB452D63-A795-488E-90D2-A9A4CD514B7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PADRE JOVIANO 40 ROSARIO SERRO</t>
        </r>
      </text>
    </comment>
    <comment ref="C167" authorId="0" shapeId="0" xr:uid="{DED477C4-E7C9-46E6-9132-DE25E2F6EFA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 R BOM JARDIM 47 CENTRO TAIOBEIRAS</t>
        </r>
      </text>
    </comment>
    <comment ref="C168" authorId="0" shapeId="0" xr:uid="{4350C968-5512-4B67-B104-615F3457DF7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EDSON GABRIEL DE SOUZA LIMA 521 CENTRO TARUMIRIM</t>
        </r>
      </text>
    </comment>
    <comment ref="C169" authorId="0" shapeId="0" xr:uid="{A4E54324-4333-4F06-A5A3-7072A3B8A39A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LAURO VIEIRA OTONI 20 SAO DIOGO TEOFILO OTONI</t>
        </r>
      </text>
    </comment>
    <comment ref="C170" authorId="0" shapeId="0" xr:uid="{5B212B1D-2470-4FE8-B5B2-B282906E35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NARCISO 25 PRIMAVERA TIMOTEO</t>
        </r>
      </text>
    </comment>
    <comment ref="C171" authorId="0" shapeId="0" xr:uid="{A429E19A-23E9-47EC-9EA1-590BAD0A873C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CURVELO 77 SANTA ROSA TRES MARIAS</t>
        </r>
      </text>
    </comment>
    <comment ref="C172" authorId="0" shapeId="0" xr:uid="{ABB1DBA8-5092-472D-AC29-C2D1A0392B39}">
      <text>
        <r>
          <rPr>
            <sz val="11"/>
            <color theme="1"/>
            <rFont val="Aptos Narrow"/>
            <family val="2"/>
            <scheme val="minor"/>
          </rPr>
          <t>Sandra Cristina Reno (SEJUSP):
SEJUSP PRESIDIO DE TURMALINA R BEM TE VI 140 NOVA TURMALINA TURMALINA</t>
        </r>
      </text>
    </comment>
    <comment ref="C173" authorId="0" shapeId="0" xr:uid="{50CF5181-51E0-4FB4-8429-3C72D828C880}">
      <text>
        <r>
          <rPr>
            <sz val="11"/>
            <color theme="1"/>
            <rFont val="Aptos Narrow"/>
            <family val="2"/>
            <scheme val="minor"/>
          </rPr>
          <t>Sandra Cristina Reno (SEJUSP):
SEC DE E DE JUSTICA PRESIDIO UBA R DO PRESIDIO S/N SANTA ROSA UBA</t>
        </r>
      </text>
    </comment>
    <comment ref="C174" authorId="0" shapeId="0" xr:uid="{4C667E66-AA7E-472A-9958-1DFC9B59CE6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EUGENIO PAIVA FERREIRA 295 PADRE VITOR VARGINHA</t>
        </r>
      </text>
    </comment>
    <comment ref="C175" authorId="0" shapeId="0" xr:uid="{2C980EDB-62F8-4DC8-970E-7FB95CACD5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ADMINIST PRISIONAL R SALVADOR ROBERTO 1400 PROGRESSO VARZEA DA PALMA</t>
        </r>
      </text>
    </comment>
    <comment ref="C176" authorId="0" shapeId="0" xr:uid="{78A20D70-3512-4E34-BF39-AB4FC46773A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SAO PAULO 3100 FAGUNDES VESPASIANO</t>
        </r>
      </text>
    </comment>
    <comment ref="C177" authorId="0" shapeId="0" xr:uid="{9EAD04E7-9F40-4DF5-A2F1-0DD4719F3D0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SAO JOAO BATISTA 133 LG A CENTRO VISCONDE DO RIO BRANCO</t>
        </r>
      </text>
    </comment>
    <comment ref="C178" authorId="0" shapeId="0" xr:uid="{2E471937-A5B0-4C55-A934-85001715FCF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AV SAO JOAO BATISTA 133 LJ B CENTRO VISCONDE DO RIO BRANCO</t>
        </r>
      </text>
    </comment>
    <comment ref="C179" authorId="0" shapeId="0" xr:uid="{82BF510D-847A-4DDC-B24B-6B13A8061FA1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JUSTICA SEG PUBLICA AV SAO JOAO BATISTA 133 CENTRO VISCONDE DO RIO BRANCO</t>
        </r>
      </text>
    </comment>
    <comment ref="C180" authorId="0" shapeId="0" xr:uid="{C2C2F61B-6D2E-412F-A038-380A4EB779A9}">
      <text>
        <r>
          <rPr>
            <sz val="11"/>
            <color theme="1"/>
            <rFont val="Aptos Narrow"/>
            <family val="2"/>
            <scheme val="minor"/>
          </rPr>
          <t>Sandra Cristina Reno (SEJUSP):
SECR DE EST DE JUST SEG PUB SEJUSP RD LMG 806 KM 5 S/N KM 03 FAZENDA DAS LAGES RIBEIRAO DAS NEVES</t>
        </r>
      </text>
    </comment>
    <comment ref="C181" authorId="0" shapeId="0" xr:uid="{4C7F6F73-96CA-47AF-9C8B-FE12875C61F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IJMD RD LMG 806 KM 5 3 KM 3 FAZENDA DAS LAGES RIBEIRAO DAS NEVES</t>
        </r>
      </text>
    </comment>
    <comment ref="C182" authorId="0" shapeId="0" xr:uid="{E97619A4-BBF8-444A-8AAE-E63C750323A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R PROFESSOR ALFREDO BATISTA 207 ALEIXO ARAUJO PRESIDENTE OLEGARIO</t>
        </r>
      </text>
    </comment>
    <comment ref="C185" authorId="0" shapeId="0" xr:uid="{568D1FA5-00DE-4115-97EC-6BB330207EB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 PENAL  R OURO BRANCO 355 DISTRITO INDUSTRIAL II                   PATOS DE MINAS</t>
        </r>
      </text>
    </comment>
    <comment ref="C186" authorId="0" shapeId="0" xr:uid="{141DF290-59A6-4383-9845-8E6B141D5F7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AV VEREADOR DOUTOR JOSEPH BORGES QUEIROZ 1000 RESIDENCIAL  PATOS DE MINAS</t>
        </r>
      </text>
    </comment>
    <comment ref="C189" authorId="0" shapeId="0" xr:uid="{BC40FD47-B9CD-4D41-9694-C407AA176A3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 MEDICO RD PAPA JOAO PAULO II S/N BL ED MINAS SERRA VERDE          RIBEIRAO DAS NEVES</t>
        </r>
      </text>
    </comment>
    <comment ref="C190" authorId="0" shapeId="0" xr:uid="{B3E914AB-7633-4FA8-8591-0B031A9ACA5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CRG      RD PAPA JOAO PAULO II S/N BL ED MINAS SERRA VERDE          VESPASIANO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FC54BD1-4D69-4277-851C-453BF711184B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 DIVA GARCIA 3351 D LINHARES - JUIZ DE FORA
</t>
        </r>
      </text>
    </comment>
    <comment ref="C6" authorId="0" shapeId="0" xr:uid="{D61C9B67-0E6A-4E5F-A981-151D339B7A28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 DIVA GARCIA 3351 D LINHARES - JUIZ DE FORA
</t>
        </r>
      </text>
    </comment>
    <comment ref="C7" authorId="0" shapeId="0" xr:uid="{A1D5D64D-23CE-438A-B347-A8C428E8EFAF}">
      <text>
        <r>
          <rPr>
            <sz val="11"/>
            <color theme="1"/>
            <rFont val="Aptos Narrow"/>
            <family val="2"/>
            <scheme val="minor"/>
          </rPr>
          <t>Sandra Cristina Reno (SEJUSP):
R LEOPOLDO SCHIMITZ 148 CENTRO - JUIZ DE FORA</t>
        </r>
      </text>
    </comment>
    <comment ref="C8" authorId="0" shapeId="0" xr:uid="{8F954AB2-56C7-48F8-9FEA-18ECBACE9F2F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9" authorId="0" shapeId="0" xr:uid="{0EC38FB4-3CC9-4C81-935A-A116AB2EB835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10" authorId="0" shapeId="0" xr:uid="{F0FCD4EB-A11C-4598-B8AE-C179371DDCDF}">
      <text>
        <r>
          <rPr>
            <sz val="11"/>
            <color theme="1"/>
            <rFont val="Aptos Narrow"/>
            <family val="2"/>
            <scheme val="minor"/>
          </rPr>
          <t>Sandra Cristina Reno (SEJUSP):
R DIVA GARCIA 3351 C LINHARES - JUIZ DE FORA</t>
        </r>
      </text>
    </comment>
    <comment ref="C11" authorId="0" shapeId="0" xr:uid="{EEABBA1E-4841-471F-ACA0-651674A644FD}">
      <text>
        <r>
          <rPr>
            <sz val="11"/>
            <color theme="1"/>
            <rFont val="Aptos Narrow"/>
            <family val="2"/>
            <scheme val="minor"/>
          </rPr>
          <t>Sandra Cristina Reno (SEJUSP):
SECRET.EST.DEFESA SOCIAL/SUAPI - PS A-LINHARES 0 LINHARES - JUIZ DE FORA</t>
        </r>
      </text>
    </comment>
    <comment ref="C12" authorId="0" shapeId="0" xr:uid="{54EAC309-B6CE-4794-9BC3-73B0554CCF55}">
      <text>
        <r>
          <rPr>
            <sz val="11"/>
            <color theme="1"/>
            <rFont val="Aptos Narrow"/>
            <family val="2"/>
            <scheme val="minor"/>
          </rPr>
          <t>Sandra Cristina Reno (SEJUSP):
SECRET.EST.DEFESA SOCIAL/SUAPI - PS A-LINHARES 0 LINHARES - JUIZ DE FORA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F5AB293-13DA-4BA1-8DCB-003D626AFFE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
RUA FILADELFO SOUZA PINTO, 141
38613-080, NOVA DIVINEIA UNAI-MG</t>
        </r>
      </text>
    </comment>
    <comment ref="C6" authorId="0" shapeId="0" xr:uid="{5F040BD5-B588-40F3-A0FD-AFFC163EBCD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-SEJUSP
ESTRADA DOS COSTAS 0 - JOAO PAULO II - PARÁ DE MINAS - 35661599</t>
        </r>
      </text>
    </comment>
    <comment ref="C7" authorId="0" shapeId="0" xr:uid="{C16732A5-0EF0-4CBB-94D4-CBAB5CBBE736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DR PENA, 0 - SAO SEBASTIAO - BARBACENA
</t>
        </r>
      </text>
    </comment>
    <comment ref="C8" authorId="0" shapeId="0" xr:uid="{315EFB83-8E89-4F56-8863-910159800634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DO ESTADO DE DEFESA SOCIAL
ESTRADA CORREGO FEIO Ø = PENITENCIARIA ZONA RURAL - PATROCINIO</t>
        </r>
      </text>
    </comment>
    <comment ref="C9" authorId="0" shapeId="0" xr:uid="{C3547D67-D7FC-4143-A7FC-91C9D95924D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AVENIDA DECIO MOREIRA 400 - -PRESIDIO - AMOROSO COSTA - UBERABA</t>
        </r>
      </text>
    </comment>
    <comment ref="C10" authorId="0" shapeId="0" xr:uid="{D72C3881-3668-4BDF-86A9-001BE884B23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AVENIDA DECIO MOREIRA 400 - -PRESIDIO - AMOROSO COSTA - UBERABA</t>
        </r>
      </text>
    </comment>
    <comment ref="C11" authorId="0" shapeId="0" xr:uid="{E4481F7A-AE35-4B9E-A36D-6DDE07CE1840}">
      <text>
        <r>
          <rPr>
            <sz val="11"/>
            <color theme="1"/>
            <rFont val="Aptos Narrow"/>
            <family val="2"/>
            <scheme val="minor"/>
          </rPr>
          <t>Sandra Cristina Reno (SEJUSP):
CENTRO DE RECUPERAÇÃO DO GOVERNO DO ESTADO DE MG
RUA ALTO DO PEQUI, 350 A (PENITENCIARIA) - N.SRA.APARECIDA - FORMIGA</t>
        </r>
      </text>
    </comment>
    <comment ref="C12" authorId="0" shapeId="0" xr:uid="{122E7636-82E8-44D5-9A3B-DF982552E5E7}">
      <text>
        <r>
          <rPr>
            <sz val="11"/>
            <color theme="1"/>
            <rFont val="Aptos Narrow"/>
            <family val="2"/>
            <scheme val="minor"/>
          </rPr>
          <t>Sandra Cristina Reno (SEJUSP):
AV. LUCIANO RODRIGUES DE PAULA, 600 - CHACARA LEBLON - MURIAÉ</t>
        </r>
      </text>
    </comment>
    <comment ref="C13" authorId="0" shapeId="0" xr:uid="{C430B031-F887-46D3-BD9B-C057F27E8757}">
      <text>
        <r>
          <rPr>
            <sz val="11"/>
            <color theme="1"/>
            <rFont val="Aptos Narrow"/>
            <family val="2"/>
            <scheme val="minor"/>
          </rPr>
          <t>Sandra Cristina Reno (SEJUSP):
COMPLEXO PENITENCIARIO DE P. NOVA ( HORTA) - AV ANTÔNIO C.TRIVELLATO, S/N 3000 - CIDADE NOVA - PONTE NOVA - MG - CEP: 00035430</t>
        </r>
      </text>
    </comment>
    <comment ref="C14" authorId="0" shapeId="0" xr:uid="{30FBBCD6-312D-42A8-83F6-6595A7299910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PRINCIPALPENITENCIARIA-DIST VL N FLOR PACA - GOVERNADOR VALADARES-MG-Cep:35010000
</t>
        </r>
      </text>
    </comment>
    <comment ref="C15" authorId="0" shapeId="0" xr:uid="{70957B4B-6B06-46C7-AEFA-823587F58B04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ESTRADA SUCUPIRA,5000 - Penitenc
Bairro: GLEBAS - UBERLANDIA</t>
        </r>
      </text>
    </comment>
    <comment ref="C16" authorId="0" shapeId="0" xr:uid="{7AC9A836-88EE-4A2C-960E-2DCCF50DD8C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ADMINISTRAÇAO PR
RUA JOSÉ BARBOSA DA SILVA, 91 (PRESIDIO ) - FERRARIA - CEP: 35365-000 - ABRE CAMPO/MG</t>
        </r>
      </text>
    </comment>
    <comment ref="C17" authorId="0" shapeId="0" xr:uid="{64C972E9-7FF7-4389-B1BD-898E3DB9A778}">
      <text>
        <r>
          <rPr>
            <sz val="11"/>
            <color theme="1"/>
            <rFont val="Aptos Narrow"/>
            <family val="2"/>
            <scheme val="minor"/>
          </rPr>
          <t>Sandra Cristina Reno (SEJUSP):
PRESIDIO DE AIMORES - RUA DO CAMILAO, 82, 0 - CENTRO - AIMORÉS</t>
        </r>
      </text>
    </comment>
    <comment ref="C18" authorId="0" shapeId="0" xr:uid="{3E26B29C-F61A-4500-9FF9-43A95C6ED39F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 ESTADUAL
RUA JOAO R DA CUNHA, 1 PRESIDIO - PARQUE DOS VERDES ARAGUARI - MG</t>
        </r>
      </text>
    </comment>
    <comment ref="C19" authorId="0" shapeId="0" xr:uid="{7C77D0D7-C1E3-459A-81C5-1282DDAC8A0E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 ESTADUAL
RUA JOAO R DA CUNHA, 1 PRESIDIO - PARQUE DOS VERDES ARAGUARI - MG</t>
        </r>
      </text>
    </comment>
    <comment ref="C20" authorId="0" shapeId="0" xr:uid="{AF0D8F5E-F0E7-495B-AFBE-91EC539D6912}">
      <text>
        <r>
          <rPr>
            <sz val="11"/>
            <color theme="1"/>
            <rFont val="Aptos Narrow"/>
            <family val="2"/>
            <scheme val="minor"/>
          </rPr>
          <t>Sandra Cristina Reno (SEJUSP):
SUAP
RUA GEN CAMARA, 20, A - CENTRO - BARBACENA</t>
        </r>
      </text>
    </comment>
    <comment ref="C21" authorId="0" shapeId="0" xr:uid="{6206A9DC-D7B3-4339-977C-8EFE702FC988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SUAPI/SEDS
RUA MARIQUINHA GOMES, 215 DELEGACIA - JARD. NOVA ERA
BOA ESPERANÇA - MG - CEP: 37170000 </t>
        </r>
      </text>
    </comment>
    <comment ref="C22" authorId="0" shapeId="0" xr:uid="{51AF124D-0138-4547-B271-94BC78EA0B5C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DEFESA (LIG2)
AV. LUIS ANTONIO MONTEIRO, 1378 A - ESPLANADA - CEP: 39390-000 - BOCAIÚVA/MG</t>
        </r>
      </text>
    </comment>
    <comment ref="C23" authorId="0" shapeId="0" xr:uid="{EA17636D-C56A-4524-A135-3197A57B1E2A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DEFESA
AV. LUIS ANTONIO MONTEIRO, 1378 - ESPLANADA - CEP: 39390-000 - BOCAIÚVA/MG</t>
        </r>
      </text>
    </comment>
    <comment ref="C24" authorId="0" shapeId="0" xr:uid="{69526C3B-0E0C-4214-B979-5727EB8F2B01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BARAO DO RIO BRANCO, 668, LADO 34800-000, CENTRO CAETE-MG
</t>
        </r>
      </text>
    </comment>
    <comment ref="C25" authorId="0" shapeId="0" xr:uid="{FBC517C4-45F8-4B9E-A5D5-D44703491F0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AEROPORTO, 405 - PASSATEMPO - Campo Belo - MG </t>
        </r>
      </text>
    </comment>
    <comment ref="C26" authorId="0" shapeId="0" xr:uid="{17858B61-4AEF-47AA-9253-099BB4B9D58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ADMINISTRACAO PR
Endereço: RUA ARCHIMEDES MENICUCCI, 30 - CAIXA DAGUA - CEP: 36800-156 - CARANGOLA/MG</t>
        </r>
      </text>
    </comment>
    <comment ref="C27" authorId="0" shapeId="0" xr:uid="{E4250521-CAFD-4DC2-932A-A91408EF7EB7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ADMINISTRACAO PR RUA ANTONIO APRIGIO, S/N 35240-000, CENTRO CÓNSELHEIRO PENA-MG </t>
        </r>
      </text>
    </comment>
    <comment ref="C28" authorId="0" shapeId="0" xr:uid="{E2648DA0-0C68-4AB6-AA7B-8D7793CC837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VELOSO-0-SANTOS DUMONT-GOVERNADOR VALADARES-MG-</t>
        </r>
      </text>
    </comment>
    <comment ref="C29" authorId="0" shapeId="0" xr:uid="{36339F76-B581-45CE-807F-2D0C609DCB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VELOSO-0-SANTOS DUMONT-GOVERNADOR VALADARES-MG-</t>
        </r>
      </text>
    </comment>
    <comment ref="C30" authorId="0" shapeId="0" xr:uid="{047D5D52-6A13-424D-90C2-45E1695CCAF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BELO HORIZONTE,10 - NOVO CRUZEIRO - GUANHAES-MG </t>
        </r>
      </text>
    </comment>
    <comment ref="AN30" authorId="0" shapeId="0" xr:uid="{BBF9EF24-56C7-48B8-9903-CC108704D34C}">
      <text>
        <r>
          <rPr>
            <sz val="11"/>
            <color theme="1"/>
            <rFont val="Aptos Narrow"/>
            <family val="2"/>
            <scheme val="minor"/>
          </rPr>
          <t>Sandra Cristina Reno (SEJUSP):
ENVIEI EMAIL P/ A CONCESSIONARIA EM 25/02 (DATA EM QUE OS RECURSOS FORAM LIBERADOS) SOLICITANDO A PRORROGAÇÃO DA FATURA P/  O DIA 10/03. A CONCESSIONÁRIA ENVIOU A FATURA SOMENTE NO DIA 05/03</t>
        </r>
      </text>
    </comment>
    <comment ref="C31" authorId="0" shapeId="0" xr:uid="{6CCE6C40-F76B-4F69-B4FE-3707ADCF58C1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SAO JOSE, 1719 - CENTRO - CEP: 39830-000 - ITAMBACURI/MG
</t>
        </r>
      </text>
    </comment>
    <comment ref="C32" authorId="0" shapeId="0" xr:uid="{9B3B7912-ABCB-4750-B9A1-3D83118C46E7}">
      <text>
        <r>
          <rPr>
            <sz val="11"/>
            <color theme="1"/>
            <rFont val="Aptos Narrow"/>
            <family val="2"/>
            <scheme val="minor"/>
          </rPr>
          <t>Sandra Cristina Reno (SEJUSP):
RUA SANTANA, 0 - GRACAS - CEP: 35680-329 - ITAUNA/MG</t>
        </r>
      </text>
    </comment>
    <comment ref="C33" authorId="0" shapeId="0" xr:uid="{F2591C1D-7932-4E8F-A491-DE552663BF03}">
      <text>
        <r>
          <rPr>
            <sz val="11"/>
            <color theme="1"/>
            <rFont val="Aptos Narrow"/>
            <family val="2"/>
            <scheme val="minor"/>
          </rPr>
          <t>Sandra Cristina Reno (SEJUSP):
RUA SANTANA, 0 - GRACAS - CEP: 35680-329 - ITAUNA/MG</t>
        </r>
      </text>
    </comment>
    <comment ref="C34" authorId="0" shapeId="0" xr:uid="{4A0BC88A-B820-46DA-A980-CBBEACA42A0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
Endereço: AV.PROF.JOSÉ V.MENDONCA,650 -SETOR NORTE-CEP:38307-034-ITUIUTABA/MG</t>
        </r>
      </text>
    </comment>
    <comment ref="C35" authorId="0" shapeId="0" xr:uid="{4BDCE875-1695-47BF-B98A-CF2B9EB36C33}">
      <text>
        <r>
          <rPr>
            <sz val="11"/>
            <color theme="1"/>
            <rFont val="Aptos Narrow"/>
            <family val="2"/>
            <scheme val="minor"/>
          </rPr>
          <t>Sandra Cristina Reno (SEJUSP):
RUA LARANJEIRAS, 17 - METALURGICO - CEP: 35930-330 - JOÃO MONLEVADE/MG</t>
        </r>
      </text>
    </comment>
    <comment ref="C36" authorId="0" shapeId="0" xr:uid="{8D6FDD45-9AA7-431B-A888-DF466D04A6A5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7" authorId="0" shapeId="0" xr:uid="{07203827-DE09-43D7-90F7-2EEA3AFAE9E7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8" authorId="0" shapeId="0" xr:uid="{FC951483-7EC8-42A9-9113-2333BE5D7C37}">
      <text>
        <r>
          <rPr>
            <sz val="11"/>
            <color theme="1"/>
            <rFont val="Aptos Narrow"/>
            <family val="2"/>
            <scheme val="minor"/>
          </rPr>
          <t>Sandra Cristina Reno (SEJUSP):
RUA JOAQUIM G. PEREIRA, 222,  AMERICO SILVA - LAGOA DA PRATA-MG</t>
        </r>
      </text>
    </comment>
    <comment ref="C39" authorId="0" shapeId="0" xr:uid="{F74C8E03-E393-4245-BC24-C8D3744193FD}">
      <text>
        <r>
          <rPr>
            <sz val="11"/>
            <color theme="1"/>
            <rFont val="Aptos Narrow"/>
            <family val="2"/>
            <scheme val="minor"/>
          </rPr>
          <t>Sandra Cristina Reno (SEJUSP):
RUA VIGARIO PARREIRAS, 1007 - CENTRO - LUZ - MG - CEP: 35595000</t>
        </r>
      </text>
    </comment>
    <comment ref="C40" authorId="0" shapeId="0" xr:uid="{BA3966B0-55E3-4B4F-B3E6-F447095F5DCF}">
      <text>
        <r>
          <rPr>
            <sz val="11"/>
            <color theme="1"/>
            <rFont val="Aptos Narrow"/>
            <family val="2"/>
            <scheme val="minor"/>
          </rPr>
          <t>Sandra Cristina Reno (SEJUSP):
RUA MELO VIANA, 222 - BOM PASTOR - CEP: 36902-290 - MANHUAÇU/MG</t>
        </r>
      </text>
    </comment>
    <comment ref="C41" authorId="0" shapeId="0" xr:uid="{DD8DBBB5-1AB4-4153-8538-E326F2FA5A7B}">
      <text>
        <r>
          <rPr>
            <sz val="11"/>
            <color theme="1"/>
            <rFont val="Aptos Narrow"/>
            <family val="2"/>
            <scheme val="minor"/>
          </rPr>
          <t>Sandra Cristina Reno (SEJUSP):
RUA MELO VIANA, 222 - BOM PASTOR - CEP: 36902-290 - MANHUAÇU/MG</t>
        </r>
      </text>
    </comment>
    <comment ref="C42" authorId="0" shapeId="0" xr:uid="{09AFB1D8-A686-49EC-BED0-06ABCF78FC6C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 AVN TEOFILO TOSTES, 143 (FUNDOS ) - CENTRO - CEP: 36970-000 - MANHUMIRIM/MG
</t>
        </r>
      </text>
    </comment>
    <comment ref="C43" authorId="0" shapeId="0" xr:uid="{A07CCD40-BEBB-4C32-A85A-C4D85DF538C8}">
      <text>
        <r>
          <rPr>
            <sz val="11"/>
            <color theme="1"/>
            <rFont val="Aptos Narrow"/>
            <family val="2"/>
            <scheme val="minor"/>
          </rPr>
          <t>Sandra Cristina Reno (SEJUSP):
SECR. ESTADO DE DEFESA SOCIAL
RUA ROBERTO JORIO, 249 (O. PAIXAO) - SANTO ANTONIO - CEP: 35292-048 - MANTENA/MG</t>
        </r>
      </text>
    </comment>
    <comment ref="C44" authorId="0" shapeId="0" xr:uid="{CF43F42C-DE9F-417D-BD41-87847DA55255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SUAPI - PRESIDIO
RUA 16 DE JULHO, 1 A - CENTRO MARIANA - MG - CEP: 35420036
</t>
        </r>
      </text>
    </comment>
    <comment ref="C45" authorId="0" shapeId="0" xr:uid="{4204256A-B800-4F7C-A2F2-6D1060ABE4C5}">
      <text>
        <r>
          <rPr>
            <sz val="11"/>
            <color theme="1"/>
            <rFont val="Aptos Narrow"/>
            <family val="2"/>
            <scheme val="minor"/>
          </rPr>
          <t>Sandra Cristina Reno (SEJUSP):
SUAPI - PRESIDIO
RUA 16 DE JULHO, 1 A - CENTRO MARIANA - MG - CEP: 35420036</t>
        </r>
      </text>
    </comment>
    <comment ref="C46" authorId="0" shapeId="0" xr:uid="{0B752E9B-1266-4696-AC70-24A64EE8AF79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
AV DA SAUDADE, 380 - BAIRRO: BELO HORIZONTE - MONTE CARMELO
CEP 38500-000
</t>
        </r>
      </text>
    </comment>
    <comment ref="C47" authorId="0" shapeId="0" xr:uid="{6BD4BF72-8BD0-439B-8A4E-3FEB7FB06AE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
AV DA SAUDADE, 380 - BAIRRO: BELO HORIZONTE - MONTE CARMELO
CEP 38500-000</t>
        </r>
      </text>
    </comment>
    <comment ref="C48" authorId="0" shapeId="0" xr:uid="{E9819545-E168-40BF-9B5F-FB9941065405}">
      <text>
        <r>
          <rPr>
            <sz val="11"/>
            <color theme="1"/>
            <rFont val="Aptos Narrow"/>
            <family val="2"/>
            <scheme val="minor"/>
          </rPr>
          <t>Sandra Cristina Reno (SEJUSP):
RUA JOSE FREITAS LIMA, 2 FS - SAFIRA - MURIAÉ</t>
        </r>
      </text>
    </comment>
    <comment ref="C49" authorId="0" shapeId="0" xr:uid="{8AA5B9B5-B282-4A04-81BB-09378A9D0C1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PRESIDIO
R UBERABA, 838 - 39860-000
CENTRO - NANUQUE/MG</t>
        </r>
      </text>
    </comment>
    <comment ref="C50" authorId="0" shapeId="0" xr:uid="{C04E28DC-DD30-4D71-9584-09B4C539EEA4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(SEJUSP):SUBSECRETARIA DE ADMINISTRACAO PRISIONAL
RUA GASPAR DE MORAIS, S/N, CASA
35920-000, CENTRO NOVA ERA-MG
</t>
        </r>
      </text>
    </comment>
    <comment ref="C51" authorId="0" shapeId="0" xr:uid="{E042A95F-2383-4236-9AB4-52D1DA114035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
ROD BR 369 - KM 1, 4001 - MARTINS OLIVEIRA - MG - CEP: 35540000
</t>
        </r>
      </text>
    </comment>
    <comment ref="C52" authorId="0" shapeId="0" xr:uid="{C80A840C-D7B1-4266-A9BA-DB390C28988A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JUSTICA E SEGURANÇA PUBLICA
RUA DA SAUDADE, 0 - Lote-230 / Quadra-13 / PRESIDIO
JACUBA - OURO PRETO - MG. CEP: 35400-000</t>
        </r>
      </text>
    </comment>
    <comment ref="C53" authorId="0" shapeId="0" xr:uid="{C760E5FC-3A03-4B5A-8761-F9A441579881}">
      <text>
        <r>
          <rPr>
            <sz val="11"/>
            <color theme="1"/>
            <rFont val="Aptos Narrow"/>
            <family val="2"/>
            <scheme val="minor"/>
          </rPr>
          <t>Sandra Cristina Reno (SEJUSP):
SEC. ESTADO JUSTICA E SEGURANÇA PUBLICA
RUA DA SAUDADE, 0 - Lote-220 /Quadra-13 / PRESIDIO
JACUBA - OURO PRETO - MG. CEP: 35400-000</t>
        </r>
      </text>
    </comment>
    <comment ref="C54" authorId="0" shapeId="0" xr:uid="{0B765E09-59F0-45EA-A49A-92108D522958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
RUA TURQUEZA, 0
JARDIM ACLIMACAO - PASSOS/MG - CEP: 37901702</t>
        </r>
      </text>
    </comment>
    <comment ref="C55" authorId="0" shapeId="0" xr:uid="{83F8AC2A-73CD-41C1-9339-792272F402F0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CADEIA PUBLICA
AV. JUCA STOCKLER, 0
JARDIM ACLIMACAO - PASSOS/MG - CEP: 37901506
</t>
        </r>
      </text>
    </comment>
    <comment ref="C56" authorId="0" shapeId="0" xr:uid="{232A4B27-309F-4F6C-ADCC-18A7FD563055}">
      <text>
        <r>
          <rPr>
            <sz val="11"/>
            <color theme="1"/>
            <rFont val="Aptos Narrow"/>
            <family val="2"/>
            <scheme val="minor"/>
          </rPr>
          <t>Sandra Cristina Reno (SEJUSP):
CADEIA PUBLICA
AV. JUCA STOCKLER, 0
JARDIM ACLIMACAO - PASSOS/MG - CEP: 37901506</t>
        </r>
      </text>
    </comment>
    <comment ref="C57" authorId="0" shapeId="0" xr:uid="{2C6F7A14-B5C7-4629-955A-C9071616697A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CADEIA PUBLICA
RUA TURQUEZA, 0
JARDIM ACLIMACAO - PASSOS/MG - CEP: 37901702
</t>
        </r>
      </text>
    </comment>
    <comment ref="C58" authorId="0" shapeId="0" xr:uid="{BB49F0FD-BDFA-4E8F-ADB9-45B6818CAFE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JUST E SEG PUBLICA
Endereço: AV BENJAMIN CONSTANT, 185 - SANTOS DUMONT - CEP: 39274-174 - PIRAPORA/MG</t>
        </r>
      </text>
    </comment>
    <comment ref="C59" authorId="0" shapeId="0" xr:uid="{C68EF385-69DD-4E22-9383-3530198FA4A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 DE JUST E SEG PUBLICA
Endereço: AV BENJAMIN CONSTANT, 185 - SANTOS DUMONT - CEP: 39274-174 - PIRAPORA/MG</t>
        </r>
      </text>
    </comment>
    <comment ref="C60" authorId="0" shapeId="0" xr:uid="{4038885E-8E18-406D-8B61-98B56DA165C5}">
      <text>
        <r>
          <rPr>
            <sz val="11"/>
            <color theme="1"/>
            <rFont val="Aptos Narrow"/>
            <family val="2"/>
            <scheme val="minor"/>
          </rPr>
          <t>Sandra Cristina Reno (SEJUSP):
 RUA LIBERDADE, 240 - COLINA - CEP: 37925-000 - PIUMHI/MG</t>
        </r>
      </text>
    </comment>
    <comment ref="C61" authorId="0" shapeId="0" xr:uid="{B1F6CC63-35AB-48CF-835D-9C72F7FC781A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DA SAUDADE, 169
CAMPO DA MOGIANA - POÇOS DE CALDAS - CEP: 37701-331
</t>
        </r>
      </text>
    </comment>
    <comment ref="C62" authorId="0" shapeId="0" xr:uid="{DEC41622-3C75-4B76-A2EC-6791F9CA2D1B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RUA FELISBERTO LEOPOLDO, 252 - SANTA TEREZA - CEP: 35430-000 - PONTE NOVA/MG
</t>
        </r>
      </text>
    </comment>
    <comment ref="C63" authorId="0" shapeId="0" xr:uid="{60E9AF56-575E-4A1B-8767-483E590B184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ESTADO ADMINISTRACAO PRISIONA
Endereço: RUA ANÍBAL FERREIRA CANDIDO, 444 - MARIA ROSA - CEP: 38190-000 - SACRAMENTO/MG</t>
        </r>
      </text>
    </comment>
    <comment ref="C64" authorId="0" shapeId="0" xr:uid="{B830CC5A-851F-44B7-8082-9486E81BAC5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ADMINISTRAÇÃO PRISIONAL
End. Fisc.: RUA SEM DENOMINAÇÃO, 0, (MAMBENGO), BONFIM, CEP 36.300-000</t>
        </r>
      </text>
    </comment>
    <comment ref="C65" authorId="0" shapeId="0" xr:uid="{6A4182C8-4A5C-4DDB-BE08-26F7388E05F7}">
      <text>
        <r>
          <rPr>
            <sz val="11"/>
            <color theme="1"/>
            <rFont val="Aptos Narrow"/>
            <family val="2"/>
            <scheme val="minor"/>
          </rPr>
          <t>Sandra Cristina Reno (SEJUSP):
SEJUSP-SECRETARIA DE ESTADO DE JUSTIÇA E SEGURANÇA PÚBLICA M
End. Fisc.: RUA AURELIANO RAPOSO, 87, CENTRO, CEP 36.300-054</t>
        </r>
      </text>
    </comment>
    <comment ref="C66" authorId="0" shapeId="0" xr:uid="{A9A3B81D-FE41-4289-9775-0E02B5EF509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- R. IPIRANGA, 170 - CENTRO - SÃO LOURENÇO - MG   CEP: 37470-000</t>
        </r>
      </text>
    </comment>
    <comment ref="C67" authorId="0" shapeId="0" xr:uid="{987B50CC-C27F-4118-8FC9-3AE2B6E0E7B7}">
      <text>
        <r>
          <rPr>
            <sz val="11"/>
            <color theme="1"/>
            <rFont val="Aptos Narrow"/>
            <family val="2"/>
            <scheme val="minor"/>
          </rPr>
          <t>Sandra Cristina Reno (SEJUSP):
PRESIDIO DE SETE LAGOAS
RUA LAURINDO SOUZA DE DEUS, - S/N - SANTA FELICIDADE SETE LAGOAS - MG - CEP: 35703207</t>
        </r>
      </text>
    </comment>
    <comment ref="C68" authorId="0" shapeId="0" xr:uid="{80AFD831-C07C-455D-9F43-43B26CE15C3A}">
      <text>
        <r>
          <rPr>
            <sz val="11"/>
            <color theme="1"/>
            <rFont val="Aptos Narrow"/>
            <family val="2"/>
            <scheme val="minor"/>
          </rPr>
          <t>Sandra Cristina Reno (SEJUSP):
 R. DR. CAIO DE BRITO, 245 - CENTRO - CEP: 37185-188 - TRÊS PONTAS/MG</t>
        </r>
      </text>
    </comment>
    <comment ref="C69" authorId="0" shapeId="0" xr:uid="{8C195DD7-4E52-4030-88FB-2ECB1DC209D5}">
      <text>
        <r>
          <rPr>
            <sz val="11"/>
            <color theme="1"/>
            <rFont val="Aptos Narrow"/>
            <family val="2"/>
            <scheme val="minor"/>
          </rPr>
          <t>Sandra Cristina Reno (SEJUSP):
 R. DR. CAIO DE BRITO, 245 - CENTRO - CEP: 37185-188 - TRÊS PONTAS/MG</t>
        </r>
      </text>
    </comment>
    <comment ref="C70" authorId="0" shapeId="0" xr:uid="{E6AF297E-31C2-466C-A458-87333F3EF0AF}">
      <text>
        <r>
          <rPr>
            <sz val="11"/>
            <color theme="1"/>
            <rFont val="Aptos Narrow"/>
            <family val="2"/>
            <scheme val="minor"/>
          </rPr>
          <t>Sandra Cristina Reno (SEJUSP):
RUA JOSE FERREIRA MARQUES, 137 - TUPACIGUARA</t>
        </r>
      </text>
    </comment>
    <comment ref="C71" authorId="0" shapeId="0" xr:uid="{E6D0453B-56C4-447C-B125-9505A31EE217}">
      <text>
        <r>
          <rPr>
            <sz val="11"/>
            <color theme="1"/>
            <rFont val="Aptos Narrow"/>
            <family val="2"/>
            <scheme val="minor"/>
          </rPr>
          <t>Sandra Cristina Reno (SEJUSP):
RUA JOSE FERREIRA MARQUES, 137 - TUPACIGUARA</t>
        </r>
      </text>
    </comment>
    <comment ref="C72" authorId="0" shapeId="0" xr:uid="{C2FCEB35-61AA-4285-A35D-6FF07F0F3E5D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DEFESA SOCIAL DE
RUA BURITIS, 0 - CENTRO - CEP: 38610-049 - UNAÍ/MG
</t>
        </r>
      </text>
    </comment>
    <comment ref="AQ72" authorId="0" shapeId="0" xr:uid="{018F0E5B-C477-48D7-9B13-F290CA03919C}">
      <text>
        <r>
          <rPr>
            <sz val="11"/>
            <color theme="1"/>
            <rFont val="Aptos Narrow"/>
            <family val="2"/>
            <scheme val="minor"/>
          </rPr>
          <t>Sandra Cristina Reno (SEJUSP):
op 3284 e 3285</t>
        </r>
      </text>
    </comment>
    <comment ref="C73" authorId="0" shapeId="0" xr:uid="{D059301C-ACF2-498D-A0C9-5E2D8366824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DEFESA SOCIAL 
RUA RONCADOR, 599 - CENTRO - CEP: 38610-019 - UNAÍ/MG</t>
        </r>
      </text>
    </comment>
    <comment ref="C74" authorId="0" shapeId="0" xr:uid="{94EAEEA8-084F-4C0E-ACFC-4ADE32FB65A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E. DE ADMINISTRACAO PRISIONAL
RUA JOSE RIGUEIRA FILHO, 105 FDS - BOM JESUS VIÇOSA - MG - CEP: 36570000</t>
        </r>
      </text>
    </comment>
    <comment ref="C75" authorId="0" shapeId="0" xr:uid="{E37D42F3-4AF7-4DAD-B3B5-C18AF6CCC2AC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ESTADO DE MINAS GERAIS RUA CIRINEU A DE AZEVEDO,500 - CADEIA
RESIDENCIAL DOM ALMIR UBERLANDIA - MG </t>
        </r>
      </text>
    </comment>
    <comment ref="C76" authorId="0" shapeId="0" xr:uid="{C024929D-3542-43B7-8AF2-6474D947371A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AZEVEDO,502 - CADEIA
RESIDENCIAL DOM ALMIR - UBERLANDIA - MG</t>
        </r>
      </text>
    </comment>
    <comment ref="C77" authorId="0" shapeId="0" xr:uid="{75C56EA5-DAD6-470B-BCF1-7CC244B07441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AZEVEDO,504 - CADEIA
RESIDENCIAL DOM ALMIR UBERLANDIA - MG</t>
        </r>
      </text>
    </comment>
    <comment ref="C78" authorId="0" shapeId="0" xr:uid="{8A6F5835-01BA-4E9A-9D73-BF7314E9D916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ESTADO DE MINAS GERAIS 
RUA CIRINEU A DE AZEVEDO,500 - CADEIA
RESIDENCIAL DOM ALMIR
UBERLANDIA - MG  </t>
        </r>
      </text>
    </comment>
    <comment ref="C79" authorId="0" shapeId="0" xr:uid="{AF09B4A5-2699-4564-9EC2-30A96310BEF3}">
      <text>
        <r>
          <rPr>
            <sz val="11"/>
            <color theme="1"/>
            <rFont val="Aptos Narrow"/>
            <family val="2"/>
            <scheme val="minor"/>
          </rPr>
          <t>Sandra Cristina Reno (SEJUSP):
ESTADO DE MINAS GERAIS 
RUA CIRINEU A DE AZEVEDO,500 - P.ARTES.
RESIDENCIAL DOM ALMIR UBERLANDIA - MG</t>
        </r>
      </text>
    </comment>
    <comment ref="C80" authorId="0" shapeId="0" xr:uid="{E627854E-16AF-4921-9C83-26F3304D0A3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
SEJUSP
RUA CIRINEU A DE AZEVEDO,500 - HORTAPEN
RESIDENCIAL DOM ALMIR - UBERLANDIA - MG</t>
        </r>
      </text>
    </comment>
    <comment ref="C81" authorId="0" shapeId="0" xr:uid="{5A38C8E0-4F16-40F3-8563-97AAE9A1616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ESTADO DE RECURSOS
RUA DOUTOR LUIZ ANTONIO WAACK N. 1662 - UMUARAMA -UBERLÂNDIA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E5D045E4-15A1-4FB5-9816-2140712097C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GUSTAVO LEONARDO 1240 SAO JACINTO                        TEOFILO OTONI</t>
        </r>
      </text>
    </comment>
    <comment ref="C6" authorId="0" shapeId="0" xr:uid="{16066B14-EE88-4425-B8CA-E513BE8F19C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COSENSA  R AGENTE DENNIEL SILVA MARINHO 199 DISTRITO INDUSTRIAL     MONTES CLAROS</t>
        </r>
      </text>
    </comment>
    <comment ref="C7" authorId="0" shapeId="0" xr:uid="{CC4F52B5-0E06-41F8-BC07-E3C2EC025EB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D BOSCO  AV DOS ANDRADAS 4015 LG A SANTA TEREZA                     BELO HORIZONTE</t>
        </r>
      </text>
    </comment>
    <comment ref="C8" authorId="0" shapeId="0" xr:uid="{11C4BEAC-71C0-4DF3-92DD-C6F2E6C66A5F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 R MILTON ASSUNCAO 240 ELIANE                               RIBEIRAO DAS NEVES</t>
        </r>
      </text>
    </comment>
    <comment ref="C9" authorId="0" shapeId="0" xr:uid="{C3570915-9EFC-4F86-A21D-84F964480FB5}">
      <text>
        <r>
          <rPr>
            <sz val="11"/>
            <color theme="1"/>
            <rFont val="Aptos Narrow"/>
            <family val="2"/>
            <scheme val="minor"/>
          </rPr>
          <t>Sandra Cristina Reno (SEJUSP)
SECRETARIA E DE SEGURANCA PUBLICA   R JOAO ALFREDO 3792 LG A HORTO                             BELO HORIZONTE</t>
        </r>
      </text>
    </comment>
    <comment ref="C10" authorId="0" shapeId="0" xr:uid="{2A53BBDB-FBA7-485F-AE4C-895470BADBD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CONDE DE KELIDONIA 111 FLORAMAR                          DIVINOPOLIS</t>
        </r>
      </text>
    </comment>
    <comment ref="C11" authorId="0" shapeId="0" xr:uid="{F8146716-831A-48DE-BBDF-525747648187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SECRETARIA DE ESTADO DE JUSTICA E S R CONSELHEIRO ROCHA 3792 HORTO                             BELO HORIZONTE
</t>
        </r>
      </text>
    </comment>
    <comment ref="C12" authorId="0" shapeId="0" xr:uid="{C388FDB4-CE0A-4B64-A53D-EB73E0DBC7D0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JUSTICA E SEGURANCA PUBLICA - SEJUSP
RUA SOLDADO EDSON VELOSO-700-SANTOS DUMONT-GOVERNADOR VALADARES-MG</t>
        </r>
      </text>
    </comment>
    <comment ref="AF12" authorId="0" shapeId="0" xr:uid="{BC98C95E-B5E6-4E15-901C-A0AC36BE4238}">
      <text>
        <r>
          <rPr>
            <sz val="11"/>
            <color theme="1"/>
            <rFont val="Aptos Narrow"/>
            <family val="2"/>
            <scheme val="minor"/>
          </rPr>
          <t>Sandra Cristina Reno (SEJUSP):
ACATADA PELO BANCO DIA 26/02
OBS: OS RECURSOS FORAM DESCENTRALIZADOS EM 13/02 MAS A UNIDADE SO ENVIOU O PROCESSO EM 19/02</t>
        </r>
      </text>
    </comment>
    <comment ref="C13" authorId="0" shapeId="0" xr:uid="{069B9F47-E85F-4C87-BF25-1E084A421A7E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PLANEJAMENTO E GESTAO
RUA DA PUREZA,101
Bairro: GLEBAS - UBERLÂNDIA</t>
        </r>
      </text>
    </comment>
    <comment ref="C14" authorId="0" shapeId="0" xr:uid="{46AE81C0-E114-4893-9E11-6608B2672DA3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
Endereço: RUA N, 365 - PRIMAVERA - CEP: 39274-436 - PIRAPORA/MG</t>
        </r>
      </text>
    </comment>
    <comment ref="AF14" authorId="0" shapeId="0" xr:uid="{21A12689-F686-4CB1-8EBF-CD0902003B23}">
      <text>
        <r>
          <rPr>
            <sz val="11"/>
            <color theme="1"/>
            <rFont val="Aptos Narrow"/>
            <family val="2"/>
            <scheme val="minor"/>
          </rPr>
          <t xml:space="preserve">Sandra Cristina Reno (SEJUSP):
OP 199 ACATADA PELO BANCO DIA 25/02
OBS: OS RECURSOS FORAM DESCENTRALIZADOS EM 13/02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C5" authorId="0" shapeId="0" xr:uid="{B726F9D8-5D38-4335-8235-642E1F4F63A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PAULO DE FRONTIM S/N CENTRO                              BELO HORIZONTE</t>
        </r>
      </text>
    </comment>
    <comment ref="C6" authorId="0" shapeId="0" xr:uid="{5F02F9BD-DF5F-4E1B-9A9C-BCD4DCC4791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AV MAJOR ALEXANDRE RODRIGUES 301 IBITURUNA                 MONTES CLAROS</t>
        </r>
      </text>
    </comment>
    <comment ref="C7" authorId="0" shapeId="0" xr:uid="{B97AE257-1057-49BD-918F-D323834C54E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AISP     AV VILARINHO 1551 VENDA NOVA                               BELO HORIZONTE</t>
        </r>
      </text>
    </comment>
    <comment ref="C8" authorId="0" shapeId="0" xr:uid="{E04C4CA1-3F58-48AE-B16B-1FA32991C2E9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SENEGAL 226 SAO PEDRO                                    CONTAGEM</t>
        </r>
      </text>
    </comment>
    <comment ref="C9" authorId="0" shapeId="0" xr:uid="{2A28018D-C22D-4963-9BF2-0BA28A615E47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MARIA JOSE CHIODI 936 NOVA CONTAGEM                      CONTAGEM</t>
        </r>
      </text>
    </comment>
    <comment ref="C10" authorId="0" shapeId="0" xr:uid="{3231D1D1-6A8F-471A-9A67-27BB97CBE408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34 BPM   R JORDANIA 313 OURO PRETO                                  BELO HORIZONTE</t>
        </r>
      </text>
    </comment>
    <comment ref="C11" authorId="0" shapeId="0" xr:uid="{6AF74A5F-1689-42DE-B956-B851F5E9AF6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EST JUSTICA E S P SEJUSP AV DONA YOLANDA TEIXEIRA DA COSTA 1850 MARIA ANTONIETA PAL SANTA LUZIA</t>
        </r>
      </text>
    </comment>
    <comment ref="C12" authorId="0" shapeId="0" xr:uid="{486CF974-AB5B-4440-AF6E-3C4B90BFE4F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UM 250 NOVA PAMPULHA                                     VESPASIANO</t>
        </r>
      </text>
    </comment>
    <comment ref="C13" authorId="0" shapeId="0" xr:uid="{138ED9F0-FDCB-43A9-89E0-43B2D81E666D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         R CORONEL BATISTA 193 CENTRO                               DOM SILVERIO</t>
        </r>
      </text>
    </comment>
    <comment ref="C14" authorId="0" shapeId="0" xr:uid="{508E4854-1231-4CBF-AC0D-013AF3BA8832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 SEGURANCA PUBLICA   R DOM OSCAR ROMERO 470 NOVA GAMELEIRA                      BELO HORIZONTE</t>
        </r>
      </text>
    </comment>
    <comment ref="C15" authorId="0" shapeId="0" xr:uid="{99130A13-5491-4B90-96B4-CD5ED102A336}">
      <text>
        <r>
          <rPr>
            <sz val="11"/>
            <color theme="1"/>
            <rFont val="Aptos Narrow"/>
            <family val="2"/>
            <scheme val="minor"/>
          </rPr>
          <t>Sandra Cristina Reno (SEJUSP):
SECRETARIA E DEFESA SOCIAL SEDS     RD LMG 806 KM 5 8505 DISTRITO IND JOAO DE ALMEIDA          RIBEIRAO DAS NEVES</t>
        </r>
      </text>
    </comment>
    <comment ref="C18" authorId="0" shapeId="0" xr:uid="{F666DEF7-D815-434C-9583-E2A6C0FC0B1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
PRACA MAGALHAES PINTO 604 - -PMMG. - FABRICIO - UBERABA</t>
        </r>
      </text>
    </comment>
    <comment ref="C19" authorId="0" shapeId="0" xr:uid="{DF8E3143-1C24-4A85-9F86-97AB698A94FB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SEGURANCA PUBLICA - AV MINAS GERAIS-2100-A-MARIA EUGENIA-GOVERNADOR VALADARES</t>
        </r>
      </text>
    </comment>
    <comment ref="C20" authorId="0" shapeId="0" xr:uid="{C62CE3C2-1763-49C6-92DA-629D8CEA4453}">
      <text>
        <r>
          <rPr>
            <sz val="11"/>
            <color theme="1"/>
            <rFont val="Aptos Narrow"/>
            <family val="2"/>
            <scheme val="minor"/>
          </rPr>
          <t>Sandra Cristina Reno (SEJUSP): SECRETARIA DE ESTADO DE PLANEJAMENTO E GESTAO
AVENIDA GABRIELA JUNQUEIRA DE FREITAS,125 - JD PATRICIA - UBERLANDIA</t>
        </r>
      </text>
    </comment>
    <comment ref="C21" authorId="0" shapeId="0" xr:uid="{9B9C7169-08D6-4BE6-9B7F-FDBA9C495F25}">
      <text>
        <r>
          <rPr>
            <sz val="11"/>
            <color theme="1"/>
            <rFont val="Aptos Narrow"/>
            <family val="2"/>
            <scheme val="minor"/>
          </rPr>
          <t>Sandra Cristina Reno (SEJUSP):
SECRETARIA DE ESTADO DE PLANEJAMENTO E GESTAO AVENIDA GABRIELA JUNQUEIRA DE FREITAS,125 - P.ARTESI
MOINHO DE VENTO (LOTEAMENTO) - UBERLANDIA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Cristina Reno (SEJUSP)</author>
  </authors>
  <commentList>
    <comment ref="Q22" authorId="0" shapeId="0" xr:uid="{65C6AADD-D0F3-4915-A91E-1C9DAF27C3DC}">
      <text>
        <r>
          <rPr>
            <sz val="11"/>
            <color theme="1"/>
            <rFont val="Aptos Narrow"/>
            <family val="2"/>
            <scheme val="minor"/>
          </rPr>
          <t>Sandra Cristina Reno (SEJUSP):
SOLICITADO A PRORROGAÇÃO DA FATURA. AGUARDANDO RETORNO DA CONCESSIONÁRIA</t>
        </r>
      </text>
    </comment>
    <comment ref="Q28" authorId="0" shapeId="0" xr:uid="{554BE2A0-9067-4AF5-A03E-3C3997DD6E91}">
      <text>
        <r>
          <rPr>
            <sz val="11"/>
            <color theme="1"/>
            <rFont val="Aptos Narrow"/>
            <family val="2"/>
            <scheme val="minor"/>
          </rPr>
          <t>Sandra Cristina Reno (SEJUSP):
SOLICITADO A PRORROGAÇÃO DA FATURA E A REMISSÃO DO ENCARGO REF. A 12/25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<sst xmlns="http://schemas.openxmlformats.org/spreadsheetml/2006/main" count="5879" uniqueCount="2827">
  <si>
    <t>SECRETARIA DE ESTADO DE JUSTIÇA E SEGURANÇA PÚBLICA - CNPJ: 05.487.631/0001-09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</si>
  <si>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</si>
  <si>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</si>
  <si>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</si>
  <si>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</si>
  <si>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</si>
  <si>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</si>
  <si>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</si>
  <si>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</si>
  <si>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</si>
  <si>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</si>
  <si>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</si>
  <si>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</si>
  <si>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UNIDADES PRISIONAIS</t>
  </si>
  <si>
    <t>UNIDADE EXECUTORA</t>
  </si>
  <si>
    <t>UPG</t>
  </si>
  <si>
    <t>HIDRÔMETRO</t>
  </si>
  <si>
    <t>MATRÍCULA</t>
  </si>
  <si>
    <t>CONCESSIONÁRIA</t>
  </si>
  <si>
    <t>CNPJ</t>
  </si>
  <si>
    <t>IDENTIFICADOR (1)</t>
  </si>
  <si>
    <t>IDENTIFICADOR (2)</t>
  </si>
  <si>
    <t>EMPENHO (FONTE 10)</t>
  </si>
  <si>
    <t>EMPENHO DE ENCARGOS (FONTE 10)</t>
  </si>
  <si>
    <t>EMPENHO (FONTE 60)</t>
  </si>
  <si>
    <t>EMPENHO DE ENCARGOS (FONTE 60)</t>
  </si>
  <si>
    <t>IR (12)</t>
  </si>
  <si>
    <t>ENCARGOS (12)</t>
  </si>
  <si>
    <t>LÍQUIDO (12)</t>
  </si>
  <si>
    <t>M³ (12)</t>
  </si>
  <si>
    <t>Nº SEI</t>
  </si>
  <si>
    <t>VENCIMENTO</t>
  </si>
  <si>
    <t>Variação Consumo</t>
  </si>
  <si>
    <t>Variação Financeiro</t>
  </si>
  <si>
    <t>BRUTO (1)</t>
  </si>
  <si>
    <t>IR (1)</t>
  </si>
  <si>
    <t>ENCARGOS (1)</t>
  </si>
  <si>
    <t>LÍQUIDO (1)</t>
  </si>
  <si>
    <t>M³ (1)</t>
  </si>
  <si>
    <t>VENCIMENTO (1)</t>
  </si>
  <si>
    <t>Nº SEI (1)</t>
  </si>
  <si>
    <t>ENVIADO AO DED (1)</t>
  </si>
  <si>
    <t>PAGO (1)</t>
  </si>
  <si>
    <t>Variação Consumo (1)</t>
  </si>
  <si>
    <t>Variação Financeiro (1)</t>
  </si>
  <si>
    <t>BRUTO (2)</t>
  </si>
  <si>
    <t>IR (2)</t>
  </si>
  <si>
    <t>ENCARGOS (2)</t>
  </si>
  <si>
    <t>LÍQUIDO (1)2</t>
  </si>
  <si>
    <t>M³ (2)</t>
  </si>
  <si>
    <t>VENCIMENTO (2)</t>
  </si>
  <si>
    <t>Nº SEI (2)</t>
  </si>
  <si>
    <t>ENVIADO AO DED (1)2</t>
  </si>
  <si>
    <t>PAGO (1)3</t>
  </si>
  <si>
    <t>Variação Consumo (2)</t>
  </si>
  <si>
    <t>Variação Financeiro (2)</t>
  </si>
  <si>
    <t>BRUTO (3)</t>
  </si>
  <si>
    <t>IR (3)3</t>
  </si>
  <si>
    <t>ENCARGOS (3)</t>
  </si>
  <si>
    <t>LÍQUIDO (3)</t>
  </si>
  <si>
    <t>M³ (3)</t>
  </si>
  <si>
    <t>VENCIMENTO (3)</t>
  </si>
  <si>
    <t>Nº SEI (3)</t>
  </si>
  <si>
    <t>ENVIADO AO DED (1)3</t>
  </si>
  <si>
    <t>PAGO (1)4</t>
  </si>
  <si>
    <t>Variação Consumo (3)</t>
  </si>
  <si>
    <t>Variação Financeiro (3)</t>
  </si>
  <si>
    <t>BRUTO (4)</t>
  </si>
  <si>
    <t>IR (4)</t>
  </si>
  <si>
    <t>ENCARGOS (4)</t>
  </si>
  <si>
    <t>LÍQUIDO (4)</t>
  </si>
  <si>
    <t>M³ (4)</t>
  </si>
  <si>
    <t>VENCIMENTO (4)</t>
  </si>
  <si>
    <t>Nº SEI (4)</t>
  </si>
  <si>
    <t>ENVIADO AO DED (1)22</t>
  </si>
  <si>
    <t>PAGO (1)33</t>
  </si>
  <si>
    <t>Variação Consumo (4)</t>
  </si>
  <si>
    <t>Variação Financeiro (4)</t>
  </si>
  <si>
    <t>BRUTO (3)2</t>
  </si>
  <si>
    <t>IR (3)33</t>
  </si>
  <si>
    <t>ENCARGOS (3)4</t>
  </si>
  <si>
    <t>LÍQUIDO (3)5</t>
  </si>
  <si>
    <t>M³ (3)6</t>
  </si>
  <si>
    <t>VENCIMENTO (3)7</t>
  </si>
  <si>
    <t>Nº SEI (3)8</t>
  </si>
  <si>
    <t>ENVIADO AO DED (1)39</t>
  </si>
  <si>
    <t>PAGO (1)410</t>
  </si>
  <si>
    <t>Variação Consumo (3)11</t>
  </si>
  <si>
    <t>Variação Financeiro (3)12</t>
  </si>
  <si>
    <t>BRUTO (4)13</t>
  </si>
  <si>
    <t>IR (4)14</t>
  </si>
  <si>
    <t>ENCARGOS (4)15</t>
  </si>
  <si>
    <t>LÍQUIDO (4)16</t>
  </si>
  <si>
    <t>M³ (4)17</t>
  </si>
  <si>
    <t>VENCIMENTO (4)18</t>
  </si>
  <si>
    <t>Nº SEI (4)19</t>
  </si>
  <si>
    <t>ENVIADO AO DED (1)2220</t>
  </si>
  <si>
    <t>PAGO (1)3321</t>
  </si>
  <si>
    <t>Variação Consumo (4)22</t>
  </si>
  <si>
    <t>Variação Financeiro (4)23</t>
  </si>
  <si>
    <t>BRUTO (3)3</t>
  </si>
  <si>
    <t>IR (3)34</t>
  </si>
  <si>
    <t>ENCARGOS (3)5</t>
  </si>
  <si>
    <t>LÍQUIDO (3)6</t>
  </si>
  <si>
    <t>M³ (3)7</t>
  </si>
  <si>
    <t>VENCIMENTO (3)8</t>
  </si>
  <si>
    <t>Nº SEI (3)9</t>
  </si>
  <si>
    <t>ENVIADO AO DED (1)310</t>
  </si>
  <si>
    <t>PAGO (1)411</t>
  </si>
  <si>
    <t>Variação Consumo (3)12</t>
  </si>
  <si>
    <t>Variação Financeiro (3)13</t>
  </si>
  <si>
    <t>BRUTO (4)14</t>
  </si>
  <si>
    <t>IR (4)15</t>
  </si>
  <si>
    <t>ENCARGOS (4)16</t>
  </si>
  <si>
    <t>LÍQUIDO (4)17</t>
  </si>
  <si>
    <t>M³ (4)18</t>
  </si>
  <si>
    <t>VENCIMENTO (4)19</t>
  </si>
  <si>
    <t>Nº SEI (4)20</t>
  </si>
  <si>
    <t>ENVIADO AO DED (1)2221</t>
  </si>
  <si>
    <t>PAGO (1)3322</t>
  </si>
  <si>
    <t>Variação Consumo (4)23</t>
  </si>
  <si>
    <t>Variação Financeiro (4)24</t>
  </si>
  <si>
    <t>BRUTO (3)32</t>
  </si>
  <si>
    <t>IR (3)343</t>
  </si>
  <si>
    <t>ENCARGOS (3)54</t>
  </si>
  <si>
    <t>LÍQUIDO (3)65</t>
  </si>
  <si>
    <t>M³ (3)76</t>
  </si>
  <si>
    <t>VENCIMENTO (3)87</t>
  </si>
  <si>
    <t>Nº SEI (3)98</t>
  </si>
  <si>
    <t>ENVIADO AO DED (1)3109</t>
  </si>
  <si>
    <t>PAGO (1)41110</t>
  </si>
  <si>
    <t>Variação Consumo (3)1211</t>
  </si>
  <si>
    <t>Variação Financeiro (3)1312</t>
  </si>
  <si>
    <t>BRUTO (4)1413</t>
  </si>
  <si>
    <t>IR (4)1514</t>
  </si>
  <si>
    <t>ENCARGOS (4)1615</t>
  </si>
  <si>
    <t>LÍQUIDO (4)1716</t>
  </si>
  <si>
    <t>M³ (4)1817</t>
  </si>
  <si>
    <t>VENCIMENTO (4)1918</t>
  </si>
  <si>
    <t>Nº SEI (4)2019</t>
  </si>
  <si>
    <t>ENVIADO AO DED (1)222120</t>
  </si>
  <si>
    <t>PAGO (1)332221</t>
  </si>
  <si>
    <t>Variação Consumo (4)2322</t>
  </si>
  <si>
    <t>Variação Financeiro (4)2423</t>
  </si>
  <si>
    <t>BRUTO (3)322</t>
  </si>
  <si>
    <t>IR (3)3433</t>
  </si>
  <si>
    <t>ENCARGOS (3)544</t>
  </si>
  <si>
    <t>LÍQUIDO (3)655</t>
  </si>
  <si>
    <t>M³ (3)766</t>
  </si>
  <si>
    <t>VENCIMENTO (3)877</t>
  </si>
  <si>
    <t>Nº SEI (3)988</t>
  </si>
  <si>
    <t>ENVIADO AO DED (1)31099</t>
  </si>
  <si>
    <t>PAGO (1)4111010</t>
  </si>
  <si>
    <t>Variação Consumo (3)121111</t>
  </si>
  <si>
    <t>Variação Financeiro (3)131212</t>
  </si>
  <si>
    <t>BRUTO (4)141313</t>
  </si>
  <si>
    <t>IR (4)151414</t>
  </si>
  <si>
    <t>ENCARGOS (4)161515</t>
  </si>
  <si>
    <t>LÍQUIDO (4)171616</t>
  </si>
  <si>
    <t>M³ (4)181717</t>
  </si>
  <si>
    <t>VENCIMENTO (4)191818</t>
  </si>
  <si>
    <t>Nº SEI (4)201919</t>
  </si>
  <si>
    <t>ENVIADO AO DED (1)22212020</t>
  </si>
  <si>
    <t>PAGO (1)33222121</t>
  </si>
  <si>
    <t>Variação Consumo (4)232222</t>
  </si>
  <si>
    <t>Variação Financeiro (4)242323</t>
  </si>
  <si>
    <t>3ª AISP ED. JK (BH)</t>
  </si>
  <si>
    <t>A24H0000770</t>
  </si>
  <si>
    <t>00013610520</t>
  </si>
  <si>
    <t>COMPANHIA DE SANEAMENTO DE MINAS GERAIS COPASA MG</t>
  </si>
  <si>
    <t>17.281.106/0001-03</t>
  </si>
  <si>
    <t>1450.01.0005511/2026-51</t>
  </si>
  <si>
    <t>10/03/2026</t>
  </si>
  <si>
    <t>1450.01.0029372/2026-78</t>
  </si>
  <si>
    <t>1450.01.0046622/2026-25</t>
  </si>
  <si>
    <t>12ª RISP (DRAP IPATINGA)</t>
  </si>
  <si>
    <t>Y19G0986114</t>
  </si>
  <si>
    <t>00115043942</t>
  </si>
  <si>
    <t>13ª RISP (BARBACENA)</t>
  </si>
  <si>
    <t>Y21G1271058</t>
  </si>
  <si>
    <t>00164218301</t>
  </si>
  <si>
    <t>17ª RISP (POUSO ALEGRE)</t>
  </si>
  <si>
    <t>Y24S0064490</t>
  </si>
  <si>
    <t>00024659207</t>
  </si>
  <si>
    <t>Y22G1372195</t>
  </si>
  <si>
    <t>00024659185</t>
  </si>
  <si>
    <t>ALMOXARIFADO CENTRAL - DMP ( Parque Norte)</t>
  </si>
  <si>
    <t>Y22G1259272</t>
  </si>
  <si>
    <t>00133540464</t>
  </si>
  <si>
    <t xml:space="preserve">CASA DO ALBERGADO PRESIDENTE JOÃO PESSOA </t>
  </si>
  <si>
    <t>E25H0000317</t>
  </si>
  <si>
    <t>00011368799</t>
  </si>
  <si>
    <t>D17B0704493</t>
  </si>
  <si>
    <t>00027029697</t>
  </si>
  <si>
    <t>CENTRAL DE FLAGRANTES</t>
  </si>
  <si>
    <t>A19N0415854</t>
  </si>
  <si>
    <t>00000693537</t>
  </si>
  <si>
    <t>CERESP BETIM</t>
  </si>
  <si>
    <t>E17B0791102
G23C8001998</t>
  </si>
  <si>
    <t>00109188632</t>
  </si>
  <si>
    <t>CERESP CONTAGEM</t>
  </si>
  <si>
    <t>D17B0705014</t>
  </si>
  <si>
    <t>00002251426</t>
  </si>
  <si>
    <t>CERESP GAMELEIRA</t>
  </si>
  <si>
    <t>G23C8002161
G22C8100030</t>
  </si>
  <si>
    <t>00002027461</t>
  </si>
  <si>
    <t>CERESP IPATINGA (Santana do Paraiso)</t>
  </si>
  <si>
    <t>E18B0801588</t>
  </si>
  <si>
    <t>00105574660</t>
  </si>
  <si>
    <t>COMPLEXO PENITENCIÁRIO ESTEVÃO PINTO</t>
  </si>
  <si>
    <t>D17B7045870</t>
  </si>
  <si>
    <t>00119083850</t>
  </si>
  <si>
    <t>F18B0901260</t>
  </si>
  <si>
    <t>00011368802</t>
  </si>
  <si>
    <t>COMPLEXO PENIT. NELSON HUNGRIA</t>
  </si>
  <si>
    <t>K22D2510787</t>
  </si>
  <si>
    <t>00017213169</t>
  </si>
  <si>
    <t>COMPLEXO PENIT. NOSSA SENH. DO CARMO</t>
  </si>
  <si>
    <t>C18D0704419</t>
  </si>
  <si>
    <t>00114881669</t>
  </si>
  <si>
    <t>E18B0801540</t>
  </si>
  <si>
    <t>00104326328</t>
  </si>
  <si>
    <t>E22G0024603</t>
  </si>
  <si>
    <t>00168607611</t>
  </si>
  <si>
    <t>COPE - COMANDO DE OPERAÇÕES ESPECIAIS</t>
  </si>
  <si>
    <t>D17B0704535</t>
  </si>
  <si>
    <t>00016283902</t>
  </si>
  <si>
    <t>DRAP TEOFILO OTONI</t>
  </si>
  <si>
    <t>Y20G0906641</t>
  </si>
  <si>
    <t>00008452644</t>
  </si>
  <si>
    <t>NOVO PRESÍDIO DE FRUTAL</t>
  </si>
  <si>
    <t>E25H0000255</t>
  </si>
  <si>
    <t>00182674941</t>
  </si>
  <si>
    <t>PENITENCIÁRIA DÊNIO MOREIRA DE CARVALHO (IPABA)</t>
  </si>
  <si>
    <t>G23C8002709</t>
  </si>
  <si>
    <t>00017527236</t>
  </si>
  <si>
    <t>PENITENCIÁRIA DE TRÊS CORAÇÕES</t>
  </si>
  <si>
    <t>D18B7020900</t>
  </si>
  <si>
    <t>00115233423</t>
  </si>
  <si>
    <t>F18B0901253</t>
  </si>
  <si>
    <t>00107022664</t>
  </si>
  <si>
    <t>PENITENCIÁRIA JOSÉ MARIA ALKIMIM</t>
  </si>
  <si>
    <t>Y24G1242371</t>
  </si>
  <si>
    <t>00106360655</t>
  </si>
  <si>
    <t>Y23G1222172</t>
  </si>
  <si>
    <t>00106360779</t>
  </si>
  <si>
    <t>Y24F0430859</t>
  </si>
  <si>
    <t>00106359029</t>
  </si>
  <si>
    <t>A24H0025317</t>
  </si>
  <si>
    <t>00106357140</t>
  </si>
  <si>
    <t>Y24S1242222</t>
  </si>
  <si>
    <t>00106356950</t>
  </si>
  <si>
    <t>Y20G0674247</t>
  </si>
  <si>
    <t>00106359878</t>
  </si>
  <si>
    <t>Y21S0634297</t>
  </si>
  <si>
    <t>00106360744</t>
  </si>
  <si>
    <t>Y23G1129610</t>
  </si>
  <si>
    <t>00106360884</t>
  </si>
  <si>
    <t>A24H0001971</t>
  </si>
  <si>
    <t>00106359614</t>
  </si>
  <si>
    <t>F17B0700287</t>
  </si>
  <si>
    <t>00022143432</t>
  </si>
  <si>
    <t>Y22G1203219</t>
  </si>
  <si>
    <t>00106358782</t>
  </si>
  <si>
    <t>PENITENCIÁRIA PROF. JASON SOARES ALBERGARIA</t>
  </si>
  <si>
    <t>F24G0800119</t>
  </si>
  <si>
    <t>00108465675</t>
  </si>
  <si>
    <t>PRESÍDIO ALVORADA (MONTES CLAROS)</t>
  </si>
  <si>
    <t>E18B0801569</t>
  </si>
  <si>
    <t>00013109235</t>
  </si>
  <si>
    <t>PRESÍDIO ANTÔNIO DUTRA LADEIRA</t>
  </si>
  <si>
    <t>K23C8002911</t>
  </si>
  <si>
    <t>00111760429</t>
  </si>
  <si>
    <t>PRESÍDIO DE ABAETÉ</t>
  </si>
  <si>
    <t>Y24S0051535</t>
  </si>
  <si>
    <t>00111979056</t>
  </si>
  <si>
    <t>A19N0094674</t>
  </si>
  <si>
    <t>00006940773</t>
  </si>
  <si>
    <t>B13L0009944</t>
  </si>
  <si>
    <t>00155533452</t>
  </si>
  <si>
    <t>PRESÍDIO DE AÇUCENA</t>
  </si>
  <si>
    <t>B18F0008947</t>
  </si>
  <si>
    <t>00118649205</t>
  </si>
  <si>
    <t>PRESÍDIO DE ÁGUAS FORMOSAS</t>
  </si>
  <si>
    <t>B23G0004605</t>
  </si>
  <si>
    <t>00008245703</t>
  </si>
  <si>
    <t>PRESÍDIO DE ALEM PARAIBA</t>
  </si>
  <si>
    <t>B22G0013224</t>
  </si>
  <si>
    <t>00010364137</t>
  </si>
  <si>
    <t>PRESÍDIO DE ALFENAS</t>
  </si>
  <si>
    <t>G22C8000301</t>
  </si>
  <si>
    <t>00115130918</t>
  </si>
  <si>
    <t>PRESÍDIO DE ALFENAS (ANEXO)</t>
  </si>
  <si>
    <t>F22G0000029</t>
  </si>
  <si>
    <t>00177199245</t>
  </si>
  <si>
    <t>PRESÍDIO DE ALMENARA</t>
  </si>
  <si>
    <t>B22G0013322</t>
  </si>
  <si>
    <t>00007224958</t>
  </si>
  <si>
    <t>Y20G0473566</t>
  </si>
  <si>
    <t>00108079911</t>
  </si>
  <si>
    <t>A18N0391886</t>
  </si>
  <si>
    <t>00007224567</t>
  </si>
  <si>
    <t>PRESÍDIO DE ANDRADAS</t>
  </si>
  <si>
    <t>D17B7047540</t>
  </si>
  <si>
    <t>00112373950</t>
  </si>
  <si>
    <t>PRESÍDIO DE ANDRELANDIA</t>
  </si>
  <si>
    <t>B18F0007902</t>
  </si>
  <si>
    <t>00025065459</t>
  </si>
  <si>
    <t>PRESÍDIO DE ARAÇUAÍ</t>
  </si>
  <si>
    <t>Y22G1053067</t>
  </si>
  <si>
    <t>00007342659</t>
  </si>
  <si>
    <t>E18B0809922</t>
  </si>
  <si>
    <t>00027653439</t>
  </si>
  <si>
    <t>PRESÍDIO DE ARAXÁ</t>
  </si>
  <si>
    <t>B18F0008530</t>
  </si>
  <si>
    <t>00114422567</t>
  </si>
  <si>
    <t>E18B0801557</t>
  </si>
  <si>
    <t>00115998519</t>
  </si>
  <si>
    <t>D18B7041530</t>
  </si>
  <si>
    <t>00114922667</t>
  </si>
  <si>
    <t>PRESÍDIO DE BAMBUI</t>
  </si>
  <si>
    <t>B19F0007087
B18F0008532</t>
  </si>
  <si>
    <t>00018913504</t>
  </si>
  <si>
    <t>PRESÍDIO DE BARÃO DE COCAIS</t>
  </si>
  <si>
    <t>G23C8002547</t>
  </si>
  <si>
    <t>00116568348</t>
  </si>
  <si>
    <t>PRESÍDIO DE BICAS</t>
  </si>
  <si>
    <t>B18F0008417
D17B7000910</t>
  </si>
  <si>
    <t>00025269488</t>
  </si>
  <si>
    <t>PRESÍDIO DE BOM DESPACHO</t>
  </si>
  <si>
    <t>D17B0704000</t>
  </si>
  <si>
    <t>00102529183</t>
  </si>
  <si>
    <t>PRESÍDIO DE BOTELHOS</t>
  </si>
  <si>
    <t>A19N0095536</t>
  </si>
  <si>
    <t>00027250237</t>
  </si>
  <si>
    <t>B18F0007758</t>
  </si>
  <si>
    <t>00004919572</t>
  </si>
  <si>
    <t>PRESÍDIO DE BRUMADINHO</t>
  </si>
  <si>
    <t>A14Z0109737</t>
  </si>
  <si>
    <t>00011669012</t>
  </si>
  <si>
    <t>PRESÍDIO DE BURITIS</t>
  </si>
  <si>
    <t>D17B0704769</t>
  </si>
  <si>
    <t>00140295399</t>
  </si>
  <si>
    <t>A22G0206143</t>
  </si>
  <si>
    <t>00017552249</t>
  </si>
  <si>
    <t>PRESÍDIO DE CAMPESTRE</t>
  </si>
  <si>
    <t>Y20G0948475</t>
  </si>
  <si>
    <t>00004955030</t>
  </si>
  <si>
    <t>PRESÍDIO DE CANAPOLIS</t>
  </si>
  <si>
    <t>D18B0704321</t>
  </si>
  <si>
    <t>00006147348</t>
  </si>
  <si>
    <t>PRESÍDIO DE CAPELINHA</t>
  </si>
  <si>
    <t>A15F0030782</t>
  </si>
  <si>
    <t>00023705175</t>
  </si>
  <si>
    <t>B20G0015872</t>
  </si>
  <si>
    <t>00117550477</t>
  </si>
  <si>
    <t>PRESÍDIO DE CARANDAI</t>
  </si>
  <si>
    <t>Y25S1066727</t>
  </si>
  <si>
    <t>00009975616</t>
  </si>
  <si>
    <t>PRESÍDIO DE CARLOS CHAGAS</t>
  </si>
  <si>
    <t>B23G0004575</t>
  </si>
  <si>
    <t>00026229714</t>
  </si>
  <si>
    <t>PRESÍDIO DE CARMO DO RIO CLARO</t>
  </si>
  <si>
    <t>Y25L7114317</t>
  </si>
  <si>
    <t>00004509153</t>
  </si>
  <si>
    <t>PRESÍDIO DE CATAGUASES</t>
  </si>
  <si>
    <t>G23H0000051</t>
  </si>
  <si>
    <t>00026082756</t>
  </si>
  <si>
    <t>PRESÍDIO DE CONGONHAS</t>
  </si>
  <si>
    <t>D17B0703976
D17G0703912</t>
  </si>
  <si>
    <t>00108631036</t>
  </si>
  <si>
    <t>PRESÍDIO DE CONSELHEIRO LAFAIETE</t>
  </si>
  <si>
    <t>E17B0791216</t>
  </si>
  <si>
    <t>00014749564</t>
  </si>
  <si>
    <t>PRESÍDIO DE CORINTO</t>
  </si>
  <si>
    <t>B17B0702733</t>
  </si>
  <si>
    <t>00006290965</t>
  </si>
  <si>
    <t>PRESÍDIO DE COROMANDEL 1</t>
  </si>
  <si>
    <t>B18F0008499</t>
  </si>
  <si>
    <t>00005940389</t>
  </si>
  <si>
    <t>PRESÍDIO DE COROMANDEL 2</t>
  </si>
  <si>
    <t>D17B7000870</t>
  </si>
  <si>
    <t>00005940168</t>
  </si>
  <si>
    <t>PRESÍDIO DE COROMANDEL 3</t>
  </si>
  <si>
    <t>B18F0008497</t>
  </si>
  <si>
    <t>00005940397</t>
  </si>
  <si>
    <t>PRESÍDIO DE CORONEL FABRICIANO</t>
  </si>
  <si>
    <t>F15H0000381</t>
  </si>
  <si>
    <t>00114745943</t>
  </si>
  <si>
    <t>PRESÍDIO DE CURVELO</t>
  </si>
  <si>
    <t>A15F0035899
B19F0000505</t>
  </si>
  <si>
    <t>00006365027</t>
  </si>
  <si>
    <t>PRESÍDIO DE DIAMANTINA</t>
  </si>
  <si>
    <t>D18B0704211</t>
  </si>
  <si>
    <t>00023190744</t>
  </si>
  <si>
    <t>PRESÍDIO DE DIVINO</t>
  </si>
  <si>
    <t>Y25S1242901</t>
  </si>
  <si>
    <t>00012144959</t>
  </si>
  <si>
    <t>PRESÍDIO DE DIVINÓPOLIS (FLORAMAR)</t>
  </si>
  <si>
    <t>G23C8002525</t>
  </si>
  <si>
    <t>00100266118</t>
  </si>
  <si>
    <t>F17B0700370</t>
  </si>
  <si>
    <t>00107081512</t>
  </si>
  <si>
    <t>G24C8000117</t>
  </si>
  <si>
    <t>00163411018</t>
  </si>
  <si>
    <t>PRESÍDIO DE DIVINOPOLIS (FLORAMAR)</t>
  </si>
  <si>
    <t>Y23G1193877</t>
  </si>
  <si>
    <t>00006546196</t>
  </si>
  <si>
    <t>PRESÍDIO DE ERVÁLIA</t>
  </si>
  <si>
    <t>A18N0390900</t>
  </si>
  <si>
    <t>00010821031</t>
  </si>
  <si>
    <t>B22G0013293</t>
  </si>
  <si>
    <t>00168816261</t>
  </si>
  <si>
    <t>PRESÍDIO DE EUGENOPOLIS</t>
  </si>
  <si>
    <t>B22G0013808</t>
  </si>
  <si>
    <t>00022368400</t>
  </si>
  <si>
    <t>PRESÍDIO DE EXTREMA</t>
  </si>
  <si>
    <t>B20G0016707</t>
  </si>
  <si>
    <t>00018643850</t>
  </si>
  <si>
    <t>PRESÍDIO DE FRUTAL</t>
  </si>
  <si>
    <t>D18B0703081
D17B0705042</t>
  </si>
  <si>
    <t>00006017495</t>
  </si>
  <si>
    <t>PRESÍDIO DE GUARANÉSIA</t>
  </si>
  <si>
    <t>Y23S0097264</t>
  </si>
  <si>
    <t>00102996261</t>
  </si>
  <si>
    <t>G24C8000364</t>
  </si>
  <si>
    <t>00127698710</t>
  </si>
  <si>
    <t>PRESÍDIO DE GUAXUPE</t>
  </si>
  <si>
    <t>Y23G1147986</t>
  </si>
  <si>
    <t>00004628101</t>
  </si>
  <si>
    <t>PRESÍDIO DE INHAPIM</t>
  </si>
  <si>
    <t>A20G0207451</t>
  </si>
  <si>
    <t>00007828837</t>
  </si>
  <si>
    <t>D17B7043860</t>
  </si>
  <si>
    <t>00014749963</t>
  </si>
  <si>
    <t>PRESÍDIO DE ITACARAMBI</t>
  </si>
  <si>
    <t>A15N0026928</t>
  </si>
  <si>
    <t>00103496386</t>
  </si>
  <si>
    <t>A22S0206087</t>
  </si>
  <si>
    <t>00017561612</t>
  </si>
  <si>
    <t>Y23G1479192</t>
  </si>
  <si>
    <t>00142869163</t>
  </si>
  <si>
    <t>PRESÍDIO DE ITAJUBÁ</t>
  </si>
  <si>
    <t>A14Z0111998
J21S0100086</t>
  </si>
  <si>
    <t>00115038248</t>
  </si>
  <si>
    <t>PRESÍDIO DE ITAMARANDIBA</t>
  </si>
  <si>
    <t>Y22G1227121</t>
  </si>
  <si>
    <t>00006448640</t>
  </si>
  <si>
    <t xml:space="preserve">PRESÍDIO DE ITAOBIM </t>
  </si>
  <si>
    <t>E17B0791020</t>
  </si>
  <si>
    <t>00106427288</t>
  </si>
  <si>
    <t>PRESÍDIO DE ITAPAGIPE</t>
  </si>
  <si>
    <t>D18B0704505</t>
  </si>
  <si>
    <t>00006087787</t>
  </si>
  <si>
    <t>PRESÍDIO DE JABOTICATUBAS</t>
  </si>
  <si>
    <t>Y25S1333393</t>
  </si>
  <si>
    <t>00007185821</t>
  </si>
  <si>
    <t>PRESÍDIO DE JACINTO</t>
  </si>
  <si>
    <t>B22G0013321</t>
  </si>
  <si>
    <t>00007255411</t>
  </si>
  <si>
    <t>PRESÍDIO DE JANAÚBA</t>
  </si>
  <si>
    <t>A25H0016004</t>
  </si>
  <si>
    <t>00024091626</t>
  </si>
  <si>
    <t>A18N0346204</t>
  </si>
  <si>
    <t>00108248721</t>
  </si>
  <si>
    <t>B18F0007809
A18N0345841</t>
  </si>
  <si>
    <t>00020483406</t>
  </si>
  <si>
    <t>D17B0704461</t>
  </si>
  <si>
    <t>00108248747</t>
  </si>
  <si>
    <t>PRESÍDIO DE JANUÁRIA</t>
  </si>
  <si>
    <t>C20G0013308</t>
  </si>
  <si>
    <t>00123022835</t>
  </si>
  <si>
    <t>A15F0028429</t>
  </si>
  <si>
    <t>00020671997</t>
  </si>
  <si>
    <t>PRESÍDIO DE JEQUITINHONHA</t>
  </si>
  <si>
    <t>D19B7042850</t>
  </si>
  <si>
    <t>00152120220</t>
  </si>
  <si>
    <t>B17B0702576</t>
  </si>
  <si>
    <t>00007283831</t>
  </si>
  <si>
    <t>PRESÍDIO DE JOÃO PINHEIRO</t>
  </si>
  <si>
    <t>G15Z0000025</t>
  </si>
  <si>
    <t>00115081119</t>
  </si>
  <si>
    <t>PRESÍDIO DE JUATUBA</t>
  </si>
  <si>
    <t>B20G0012820</t>
  </si>
  <si>
    <t>00027664732</t>
  </si>
  <si>
    <t>PRESÍDIO DE LAGOA SANTA</t>
  </si>
  <si>
    <t>D17H0700017</t>
  </si>
  <si>
    <t>00003217418</t>
  </si>
  <si>
    <t>PRESÍDIO DE LAVRAS</t>
  </si>
  <si>
    <t>B20G0015854</t>
  </si>
  <si>
    <t>00005233577</t>
  </si>
  <si>
    <t>D17B7040590</t>
  </si>
  <si>
    <t>00117484423</t>
  </si>
  <si>
    <t>A22G0214312</t>
  </si>
  <si>
    <t>00016868111</t>
  </si>
  <si>
    <t>PRESÍDIO DE LEOPOLDINA</t>
  </si>
  <si>
    <t>C13S0007366</t>
  </si>
  <si>
    <t>00170884848</t>
  </si>
  <si>
    <t>PRESIDIO DE LUZ</t>
  </si>
  <si>
    <t>B22G0014959</t>
  </si>
  <si>
    <t>00006989284</t>
  </si>
  <si>
    <t>PRESÍDIO DE MALACACHETA</t>
  </si>
  <si>
    <t>D18B0704477</t>
  </si>
  <si>
    <t>00025541927</t>
  </si>
  <si>
    <t>PRESÍDIO DE MANGA</t>
  </si>
  <si>
    <t>D17B7040300</t>
  </si>
  <si>
    <t>00008830754</t>
  </si>
  <si>
    <t>PRESÍDIO DE MATOZINHOS</t>
  </si>
  <si>
    <t>D18B0704401</t>
  </si>
  <si>
    <t>00024584606</t>
  </si>
  <si>
    <t>PRESÍDIO DE MONTE SANTO DE MINAS</t>
  </si>
  <si>
    <t>D17B7000680</t>
  </si>
  <si>
    <t>00012590738</t>
  </si>
  <si>
    <t>PRESÍDIO DE MONTES CLAROS</t>
  </si>
  <si>
    <t>F17B0700361
K23C8002416
E18B0809842</t>
  </si>
  <si>
    <t>00114252408</t>
  </si>
  <si>
    <t>E18B0801579</t>
  </si>
  <si>
    <t>00133394191</t>
  </si>
  <si>
    <t>PRESÍDIO DE NOVA LIMA</t>
  </si>
  <si>
    <t>D17B7039830</t>
  </si>
  <si>
    <t>00011436387</t>
  </si>
  <si>
    <t>PRESÍDIO DE NOVA SERRANA</t>
  </si>
  <si>
    <t>D25H0000045</t>
  </si>
  <si>
    <t>00109281845</t>
  </si>
  <si>
    <t>Y23G1199850</t>
  </si>
  <si>
    <t>00118100793</t>
  </si>
  <si>
    <t>PRESÍDIO DE NOVO CRUZEIRO</t>
  </si>
  <si>
    <t>B17B0702673</t>
  </si>
  <si>
    <t>00008382701</t>
  </si>
  <si>
    <t xml:space="preserve">PRESÍDIO DE PARACATU </t>
  </si>
  <si>
    <t>E18B0809958</t>
  </si>
  <si>
    <t>00026143399</t>
  </si>
  <si>
    <t>PRESÍDIO DE PEÇANHA</t>
  </si>
  <si>
    <t>D18B0704414</t>
  </si>
  <si>
    <t>00012441996</t>
  </si>
  <si>
    <t>PRESÍDIO DE PEDRA AZUL</t>
  </si>
  <si>
    <t>Y25S1227471</t>
  </si>
  <si>
    <t>00007322721</t>
  </si>
  <si>
    <t>PRESÍDIO DE PEDRO LEOPOLDO</t>
  </si>
  <si>
    <t>E18B0801505</t>
  </si>
  <si>
    <t>00003180905</t>
  </si>
  <si>
    <t>PRESÍDIO DE PERDIZES</t>
  </si>
  <si>
    <t>B13L0016578
B18F0008556</t>
  </si>
  <si>
    <t>00005513383</t>
  </si>
  <si>
    <t>PRESÍDIO DE PORTEIRINHA</t>
  </si>
  <si>
    <t>C22G0002800</t>
  </si>
  <si>
    <t>00008683727</t>
  </si>
  <si>
    <t>PRESÍDIO DE POUSO ALEGRE I</t>
  </si>
  <si>
    <t>F18B0901210</t>
  </si>
  <si>
    <t>00115257586</t>
  </si>
  <si>
    <t>PRESÍDIO DE PRATA</t>
  </si>
  <si>
    <t>B13L0017073</t>
  </si>
  <si>
    <t>00006206671</t>
  </si>
  <si>
    <t>PRESÍDIO DE RESENDE COSTA</t>
  </si>
  <si>
    <t>B20G0015855</t>
  </si>
  <si>
    <t>00019603193</t>
  </si>
  <si>
    <t>PRESÍDIO DE RIO POMBA</t>
  </si>
  <si>
    <t>D18B7030560</t>
  </si>
  <si>
    <t>00010852484</t>
  </si>
  <si>
    <t>PRESÍDIO DE SABARÁ</t>
  </si>
  <si>
    <t>D17B0703934</t>
  </si>
  <si>
    <t>00018110355</t>
  </si>
  <si>
    <t>PRESÍDIO DE SALINAS</t>
  </si>
  <si>
    <t>B20G0016355</t>
  </si>
  <si>
    <t>00008724644</t>
  </si>
  <si>
    <t>PRESÍDIO DE SANTA LUZIA</t>
  </si>
  <si>
    <t>D18B7043130</t>
  </si>
  <si>
    <t>00013648411</t>
  </si>
  <si>
    <t>Y23G1025794</t>
  </si>
  <si>
    <t>00001294172</t>
  </si>
  <si>
    <t>PRESÍDIO DE SANTA RITA DO SAPUCAÍ</t>
  </si>
  <si>
    <t>D18B0701955</t>
  </si>
  <si>
    <t>00100890369</t>
  </si>
  <si>
    <t>A24H0009276</t>
  </si>
  <si>
    <t>00100973451</t>
  </si>
  <si>
    <t>PRESÍDIO DE SANTA VITÓRIA</t>
  </si>
  <si>
    <t>D18B8704318</t>
  </si>
  <si>
    <t>00012463141</t>
  </si>
  <si>
    <t>PRESÍDIO DE SANTOS DUMONT</t>
  </si>
  <si>
    <t>D17B0704038</t>
  </si>
  <si>
    <t>00010226711</t>
  </si>
  <si>
    <t>PRESÍDIO DE SÃO FRANCISCO</t>
  </si>
  <si>
    <t>B13S0027165</t>
  </si>
  <si>
    <t>00008860041</t>
  </si>
  <si>
    <t>B13S0026886</t>
  </si>
  <si>
    <t>00008860050</t>
  </si>
  <si>
    <t>PRESÍDIO DE SÃO JOÃO DA PONTE</t>
  </si>
  <si>
    <t>A24H0042448</t>
  </si>
  <si>
    <t>00116832789</t>
  </si>
  <si>
    <t>PRESÍDIO DE SÃO JOÃO EVANGELISTA</t>
  </si>
  <si>
    <t>B17B0702739</t>
  </si>
  <si>
    <t>00007583206</t>
  </si>
  <si>
    <t>PRESÍDIO DE SÃO JOAQUIM DE BICAS I</t>
  </si>
  <si>
    <t>F24G0800067</t>
  </si>
  <si>
    <t>00112602461</t>
  </si>
  <si>
    <t>PRESÍDIO DE SÃO JOAQUIM DE BICAS II</t>
  </si>
  <si>
    <t>F24G0800055</t>
  </si>
  <si>
    <t>00116049766</t>
  </si>
  <si>
    <t>PRESÍDIO DE SÃO SEBASTIÃO DO MARANHÃO</t>
  </si>
  <si>
    <t>Y20G0794446</t>
  </si>
  <si>
    <t>00008399905</t>
  </si>
  <si>
    <t>PRESÍDIO DE SÃO SEBASTIÃO DO PARAÍSO</t>
  </si>
  <si>
    <t>A20G0207690</t>
  </si>
  <si>
    <t>00027606635</t>
  </si>
  <si>
    <t>D17B7050270</t>
  </si>
  <si>
    <t>00122490266</t>
  </si>
  <si>
    <t>B22G0012768</t>
  </si>
  <si>
    <t>00004732561</t>
  </si>
  <si>
    <t>PRESÍDIO DE SERRO</t>
  </si>
  <si>
    <t>B20G0015879</t>
  </si>
  <si>
    <t>00006476503</t>
  </si>
  <si>
    <t>PRESÍDIO DE TAIOBEIRAS</t>
  </si>
  <si>
    <t>A24H0042412</t>
  </si>
  <si>
    <t>00008737649</t>
  </si>
  <si>
    <t>PRESÍDIO DE TARUMIRIM</t>
  </si>
  <si>
    <t>B18F0009012</t>
  </si>
  <si>
    <t>00007550464</t>
  </si>
  <si>
    <t>PRESÍDIO DE TEOFILO OTONI</t>
  </si>
  <si>
    <t>A24H0017769</t>
  </si>
  <si>
    <t>00126841900</t>
  </si>
  <si>
    <t>PRESÍDIO DE TIMÓTEO</t>
  </si>
  <si>
    <t>D18B7042570</t>
  </si>
  <si>
    <t>00023286440</t>
  </si>
  <si>
    <t>PRESÍDIO DE TRÊS MARIAS</t>
  </si>
  <si>
    <t>Y23G1494736</t>
  </si>
  <si>
    <t>00006255566</t>
  </si>
  <si>
    <t>PRESÍDIO DE TURMALINA</t>
  </si>
  <si>
    <t>B13S0027100</t>
  </si>
  <si>
    <t>00106487841</t>
  </si>
  <si>
    <t>PRESÍDIO DE UBÁ (NOVO PRESIDIO DE UBÁ)</t>
  </si>
  <si>
    <t>E10S0005058</t>
  </si>
  <si>
    <t>00180378236</t>
  </si>
  <si>
    <t>PRESÍDIO DE VARGINHA</t>
  </si>
  <si>
    <t>G24C8000135</t>
  </si>
  <si>
    <t>00019784082</t>
  </si>
  <si>
    <t>PRESÍDIO DE VARZEA DA PALMA</t>
  </si>
  <si>
    <t>B20G0013282
B20G0013289</t>
  </si>
  <si>
    <t>00009207082</t>
  </si>
  <si>
    <t>PRESÍDIO DE VESPASIANO</t>
  </si>
  <si>
    <t>F18B0901256
G15Z0004100</t>
  </si>
  <si>
    <t>00106895656</t>
  </si>
  <si>
    <t>PRESÍDIO DE VISCONDE DO RIO BRANCO</t>
  </si>
  <si>
    <t>Y25L7170490</t>
  </si>
  <si>
    <t>00023689153</t>
  </si>
  <si>
    <t>Y25S9033219</t>
  </si>
  <si>
    <t>00131144197</t>
  </si>
  <si>
    <t>Y25S9033211</t>
  </si>
  <si>
    <t>00022118004</t>
  </si>
  <si>
    <t>PRESÍDIO FEM. JOSÉ ABRANCHES GONÇALVES</t>
  </si>
  <si>
    <t>E18B0800416</t>
  </si>
  <si>
    <t>00016041500</t>
  </si>
  <si>
    <t>PRESÍDIO INSP. JOSÉ MARTINHO DRUMOND</t>
  </si>
  <si>
    <t>J18A0000130</t>
  </si>
  <si>
    <t>00111603986</t>
  </si>
  <si>
    <t>PRESÍDIO PRESIDENTE OLEGÁRIO</t>
  </si>
  <si>
    <t>B18F0008527
B22G0010893</t>
  </si>
  <si>
    <t>00005873631</t>
  </si>
  <si>
    <t>PRESÍDIO SEBASTIÃO SATIRO (PATOS DE MINAS)</t>
  </si>
  <si>
    <t xml:space="preserve">E17B0791248  E17B0791172        </t>
  </si>
  <si>
    <t>00025894595</t>
  </si>
  <si>
    <t>COPASA PATOS SANEAMENTO S.A.</t>
  </si>
  <si>
    <t xml:space="preserve"> 57.323.717/0001-91</t>
  </si>
  <si>
    <t>1450.01.0027097/2026-05</t>
  </si>
  <si>
    <t>1450.01.0047155/2026-87</t>
  </si>
  <si>
    <t>RISP 10 PATOS DE MINAS</t>
  </si>
  <si>
    <t xml:space="preserve">A19N0093325         </t>
  </si>
  <si>
    <t>00018097251</t>
  </si>
  <si>
    <t>CAMP - CENTRO DE APOIO MÉDICO PERICIAL</t>
  </si>
  <si>
    <t xml:space="preserve">B22G0013986        </t>
  </si>
  <si>
    <t>00114314365</t>
  </si>
  <si>
    <t>1450.01.0035900/2026-71</t>
  </si>
  <si>
    <t>1450.01.0045946/2026-41</t>
  </si>
  <si>
    <t>CRGPL - CENTRO DE REF. A GESTANTE PRIV. LIBERDADE</t>
  </si>
  <si>
    <t>B20G0016586  B22G0014034</t>
  </si>
  <si>
    <t>00115919775</t>
  </si>
  <si>
    <t>DEZEMBRO/2025</t>
  </si>
  <si>
    <t>CONCESSIONÁRIA (ABREV)</t>
  </si>
  <si>
    <t>MATRICULA</t>
  </si>
  <si>
    <t>BRUTO</t>
  </si>
  <si>
    <t>IR</t>
  </si>
  <si>
    <t>ENCARGOS</t>
  </si>
  <si>
    <t>LÍQUIDO</t>
  </si>
  <si>
    <t>M³</t>
  </si>
  <si>
    <t>N° SEI</t>
  </si>
  <si>
    <t>ENVIADO AO DED</t>
  </si>
  <si>
    <t>PAGO</t>
  </si>
  <si>
    <t>ENVIADO AO DED (2)</t>
  </si>
  <si>
    <t>PAGO (2)</t>
  </si>
  <si>
    <t>IR (3)</t>
  </si>
  <si>
    <t>ENVIADO AO DED (3)</t>
  </si>
  <si>
    <t>PAGO (3)</t>
  </si>
  <si>
    <t>ENVIADO AO DED (4)</t>
  </si>
  <si>
    <t>PAGO (4)</t>
  </si>
  <si>
    <t>BRUTO (5)</t>
  </si>
  <si>
    <t>IR (5)</t>
  </si>
  <si>
    <t>ENCARGOS (5)</t>
  </si>
  <si>
    <t>LÍQUIDO (5)</t>
  </si>
  <si>
    <t>M³ (5)</t>
  </si>
  <si>
    <t>VENCIMENTO (5)</t>
  </si>
  <si>
    <t>Nº SEI (5)</t>
  </si>
  <si>
    <t>ENVIADO AO DED (5)</t>
  </si>
  <si>
    <t>PAGO (5)</t>
  </si>
  <si>
    <t>Variação Consumo (5)</t>
  </si>
  <si>
    <t>Variação Financeiro (5)</t>
  </si>
  <si>
    <t>BRUTO (6)</t>
  </si>
  <si>
    <t>IR (6)</t>
  </si>
  <si>
    <t>ENCARGOS (6)</t>
  </si>
  <si>
    <t>LÍQUIDO (6)</t>
  </si>
  <si>
    <t>M³ (6)</t>
  </si>
  <si>
    <t>VENCIMENTO (5)2</t>
  </si>
  <si>
    <t>Nº SEI (6)</t>
  </si>
  <si>
    <t>ENVIADO AO DED (6)</t>
  </si>
  <si>
    <t>PAGO (6)</t>
  </si>
  <si>
    <t>Variação Consumo (6)</t>
  </si>
  <si>
    <t>Variação Financeiro (6)</t>
  </si>
  <si>
    <t>BRUTO (7)</t>
  </si>
  <si>
    <t>IR (7)</t>
  </si>
  <si>
    <t>ENCARGOS (7)</t>
  </si>
  <si>
    <t>LÍQUIDO (7)</t>
  </si>
  <si>
    <t>M³ (7)</t>
  </si>
  <si>
    <t>VENCIMENTO (7)</t>
  </si>
  <si>
    <t>Nº SEI (7)</t>
  </si>
  <si>
    <t>ENVIADO AO DED (7)</t>
  </si>
  <si>
    <t>PAGO (7)</t>
  </si>
  <si>
    <t>Variação Consumo (7)</t>
  </si>
  <si>
    <t>Variação Financeiro (7)</t>
  </si>
  <si>
    <t>BRUTO (8)</t>
  </si>
  <si>
    <t>IR (8)</t>
  </si>
  <si>
    <t>ENCARGOS (8)</t>
  </si>
  <si>
    <t>LÍQUIDO (8)</t>
  </si>
  <si>
    <t>M³ (8)</t>
  </si>
  <si>
    <t>VENCIMENTO (8)</t>
  </si>
  <si>
    <t>Nº SEI (8)</t>
  </si>
  <si>
    <t>ENVIADO AO DED (8)</t>
  </si>
  <si>
    <t>PAGO (8)</t>
  </si>
  <si>
    <t>Variação Consumo (8)</t>
  </si>
  <si>
    <t>Variação Financeiro (8)</t>
  </si>
  <si>
    <t>BRUTO (9)</t>
  </si>
  <si>
    <t>IR (9)</t>
  </si>
  <si>
    <t>ENCARGOS (9)</t>
  </si>
  <si>
    <t>LÍQUIDO (9)</t>
  </si>
  <si>
    <t>M³ (9)</t>
  </si>
  <si>
    <t>VENCIMENTO (9)</t>
  </si>
  <si>
    <t>Nº SEI (9)</t>
  </si>
  <si>
    <t>ENVIADO AO DED (9)</t>
  </si>
  <si>
    <t>PAGO (9)</t>
  </si>
  <si>
    <t>Variação Consumo (9)</t>
  </si>
  <si>
    <t>Variação Financeiro (9)</t>
  </si>
  <si>
    <t>BRUTO (10)</t>
  </si>
  <si>
    <t>IR (10)</t>
  </si>
  <si>
    <t>ENCARGOS (10)</t>
  </si>
  <si>
    <t>LÍQUIDO (10)</t>
  </si>
  <si>
    <t>M³ (10)</t>
  </si>
  <si>
    <t>VENCIMENTO (10)</t>
  </si>
  <si>
    <t>Nº SEI (10)</t>
  </si>
  <si>
    <t>ENVIADO AO DED (10)</t>
  </si>
  <si>
    <t>PAGO (10)</t>
  </si>
  <si>
    <t>Variação Consumo (10)</t>
  </si>
  <si>
    <t>Variação Financeiro (10)</t>
  </si>
  <si>
    <t>BRUTO (11)</t>
  </si>
  <si>
    <t>IR (11)</t>
  </si>
  <si>
    <t>ENCARGOS (11)</t>
  </si>
  <si>
    <t>LÍQUIDO (11)</t>
  </si>
  <si>
    <t>M³ (11)</t>
  </si>
  <si>
    <t>VENCIMENTO (11)</t>
  </si>
  <si>
    <t>Nº SEi (11)</t>
  </si>
  <si>
    <t>ENVIADO AO DED (11)</t>
  </si>
  <si>
    <t>PAGO (11)</t>
  </si>
  <si>
    <t>Variação Consumo (11)</t>
  </si>
  <si>
    <t>Variação Financeiro (11)</t>
  </si>
  <si>
    <t>BRUTO (12)</t>
  </si>
  <si>
    <t>VENCIMENTO (12)</t>
  </si>
  <si>
    <t>Nº SEI (12)</t>
  </si>
  <si>
    <t>ENVIADO AO DED (12)</t>
  </si>
  <si>
    <t>PAGO (12)</t>
  </si>
  <si>
    <t>Variação Consumo (12)</t>
  </si>
  <si>
    <t>Variação Financeiro (12)</t>
  </si>
  <si>
    <t>HOSPITAL TOXICÔMANO PADRE WILSON VALE DA COSTA</t>
  </si>
  <si>
    <t>B25R000333</t>
  </si>
  <si>
    <t>CESAMA</t>
  </si>
  <si>
    <t>CESAMA - COMPANHIA DE SANEAMENTO MUNICIPAL</t>
  </si>
  <si>
    <t>21.572.243/0001-74</t>
  </si>
  <si>
    <t>151884692</t>
  </si>
  <si>
    <t>407</t>
  </si>
  <si>
    <t>28/02/2025</t>
  </si>
  <si>
    <t>1450.01.0254416/2025-70</t>
  </si>
  <si>
    <t>30/04/2026</t>
  </si>
  <si>
    <t>F23SG0000793</t>
  </si>
  <si>
    <t>441208851</t>
  </si>
  <si>
    <t>1559</t>
  </si>
  <si>
    <t>30/03/2026</t>
  </si>
  <si>
    <t>1450.01.0052306/2026-11</t>
  </si>
  <si>
    <t>CASA ALB JOSE A ROGEDO</t>
  </si>
  <si>
    <t>A20L594432</t>
  </si>
  <si>
    <t>108800628</t>
  </si>
  <si>
    <t>80</t>
  </si>
  <si>
    <t>PENITENCIARIA JOSE EDSON CAVALIERI - JUIZ DE FORA</t>
  </si>
  <si>
    <t>D24G015410</t>
  </si>
  <si>
    <t>441213774</t>
  </si>
  <si>
    <t>1479</t>
  </si>
  <si>
    <t>G20HV00067</t>
  </si>
  <si>
    <t>441218491</t>
  </si>
  <si>
    <t>11404</t>
  </si>
  <si>
    <t>D25SG001106</t>
  </si>
  <si>
    <t>443715351</t>
  </si>
  <si>
    <t>1698</t>
  </si>
  <si>
    <t xml:space="preserve">CERESP JUIZ DE FORA  </t>
  </si>
  <si>
    <t>D20L001883</t>
  </si>
  <si>
    <t>443712760</t>
  </si>
  <si>
    <t>231</t>
  </si>
  <si>
    <t>F23SG0000797</t>
  </si>
  <si>
    <t>443717052</t>
  </si>
  <si>
    <t>7734</t>
  </si>
  <si>
    <t>28/02/2026</t>
  </si>
  <si>
    <t>PENITENCIÁRIA PROFESSOR ARIOSVALDO CAMPOS PIRES (Unidade envia)</t>
  </si>
  <si>
    <t>C19L001539/G20HV00058</t>
  </si>
  <si>
    <t>151116369</t>
  </si>
  <si>
    <t>19286</t>
  </si>
  <si>
    <t>31/12/2025</t>
  </si>
  <si>
    <t>26/03/2026</t>
  </si>
  <si>
    <t>1450.01.0031780/2026-52</t>
  </si>
  <si>
    <t>26/04/2026</t>
  </si>
  <si>
    <t>1450.01.0054950/2026-15</t>
  </si>
  <si>
    <t>IRPJ (12)</t>
  </si>
  <si>
    <t>IRPJ (1)</t>
  </si>
  <si>
    <t>IRPJ (2)</t>
  </si>
  <si>
    <t>LÍQUIDO (2)</t>
  </si>
  <si>
    <t>IRPJ (3)</t>
  </si>
  <si>
    <t>IRPJ (4)</t>
  </si>
  <si>
    <t>IRPJ (5)</t>
  </si>
  <si>
    <t>IRPJ (6)</t>
  </si>
  <si>
    <t>IRPJ (7)</t>
  </si>
  <si>
    <t>IRPJ (8)</t>
  </si>
  <si>
    <t>Coluna6</t>
  </si>
  <si>
    <t>IRPJ (9)</t>
  </si>
  <si>
    <t>IRPJ (10)</t>
  </si>
  <si>
    <t>IRPJ (11)</t>
  </si>
  <si>
    <t>BRUTO (12)2</t>
  </si>
  <si>
    <t>IRPJ (12)2</t>
  </si>
  <si>
    <t>ENCARGOS (12)2</t>
  </si>
  <si>
    <t>LÍQUIDO (12)2</t>
  </si>
  <si>
    <t>M³ (12)2</t>
  </si>
  <si>
    <t>VENCIMENTO (12)2</t>
  </si>
  <si>
    <t>Nº SEI (12)2</t>
  </si>
  <si>
    <t>ENVIADO AO DED (12)2</t>
  </si>
  <si>
    <t>PAGO (12)2</t>
  </si>
  <si>
    <t>16ª REGIÃO INTEGRADA DE SEGURANÇA PÚBLICA (UNAÍ)</t>
  </si>
  <si>
    <t>05248-0</t>
  </si>
  <si>
    <t>A19C079699</t>
  </si>
  <si>
    <t>SAAE UNAÍ</t>
  </si>
  <si>
    <t>SAAE - SERVICO MUNICIPAL DE SANEAMENTO BASICO - UNAI</t>
  </si>
  <si>
    <t>25.838.855/0001-17</t>
  </si>
  <si>
    <t>1450.01.0247931/2025-80</t>
  </si>
  <si>
    <t>1450.01.0005965/2026-15</t>
  </si>
  <si>
    <t>1450.01.0025293/2026-19</t>
  </si>
  <si>
    <t>1450.01.0048529/2026-43</t>
  </si>
  <si>
    <t xml:space="preserve">COMPLEXO PENITENCIÁRIO DOUTOR PIO CANEDO </t>
  </si>
  <si>
    <t>0900008831 - 9</t>
  </si>
  <si>
    <t>F21CT086920</t>
  </si>
  <si>
    <t>ÁGUAS DE PARÁ DE MINAS</t>
  </si>
  <si>
    <t>ÁGUAS DE PARÁ DE MINAS S.A.</t>
  </si>
  <si>
    <t>18.434.424/0001-15</t>
  </si>
  <si>
    <t>1450.01.0253097/2025-84</t>
  </si>
  <si>
    <t>1450.01.0008966/2026-80</t>
  </si>
  <si>
    <t>1450.01.0033438/2026-03</t>
  </si>
  <si>
    <t>1450.01.0053393/2026-53</t>
  </si>
  <si>
    <t>HOSPITAL PSIQUIÁTRICO E JUDICIÁRIO JORGE VAZ</t>
  </si>
  <si>
    <t>0006929.0</t>
  </si>
  <si>
    <t>B21G024005</t>
  </si>
  <si>
    <t>SAS BARBACENA</t>
  </si>
  <si>
    <t>SAS - SERVICO DE AGUA E SANEAMENTO - BARBACENA</t>
  </si>
  <si>
    <t>17.714.486/0001-22</t>
  </si>
  <si>
    <t>1450.01.0244530/2025-48</t>
  </si>
  <si>
    <t>1450.01.0001797/2026-31</t>
  </si>
  <si>
    <t>1450.01.0054157/2026-86</t>
  </si>
  <si>
    <t>1450.01.0060323/2026-56</t>
  </si>
  <si>
    <t>PENITENCIÁRIA DEPUTADO EXPEDITO DE FARIA TAVARES (PATROCINIO)</t>
  </si>
  <si>
    <t>5000001</t>
  </si>
  <si>
    <t>K1313501709</t>
  </si>
  <si>
    <t>DAEPA</t>
  </si>
  <si>
    <t>DAEPA - DEPARTAMENTO DE AGUA E ESGOTO DE PATROCINIO</t>
  </si>
  <si>
    <t>20.266.755/0001-40</t>
  </si>
  <si>
    <t>1450.01.0255357/2025-77</t>
  </si>
  <si>
    <t>1450.01.0006587/2026-02</t>
  </si>
  <si>
    <t>1450.01.0033157/2026-24</t>
  </si>
  <si>
    <t>1450.01.0050748/2026-76</t>
  </si>
  <si>
    <t>PENITENCIÁRIA PROFESSOR ALUÍZIO IGNÁCIO DE OLIVEIRA</t>
  </si>
  <si>
    <t>0000082375</t>
  </si>
  <si>
    <t>F222056141</t>
  </si>
  <si>
    <t>CODAU</t>
  </si>
  <si>
    <t>CODAU - CENTRO OPERACIONAL DE DESENVOLVIMENTO E SANEAMENTO DE UBERABA</t>
  </si>
  <si>
    <t>25.433.004/0001-94</t>
  </si>
  <si>
    <t>1450.01.0256110/2025-19</t>
  </si>
  <si>
    <t>1450.01.0010765/2026-07</t>
  </si>
  <si>
    <t>1450.01.0033483/2026-49</t>
  </si>
  <si>
    <t>1450.01.0064322/2026-44</t>
  </si>
  <si>
    <t>0000101490</t>
  </si>
  <si>
    <t>F222056134</t>
  </si>
  <si>
    <t>PENITENCIÁRIA DE FORMIGA</t>
  </si>
  <si>
    <t>28185-7</t>
  </si>
  <si>
    <t>F23SG0000057</t>
  </si>
  <si>
    <t xml:space="preserve">SAAE </t>
  </si>
  <si>
    <t>SAAE - SERVICO AUTONOMO DE AGUA E ESGOTO - FORMIGA</t>
  </si>
  <si>
    <t>16.782.211/0001-63</t>
  </si>
  <si>
    <t>28185</t>
  </si>
  <si>
    <t>71628185@03</t>
  </si>
  <si>
    <t>1450.01.0250793/2025-18</t>
  </si>
  <si>
    <t>1450.01.0007574/2026-28</t>
  </si>
  <si>
    <t>1450.01.0033838/2026-67</t>
  </si>
  <si>
    <t>1450.01.0064510/2026-12</t>
  </si>
  <si>
    <t>PENITENCIÁRIA DE MURIAÉ - PENITENCIÁRIA MANOEL MARTINS LISBOA</t>
  </si>
  <si>
    <t>DEMSUR</t>
  </si>
  <si>
    <t>DEMSUR - DEPARTAMENTO MUNICIPAL DE SANEAMENTO URBANO  MURIAE</t>
  </si>
  <si>
    <t>02.318.396/0001-45</t>
  </si>
  <si>
    <t>1450.01.0002864/2026-31</t>
  </si>
  <si>
    <t>1450.01.0022683/2026-67</t>
  </si>
  <si>
    <t>1450.01.0048071/2026-90</t>
  </si>
  <si>
    <t>PENITENCIÁRIA DE PONTE NOVA</t>
  </si>
  <si>
    <t>15871-7_x000D_</t>
  </si>
  <si>
    <t>K17GA00122</t>
  </si>
  <si>
    <t>DMAES</t>
  </si>
  <si>
    <t>DMAES - DEPARTAMENTO MUNICIPAL DE AGUA, ESGOTO E SANEAMENTO - PONTE NOVA</t>
  </si>
  <si>
    <t>23.802.507/0001-64</t>
  </si>
  <si>
    <t>70115871@K</t>
  </si>
  <si>
    <t>1450.01.0004067/2026-45</t>
  </si>
  <si>
    <t>1450.01.0024753/2026-49</t>
  </si>
  <si>
    <t>1450.01.0046036/2026-36</t>
  </si>
  <si>
    <t>PENITENCIÁRIA FRANCISCO FLORIANO DE PAULA</t>
  </si>
  <si>
    <t>923193-5</t>
  </si>
  <si>
    <t>AGUAS DE VALADARES</t>
  </si>
  <si>
    <t>AGUAS DE GOVERNADOR VALADARES SPE SA</t>
  </si>
  <si>
    <t>53.667.104/0001-10</t>
  </si>
  <si>
    <t>1450.01.0004359/2026-18</t>
  </si>
  <si>
    <t>1450.01.0025120/2026-34</t>
  </si>
  <si>
    <t>1450.01.0043020/2026-85</t>
  </si>
  <si>
    <t>PEN. PROF. JOSÉ PIMENTA DA VEIGA</t>
  </si>
  <si>
    <t>000133351-8</t>
  </si>
  <si>
    <t>J19GA00086</t>
  </si>
  <si>
    <t>DMAE UBERLANDIA</t>
  </si>
  <si>
    <t>DMAE - DEPARTAMENTO MUNICIPAL DE AGUA E ESGOTO - UBERLÂNDIA</t>
  </si>
  <si>
    <t>25.769.548/0001-21</t>
  </si>
  <si>
    <t>1450.01.0006654/2026-36</t>
  </si>
  <si>
    <t>1450.01.0031199/2026-25</t>
  </si>
  <si>
    <t>1450.01.0056278/2026-49</t>
  </si>
  <si>
    <t>PRESÍDIO DE ABRE CAMPO</t>
  </si>
  <si>
    <t>03074-2</t>
  </si>
  <si>
    <t>E22L000674</t>
  </si>
  <si>
    <t>SAAE</t>
  </si>
  <si>
    <t>SAAE - SERVICO AUTONOMO DE AGUA E ESGOTO - ABRE CAMPO</t>
  </si>
  <si>
    <t>20.516.886/0001-38</t>
  </si>
  <si>
    <t>2043074@A</t>
  </si>
  <si>
    <t>1450.01.0242205/2025-64</t>
  </si>
  <si>
    <t>1450.01.0003735/2026-85</t>
  </si>
  <si>
    <t>1450.01.0026318/2026-86</t>
  </si>
  <si>
    <t>1450.01.0048396/2026-45</t>
  </si>
  <si>
    <t>PRESIDIO DE AIMORÉS</t>
  </si>
  <si>
    <t>223-8</t>
  </si>
  <si>
    <t>B21G023427</t>
  </si>
  <si>
    <t>SAAE - SERVICO AUTONOMO DE AGUA E ESGOTO -  AIMORÉS</t>
  </si>
  <si>
    <t>16.978.926/0001-96</t>
  </si>
  <si>
    <t>#00005417</t>
  </si>
  <si>
    <t>1450.01.0245118/2025-80</t>
  </si>
  <si>
    <t>1450.01.0002814/2026-23</t>
  </si>
  <si>
    <t>1450.01.0021912/2026-29</t>
  </si>
  <si>
    <t>1450.01.0042555/2026-30</t>
  </si>
  <si>
    <t>PRESÍDIO DE ARAGUARI</t>
  </si>
  <si>
    <t>32499-0</t>
  </si>
  <si>
    <t>D18N000265</t>
  </si>
  <si>
    <t>SAE</t>
  </si>
  <si>
    <t>SAE - SUPERINTENDENCIA DE AGUA E ESGOTO - ARAGUARI</t>
  </si>
  <si>
    <t>16.829.475/0001-25</t>
  </si>
  <si>
    <t>00132499@340</t>
  </si>
  <si>
    <t>1450.01.0013158/2026-95</t>
  </si>
  <si>
    <t>1450.01.0034966/2026-69</t>
  </si>
  <si>
    <t>1450.01.0055391/2026-39</t>
  </si>
  <si>
    <t xml:space="preserve">PRESÍDIO DE ARAGUARI </t>
  </si>
  <si>
    <t>43869-3</t>
  </si>
  <si>
    <t>F21H000842</t>
  </si>
  <si>
    <t>30143869@340</t>
  </si>
  <si>
    <t>PRESÍDIO DE BARBACENA</t>
  </si>
  <si>
    <t>0034412.9</t>
  </si>
  <si>
    <t>E14C000145</t>
  </si>
  <si>
    <t>SAS</t>
  </si>
  <si>
    <t>1450.01.0252828/2025-72</t>
  </si>
  <si>
    <t>1450.01.0009149/2026-86</t>
  </si>
  <si>
    <t>1450.01.0030923/2026-08</t>
  </si>
  <si>
    <t>1450.01.0052423/2026-53</t>
  </si>
  <si>
    <t>PRESÍDIO DE BOA ESPERANÇA</t>
  </si>
  <si>
    <t>04771-2</t>
  </si>
  <si>
    <t>Y20G545426</t>
  </si>
  <si>
    <t>SAAE - SERVICO AUTONOMO DE AGUA E ESGOTO - BOA ESPERANÇA</t>
  </si>
  <si>
    <t>18.781.070/0001-90</t>
  </si>
  <si>
    <t>2104771@D</t>
  </si>
  <si>
    <t>1450.01.0252252/2025-07</t>
  </si>
  <si>
    <t>1450.01.0016383/2026-29</t>
  </si>
  <si>
    <t>1450.01.0033482/2026-76</t>
  </si>
  <si>
    <t>1450.01.0058012/2026-82</t>
  </si>
  <si>
    <t xml:space="preserve">PRESÍDIO DE BOCAIÚVA </t>
  </si>
  <si>
    <t>15685-1</t>
  </si>
  <si>
    <t>B17G000427</t>
  </si>
  <si>
    <t>SAAE - SERVICO AUTONOMO DE AGUA E ESGOTO - BOCAIÚVA</t>
  </si>
  <si>
    <t>19.116.243/0001-18</t>
  </si>
  <si>
    <t>10115685@L</t>
  </si>
  <si>
    <t>1450.01.0003724/2026-91</t>
  </si>
  <si>
    <t>1450.01.0012172/2026-42</t>
  </si>
  <si>
    <t>1450.01.0052083/2026-18</t>
  </si>
  <si>
    <t>1450.01.0059617/2026-09</t>
  </si>
  <si>
    <t>4348-9</t>
  </si>
  <si>
    <t>B17G000292</t>
  </si>
  <si>
    <t>9014348@L</t>
  </si>
  <si>
    <t xml:space="preserve">PRESÍDIO DE CAETÉ </t>
  </si>
  <si>
    <t>14490-7</t>
  </si>
  <si>
    <t>A23R186822</t>
  </si>
  <si>
    <t>SAAE - SERVICO AUTONOMO DE AGUA E ESGOTO - CAETÉ</t>
  </si>
  <si>
    <t>19.893.791/0001-54</t>
  </si>
  <si>
    <t>70414490@J</t>
  </si>
  <si>
    <t>1450.01.0255804/2025-36</t>
  </si>
  <si>
    <t>1450.01.0010032/2026-10</t>
  </si>
  <si>
    <t>1450.01.0031840/2026-81</t>
  </si>
  <si>
    <t>1450.01.0060703/2026-78</t>
  </si>
  <si>
    <t>PRESÍDIO DE CAMPO BELO</t>
  </si>
  <si>
    <t>C14C002370</t>
  </si>
  <si>
    <t>DEMAE</t>
  </si>
  <si>
    <t>DEMAE - DEPARTAMENTO MUNICIPAL DE AGUA E ESGOTO - CAMPO BELO</t>
  </si>
  <si>
    <t>19.130.038/0001-07</t>
  </si>
  <si>
    <t>50800037</t>
  </si>
  <si>
    <t>5080003700146020</t>
  </si>
  <si>
    <t>1450.01.0000027/2026-97</t>
  </si>
  <si>
    <t>1450.01.0022927/2026-75</t>
  </si>
  <si>
    <t>1450.01.0043068/2026-50</t>
  </si>
  <si>
    <t>PRESÍDIO DE CARANGOLA</t>
  </si>
  <si>
    <t xml:space="preserve"> 02106-3_x000D_</t>
  </si>
  <si>
    <t>E13L001205</t>
  </si>
  <si>
    <t>SEMASA</t>
  </si>
  <si>
    <t>SEMASA - SERVICO MUNICIPAL DE SANEAMENTO BASICO E INFRAESTRUTURA</t>
  </si>
  <si>
    <t>17.726.399/0001-95</t>
  </si>
  <si>
    <t>30202106@E</t>
  </si>
  <si>
    <t>1450.01.0250874/2025-62</t>
  </si>
  <si>
    <t>1450.01.0007309/2026-05</t>
  </si>
  <si>
    <t>1450.01.0038290/2026-46</t>
  </si>
  <si>
    <t>1450.01.0049066/2026-94</t>
  </si>
  <si>
    <t>PRESÍDIO DE CONSELHEIRO PENA</t>
  </si>
  <si>
    <t>2233-5</t>
  </si>
  <si>
    <t>A14G688943</t>
  </si>
  <si>
    <t>SAAE - SERVICO AUTONOMO DE AGUA E ESGOTO - CONSELHEIRO PENA</t>
  </si>
  <si>
    <t>19.767.532/0001-87</t>
  </si>
  <si>
    <t>5072233@D</t>
  </si>
  <si>
    <t>1450.01.0250075/2025-04</t>
  </si>
  <si>
    <t>1450.01.0008696/2026-95</t>
  </si>
  <si>
    <t>1450.01.0029273/2026-35</t>
  </si>
  <si>
    <t>1450.01.0051259/2026-53</t>
  </si>
  <si>
    <t>PRESÍDIO DE GOVERNADOR VALADARES</t>
  </si>
  <si>
    <t>664103-2</t>
  </si>
  <si>
    <t>F24DM0000310</t>
  </si>
  <si>
    <t>1450.01.0246478/2025-26</t>
  </si>
  <si>
    <t>1450.01.0008401/2026-09</t>
  </si>
  <si>
    <t>1450.01.0031114/2026-89</t>
  </si>
  <si>
    <t>1450.01.0048195/2026-40</t>
  </si>
  <si>
    <t>663999-2</t>
  </si>
  <si>
    <t>D22AA0000350</t>
  </si>
  <si>
    <t>PRESÍDIO DE GUANHÃES</t>
  </si>
  <si>
    <t>01026-4</t>
  </si>
  <si>
    <t>4031026@B</t>
  </si>
  <si>
    <t>SAAE - SERVICO AUTONOMO DE AGUA E ESGOTO - GUANHÃES</t>
  </si>
  <si>
    <t>21.250.048/0001-28</t>
  </si>
  <si>
    <t>1026-4</t>
  </si>
  <si>
    <t>1450.01.0248344/2025-84</t>
  </si>
  <si>
    <t>1450.01.0004930/2026-24</t>
  </si>
  <si>
    <t>1450.01.0026748/2026-19</t>
  </si>
  <si>
    <t>1450.01.0049038/2026-74</t>
  </si>
  <si>
    <t>PRESÍDIO DE ITAMBACURI</t>
  </si>
  <si>
    <t>00254-3</t>
  </si>
  <si>
    <t>Y20SG0412042</t>
  </si>
  <si>
    <t>SAAE - SERVICO AUTONOMO DE AGUA E ESGOTO - ITAMBACURI</t>
  </si>
  <si>
    <t>21.161.690/0001-30</t>
  </si>
  <si>
    <t>305254@A</t>
  </si>
  <si>
    <t>1450.01.0254931/2025-36</t>
  </si>
  <si>
    <t>1450.01.0010763/2026-61</t>
  </si>
  <si>
    <t>1450.01.0038448/2026-48</t>
  </si>
  <si>
    <t>1450.01.0054959/2026-63</t>
  </si>
  <si>
    <t>PRESÍDIO DE ITAÚNA</t>
  </si>
  <si>
    <t>27580-0</t>
  </si>
  <si>
    <t>B12N004876</t>
  </si>
  <si>
    <t>SAAE - SERVICO AUTONOMO DE AGUA E ESGOTO - ITAÚNA</t>
  </si>
  <si>
    <t>21.260.443/0001-91</t>
  </si>
  <si>
    <t>00227580@7</t>
  </si>
  <si>
    <t>1450.01.0254306/2025-33</t>
  </si>
  <si>
    <t>1450.01.0011090/2026-59</t>
  </si>
  <si>
    <t>1450.01.0032415/2026-76</t>
  </si>
  <si>
    <t>1450.01.0052777/2026-98</t>
  </si>
  <si>
    <t>27128-8</t>
  </si>
  <si>
    <t>B12N004875</t>
  </si>
  <si>
    <t>80227128@7</t>
  </si>
  <si>
    <t>PRESÍDIO DE ITUIUTABA</t>
  </si>
  <si>
    <t>135118-0</t>
  </si>
  <si>
    <t>E16D000607</t>
  </si>
  <si>
    <t>SAE - SUPERINTENDENCIA DE AGUA E ESGOTO - ITUIUTABA</t>
  </si>
  <si>
    <t>17.819.061/0001-88</t>
  </si>
  <si>
    <t>1450.01.0254763/2025-13</t>
  </si>
  <si>
    <t>1450.01.0003403/2026-28</t>
  </si>
  <si>
    <t>1450.01.0027419/2026-41</t>
  </si>
  <si>
    <t>1450.01.0048996/2026-44</t>
  </si>
  <si>
    <t>PRESÍDIO DE JOÃO MONLEVADE</t>
  </si>
  <si>
    <t>B19F005949</t>
  </si>
  <si>
    <t>DAE</t>
  </si>
  <si>
    <t>DAE - DEPARTAMENTO DE AGUA E ESGOTO - JOÃO MONLEVADE</t>
  </si>
  <si>
    <t>17.058.108/0001-38</t>
  </si>
  <si>
    <t>35082-7</t>
  </si>
  <si>
    <t>1450.01.0254945/2025-46</t>
  </si>
  <si>
    <t>1450.01.0016176/2026-89</t>
  </si>
  <si>
    <t>1450.01.0038744/2026-10</t>
  </si>
  <si>
    <t>1450.01.0061571/2026-19</t>
  </si>
  <si>
    <t>PRESÍDIO DE LAGOA DA PRATA</t>
  </si>
  <si>
    <t>13724-0</t>
  </si>
  <si>
    <t>A13G110675</t>
  </si>
  <si>
    <t>SAAE - SERVICO AUTONOMO DE AGUA E ESGOTO - LAGOA DA PRATA</t>
  </si>
  <si>
    <t>18.423.582/0001-84</t>
  </si>
  <si>
    <t>00113724@L</t>
  </si>
  <si>
    <t>1450.01.0241471/2025-94</t>
  </si>
  <si>
    <t>1450.01.0016291/2026-88</t>
  </si>
  <si>
    <t>1450.01.0037522/2026-24</t>
  </si>
  <si>
    <t>1450.01.0060188/2026-15</t>
  </si>
  <si>
    <t>8145-5</t>
  </si>
  <si>
    <t>D16N001442</t>
  </si>
  <si>
    <t>5018145@L</t>
  </si>
  <si>
    <t>21917-0</t>
  </si>
  <si>
    <t>A20G667586</t>
  </si>
  <si>
    <t>00121917@L</t>
  </si>
  <si>
    <t>PRESÍDIO DE LUZ</t>
  </si>
  <si>
    <t>05546-7</t>
  </si>
  <si>
    <t>B22G014959</t>
  </si>
  <si>
    <t>SAAE - SERVICO AUTONOMO DE AGUA E ESGOTO - LUZ</t>
  </si>
  <si>
    <t>12.989.105/0001-02</t>
  </si>
  <si>
    <t xml:space="preserve"> 7125546@01</t>
  </si>
  <si>
    <t>1450.01.0255618/2025-14</t>
  </si>
  <si>
    <t>1450.01.0026567/2026-56</t>
  </si>
  <si>
    <t>1450.01.0042098/2026-50</t>
  </si>
  <si>
    <t xml:space="preserve">PRESÍDIO DE MANHUAÇU </t>
  </si>
  <si>
    <t xml:space="preserve"> 04810-8</t>
  </si>
  <si>
    <t>Y13G112456</t>
  </si>
  <si>
    <t>SAAE - SERVICO AUTONOMO DE AGUA E ESGOTO - MANHUAÇU</t>
  </si>
  <si>
    <t>22.050.561/0001-38</t>
  </si>
  <si>
    <t>8464810@F</t>
  </si>
  <si>
    <t>1450.01.0254905/2025-59</t>
  </si>
  <si>
    <t>1450.01.0012861/2026-63</t>
  </si>
  <si>
    <t>1450.01.0038325/2026-71</t>
  </si>
  <si>
    <t>1450.01.0060662/2026-21</t>
  </si>
  <si>
    <t xml:space="preserve"> 06316-4</t>
  </si>
  <si>
    <t>E16N000013</t>
  </si>
  <si>
    <t>4466316@F</t>
  </si>
  <si>
    <t>PRESÍDIO DE MANHUMIRIM</t>
  </si>
  <si>
    <t xml:space="preserve"> 03342-3</t>
  </si>
  <si>
    <t>A25LN0029140</t>
  </si>
  <si>
    <t>SAAE - SERVICO AUTONOMO DE AGUA E ESGOTO - MANHUMIRIM</t>
  </si>
  <si>
    <t>11.433.440/0001-59</t>
  </si>
  <si>
    <t>3103342@01</t>
  </si>
  <si>
    <t>1450.01.0002106/2026-30</t>
  </si>
  <si>
    <t>1450.01.0017056/2026-94</t>
  </si>
  <si>
    <t>1450.01.0057363/2026-48</t>
  </si>
  <si>
    <t>PRESÍDIO DE MANTENA</t>
  </si>
  <si>
    <t xml:space="preserve"> 01782-2</t>
  </si>
  <si>
    <t>D03N000337</t>
  </si>
  <si>
    <t>SAAE - SERVICO AUTONOMO DE AGUA E ESGOTO - MANTENA</t>
  </si>
  <si>
    <t>18.503.466/0001-75</t>
  </si>
  <si>
    <t>1450.01.0005681/2026-20</t>
  </si>
  <si>
    <t>1450.01.0031456/2026-70</t>
  </si>
  <si>
    <t>1450.01.0055165/2026-30</t>
  </si>
  <si>
    <t>PRESÍDIO DE MARIANA</t>
  </si>
  <si>
    <t>16325-3</t>
  </si>
  <si>
    <t>D16N000994</t>
  </si>
  <si>
    <t>SAAE - SERVICO AUTONOMO DE AGUA E ESGOTO - MARIANA</t>
  </si>
  <si>
    <t>07.711.512/0001-05</t>
  </si>
  <si>
    <t xml:space="preserve"> 30716325@A</t>
  </si>
  <si>
    <t>1450.01.0040945/2026-44</t>
  </si>
  <si>
    <t xml:space="preserve"> 19124-7</t>
  </si>
  <si>
    <t>A20303246</t>
  </si>
  <si>
    <t>70719124@A</t>
  </si>
  <si>
    <t>PRESÍDIO DE MONTE CARMELO</t>
  </si>
  <si>
    <t>F25AK000306</t>
  </si>
  <si>
    <t>DMAE</t>
  </si>
  <si>
    <t>DMAE - DEPARTAMENTO MUNICIPAL DE AGUA E ESGOTO - MONTE CARMELO</t>
  </si>
  <si>
    <t>22.604.896/0001-50</t>
  </si>
  <si>
    <t>1450.01.0250203/2025-40</t>
  </si>
  <si>
    <t>1450.01.0006140/2026-43</t>
  </si>
  <si>
    <t>1450.01.0031191/2026-47</t>
  </si>
  <si>
    <t>1450.01.0056513/2026-09</t>
  </si>
  <si>
    <t xml:space="preserve">PRESÍDIO DE MONTE CARMELO </t>
  </si>
  <si>
    <t>D22G011547</t>
  </si>
  <si>
    <t>11-168</t>
  </si>
  <si>
    <t>C25BR0004021</t>
  </si>
  <si>
    <t xml:space="preserve">PRESÍDIO DE MURIAÉ  </t>
  </si>
  <si>
    <t>31385</t>
  </si>
  <si>
    <t>14-03-2610</t>
  </si>
  <si>
    <t>1450.01.0255475/2025-92</t>
  </si>
  <si>
    <t>1450.01.0013350/2026-52</t>
  </si>
  <si>
    <t>1450.01.0034656/2026-97</t>
  </si>
  <si>
    <t>1450.01.0057730/2026-33</t>
  </si>
  <si>
    <t>PRESÍDIO DE NANUQUE</t>
  </si>
  <si>
    <t>6892-4</t>
  </si>
  <si>
    <t>A24LN072150</t>
  </si>
  <si>
    <t>AGUAS DE NANUQUE</t>
  </si>
  <si>
    <t>ÁGUAS DE NANUQUE CONCESSIONARIA</t>
  </si>
  <si>
    <t>50.150.909/0001-02</t>
  </si>
  <si>
    <t>1450.01.0248118/2025-75</t>
  </si>
  <si>
    <t>1450.01.0010757/2026-29</t>
  </si>
  <si>
    <t>1450.01.0031195/2026-36</t>
  </si>
  <si>
    <t>1450.01.0051737/2026-48</t>
  </si>
  <si>
    <t>PRESÍDIO DE NOVA ERA</t>
  </si>
  <si>
    <t>05666-3</t>
  </si>
  <si>
    <t>C13N001391</t>
  </si>
  <si>
    <t>SEMAE</t>
  </si>
  <si>
    <t>SEMAE - SECRETARIA MUNICIPAL DE AGUA E ESGOTO - NOVA ERA</t>
  </si>
  <si>
    <t>16.819.831/0001-20</t>
  </si>
  <si>
    <t>3075666@B</t>
  </si>
  <si>
    <t>1450.01.0257919/2025-64</t>
  </si>
  <si>
    <t>1450.01.0030062/2026-72</t>
  </si>
  <si>
    <t>1450.01.0037951/2026-81</t>
  </si>
  <si>
    <t>1450.01.0057441/2026-76</t>
  </si>
  <si>
    <t>PRESÍDIO DE OLIVEIRA (DR. NELSON PIRES)</t>
  </si>
  <si>
    <t>10840-7</t>
  </si>
  <si>
    <t>A23SG0734631</t>
  </si>
  <si>
    <t>SAAE - SERVICO AUTONOMO DE AGUA E ESGOTO - OLIVEIRA</t>
  </si>
  <si>
    <t>22.988.000/0001-84</t>
  </si>
  <si>
    <t>71210840@D</t>
  </si>
  <si>
    <t>1450.01.0258417/2025-04</t>
  </si>
  <si>
    <t>1450.01.0020064/2026-67</t>
  </si>
  <si>
    <t>1450.01.0038547/2026-91</t>
  </si>
  <si>
    <t>1450.01.0059197/2026-97</t>
  </si>
  <si>
    <t>PRESÍDIO DE OURO PRETO</t>
  </si>
  <si>
    <t>Y20S243935</t>
  </si>
  <si>
    <t>SANEOURO</t>
  </si>
  <si>
    <t xml:space="preserve">SANEOURO - OURO PRETO SERVICOS DE SANEAMENTO S.A </t>
  </si>
  <si>
    <t>35.198.517/0001-11</t>
  </si>
  <si>
    <t>1450.01.0252237/2025-24</t>
  </si>
  <si>
    <t>1450.01.0016178/2026-35</t>
  </si>
  <si>
    <t>1450.01.0034334/2026-61</t>
  </si>
  <si>
    <t>1450.01.0052696/2026-54</t>
  </si>
  <si>
    <t>E20S002677</t>
  </si>
  <si>
    <t xml:space="preserve">PRESÍDIO DE PASSOS </t>
  </si>
  <si>
    <t>17138-9</t>
  </si>
  <si>
    <t>D20L002682</t>
  </si>
  <si>
    <t>SAAE - SERVICO AUTONOMO DE AGUA E ESGOTO - PASSOS</t>
  </si>
  <si>
    <t>23.278.690/0001-40</t>
  </si>
  <si>
    <t>1450.01.0002987/2026-08</t>
  </si>
  <si>
    <t>1450.01.0018374/2026-10</t>
  </si>
  <si>
    <t>1450.01.0041081/2026-58</t>
  </si>
  <si>
    <t>28622-9</t>
  </si>
  <si>
    <t>F16S001230</t>
  </si>
  <si>
    <t xml:space="preserve">PRESÍDIO DE PASSOS  </t>
  </si>
  <si>
    <t>17824-4</t>
  </si>
  <si>
    <t>D18N001435</t>
  </si>
  <si>
    <t xml:space="preserve">PRESÍDIO DE PASSOS   </t>
  </si>
  <si>
    <t>28757-3</t>
  </si>
  <si>
    <t>Y20G779564</t>
  </si>
  <si>
    <t>PRESÍDIO DE PIRAPORA</t>
  </si>
  <si>
    <t xml:space="preserve"> 04178-0</t>
  </si>
  <si>
    <t>A22R182180</t>
  </si>
  <si>
    <t>SAAE - SERVICO AUTONOMO DE AGUA E ESGOTO - PIRAPORA</t>
  </si>
  <si>
    <t>23.535.271/0001-47</t>
  </si>
  <si>
    <t>04178-0</t>
  </si>
  <si>
    <t xml:space="preserve"> 0014178@FS</t>
  </si>
  <si>
    <t>1450.01.0253876/2025-03</t>
  </si>
  <si>
    <t>1450.01.0008152/2026-39</t>
  </si>
  <si>
    <t>1450.01.0032793/2026-55</t>
  </si>
  <si>
    <t>1450.01.0057136/2026-66</t>
  </si>
  <si>
    <t xml:space="preserve"> 18141-2</t>
  </si>
  <si>
    <t>D17G011598</t>
  </si>
  <si>
    <t>18141-2</t>
  </si>
  <si>
    <t>20118141@FS</t>
  </si>
  <si>
    <t xml:space="preserve">PRESÍDIO DE PIUMHI  </t>
  </si>
  <si>
    <t xml:space="preserve"> 08716-3</t>
  </si>
  <si>
    <t>A24G145626</t>
  </si>
  <si>
    <t>SAAE - SERVICO AUTONOMO DE AGUA E ESGOTO - PIUMHI</t>
  </si>
  <si>
    <t>23.782.816/0001-10</t>
  </si>
  <si>
    <t>3048716@C</t>
  </si>
  <si>
    <t>1450.01.0252290/2025-48</t>
  </si>
  <si>
    <t>1450.01.0011512/2026-14</t>
  </si>
  <si>
    <t>1450.01.0032945/2026-25</t>
  </si>
  <si>
    <t>PRESÍDIO DE POÇOS DE CALDAS</t>
  </si>
  <si>
    <t>12843-30</t>
  </si>
  <si>
    <t>E13B900030</t>
  </si>
  <si>
    <t>DMAE - DEPARTAMENTO MUNICIPAL DE AGUA E ESGOTO - POÇOS DE CALDAS</t>
  </si>
  <si>
    <t>17.851.361/0001-44</t>
  </si>
  <si>
    <t>00412843@33</t>
  </si>
  <si>
    <t>1450.01.0006038/2026-81</t>
  </si>
  <si>
    <t>1450.01.0028623/2026-28</t>
  </si>
  <si>
    <t>1450.01.0051285/2026-30</t>
  </si>
  <si>
    <t xml:space="preserve">PRESÍDIO DE PONTE NOVA </t>
  </si>
  <si>
    <t>15406-2</t>
  </si>
  <si>
    <t>A25G515008</t>
  </si>
  <si>
    <t>20115406@G</t>
  </si>
  <si>
    <t>1450.01.0004050/2026-19</t>
  </si>
  <si>
    <t>1450.01.0024765/2026-16</t>
  </si>
  <si>
    <t>1450.01.0049986/2026-86</t>
  </si>
  <si>
    <t>PRESÍDIO DE SACRAMENTO</t>
  </si>
  <si>
    <t>00363-2</t>
  </si>
  <si>
    <t>A19G382458</t>
  </si>
  <si>
    <t>SAAE - SERVICO AUTONOMO DE AGUA E ESGOTO - SACRAMENTO</t>
  </si>
  <si>
    <t>24.334.872/0001-54</t>
  </si>
  <si>
    <t>203363@A</t>
  </si>
  <si>
    <t>1450.01.0250141/2025-65</t>
  </si>
  <si>
    <t>1450.01.0006829/2026-64</t>
  </si>
  <si>
    <t>1450.01.0031197/2026-79</t>
  </si>
  <si>
    <t>1450.01.0051022/2026-50</t>
  </si>
  <si>
    <t>PRESÍDIO DE SÃO JOÃO DEL REI</t>
  </si>
  <si>
    <t>8683-5</t>
  </si>
  <si>
    <t>DAMAE</t>
  </si>
  <si>
    <t>DAMAE -DEPARTAMENTO AUTONOMO DE AGUA E ESGOTO DE S.J.DEL REI</t>
  </si>
  <si>
    <t>18.196.469/0001-03</t>
  </si>
  <si>
    <t>7408683@02</t>
  </si>
  <si>
    <t>1450.01.0253640/2025-70</t>
  </si>
  <si>
    <t>1450.01.0021831/2026-82</t>
  </si>
  <si>
    <t>1450.01.0040460/2026-44</t>
  </si>
  <si>
    <t xml:space="preserve">PRESÍDIO DE SÃO JOÃO DEL REI </t>
  </si>
  <si>
    <t>12276-2</t>
  </si>
  <si>
    <t>24312276@02</t>
  </si>
  <si>
    <t xml:space="preserve">PRESÍDIO DE SÃO LOURENÇO </t>
  </si>
  <si>
    <t>13813-1</t>
  </si>
  <si>
    <t>F18H000686</t>
  </si>
  <si>
    <t>SAAE - SERVICO AUTONOMO DE AGUA E ESGOTO - SÃO LOURENÇO</t>
  </si>
  <si>
    <t>21.417.423/0001-81</t>
  </si>
  <si>
    <t>10613813@C</t>
  </si>
  <si>
    <t>1450.01.0257305/2025-55</t>
  </si>
  <si>
    <t>1450.01.0012485/2026-30</t>
  </si>
  <si>
    <t>1450.01.0036108/2026-81</t>
  </si>
  <si>
    <t>1450.01.0057792/2026-08</t>
  </si>
  <si>
    <t>PRESÍDIO DE SETE LAGOAS</t>
  </si>
  <si>
    <t>67052-1</t>
  </si>
  <si>
    <t>E19B824291</t>
  </si>
  <si>
    <t>SAAE - SERVICO AUTONOMO DE AGUA E ESGOTO - SETE LAGOAS</t>
  </si>
  <si>
    <t>24.996.845/0001-47</t>
  </si>
  <si>
    <t>14267052@Z_x000D_</t>
  </si>
  <si>
    <t>1450.01.0253049/2025-22</t>
  </si>
  <si>
    <t>1450.01.0009590/2026-13</t>
  </si>
  <si>
    <t>1450.01.0029870/2026-18</t>
  </si>
  <si>
    <t>1450.01.0055046/2026-42</t>
  </si>
  <si>
    <t xml:space="preserve">PRESÍDIO DE TRÊS PONTAS </t>
  </si>
  <si>
    <t>16692-6</t>
  </si>
  <si>
    <t>E17N002073</t>
  </si>
  <si>
    <t>SAAE - SERVICO AUTONOMO DE AGUA E ESGOTO - TRÊS PONTAS</t>
  </si>
  <si>
    <t>25.269.069/0001-46</t>
  </si>
  <si>
    <t>61116692@E</t>
  </si>
  <si>
    <t>1450.01.0259637/2025-44</t>
  </si>
  <si>
    <t>1450.01.0021552/2026-49</t>
  </si>
  <si>
    <t>1450.01.0041563/2026-42</t>
  </si>
  <si>
    <t>09081-1</t>
  </si>
  <si>
    <t>Z23LN0177097</t>
  </si>
  <si>
    <t>1119081@E</t>
  </si>
  <si>
    <t>PRESÍDIO DE TUPACIGUARA</t>
  </si>
  <si>
    <t>179013</t>
  </si>
  <si>
    <t>DAE - DEPARTAMENTO DE AGUA E ESGOTO - TUPACIGUARA</t>
  </si>
  <si>
    <t>22.236.244/0001-00</t>
  </si>
  <si>
    <t>1450.01.0249680/2025-96</t>
  </si>
  <si>
    <t>1450.01.0005564/2026-75</t>
  </si>
  <si>
    <t>1450.01.0030912/2026-14</t>
  </si>
  <si>
    <t>1450.01.0048072/2026-63</t>
  </si>
  <si>
    <t>035219</t>
  </si>
  <si>
    <t xml:space="preserve">PRESÍDIO DE UNAÍ  </t>
  </si>
  <si>
    <t>02542-9</t>
  </si>
  <si>
    <t>F22SG0000110</t>
  </si>
  <si>
    <t>9052542@D</t>
  </si>
  <si>
    <t>1450.01.0247053/2025-21</t>
  </si>
  <si>
    <t>1450.01.0006771/2026-78</t>
  </si>
  <si>
    <t>1450.01.0029945/2026-30</t>
  </si>
  <si>
    <t>1450.01.0057016/2026-08</t>
  </si>
  <si>
    <t>26453-1</t>
  </si>
  <si>
    <t>A23R191933</t>
  </si>
  <si>
    <t>10526453@D</t>
  </si>
  <si>
    <t>PRESÍDIO DE VIÇOSA</t>
  </si>
  <si>
    <t>17034-0</t>
  </si>
  <si>
    <t>D20N001506</t>
  </si>
  <si>
    <t>SAAE - SERVICO AUTONOMO DE AGUA E ESGOTO - VIÇOSA</t>
  </si>
  <si>
    <t>25.947.276/0001-02</t>
  </si>
  <si>
    <t>00317034@39</t>
  </si>
  <si>
    <t>1450.01.0000972/2026-93</t>
  </si>
  <si>
    <t>1450.01.0029288/2026-18</t>
  </si>
  <si>
    <t>1450.01.0047071/2026-27</t>
  </si>
  <si>
    <t>PRESÍDIO PROFESSOR JACY DE ASSIS</t>
  </si>
  <si>
    <t>000140100-9</t>
  </si>
  <si>
    <t>G19GA00883</t>
  </si>
  <si>
    <t>00 02 0401 12 26 0001 9000</t>
  </si>
  <si>
    <t>1450.01.0007929/2026-46</t>
  </si>
  <si>
    <t>1450.01.0033265/2026-18</t>
  </si>
  <si>
    <t>1450.01.0050011/2026-90</t>
  </si>
  <si>
    <t xml:space="preserve">PRESÍDIO PROFESSOR JACY DE ASSIS </t>
  </si>
  <si>
    <t>000133202-3</t>
  </si>
  <si>
    <t>D18N003514</t>
  </si>
  <si>
    <t>00 02 0401 12 26 0001 9002</t>
  </si>
  <si>
    <t>000133193-0</t>
  </si>
  <si>
    <t>G19GA00681</t>
  </si>
  <si>
    <t>00 02 0401 12 26 0001 9003</t>
  </si>
  <si>
    <t xml:space="preserve">PRESÍDIO PROFESSOR JACY DE ASSIS  </t>
  </si>
  <si>
    <t>000133023-3</t>
  </si>
  <si>
    <t>J19GA0000095</t>
  </si>
  <si>
    <t>00 02 0401 12 26 0001 9001</t>
  </si>
  <si>
    <t>000160353-1</t>
  </si>
  <si>
    <t>G19GA00826</t>
  </si>
  <si>
    <t>00 02 0401 12 26 0001 9004</t>
  </si>
  <si>
    <t xml:space="preserve">PRESÍDIO PROFESSOR JACY DE ASSIS   </t>
  </si>
  <si>
    <t>000201007-0</t>
  </si>
  <si>
    <t>E15X000493</t>
  </si>
  <si>
    <t>00 55 0505 55 55 0374 0727</t>
  </si>
  <si>
    <t>CENTRO DE ATENÇÃO BIOPSICOSSOCIAL DE UBERLÂNDIA (9ª RISP)</t>
  </si>
  <si>
    <t>000056947-0</t>
  </si>
  <si>
    <t>Z24SG2662702</t>
  </si>
  <si>
    <t>00 02 0202 02 05 0002 0000</t>
  </si>
  <si>
    <t>1450.01.0001828/2026-67</t>
  </si>
  <si>
    <t>1450.01.0022694/2026-61</t>
  </si>
  <si>
    <t>1450.01.0044612/2026-72</t>
  </si>
  <si>
    <t>PRESÍDIO DE TEOFILO OTONI (CAMINHÃO PIPA)</t>
  </si>
  <si>
    <t>00149661541</t>
  </si>
  <si>
    <t>COPASA</t>
  </si>
  <si>
    <t>COPASA MG - COMPANHIA DE SANEAMENTO DE MINAS GERAIS</t>
  </si>
  <si>
    <t>PRESIDIO TEOFILO OTONI</t>
  </si>
  <si>
    <t>1450.01.0030123/2026-74</t>
  </si>
  <si>
    <t>1450.01.0048222/2026-87</t>
  </si>
  <si>
    <t>PRESIDIO DE CARATINGA (CAMINHÃO PIPA)</t>
  </si>
  <si>
    <t>00176707611</t>
  </si>
  <si>
    <t>PRESÍDIO CARATINGA</t>
  </si>
  <si>
    <t>PRESIDIO CARATINGA</t>
  </si>
  <si>
    <t>1450.01.0030122/2026-04</t>
  </si>
  <si>
    <t>1450.01.0048266/2026-63</t>
  </si>
  <si>
    <t>EMPENHOS CRIADOS DEPEN</t>
  </si>
  <si>
    <t>GLOBALIZ. COPASA DEPEN</t>
  </si>
  <si>
    <t>EMPENHOS QUE FALTAM</t>
  </si>
  <si>
    <t>TOTAL DEPEN</t>
  </si>
  <si>
    <t>TOTAL LIBERADO SIPOR JAN</t>
  </si>
  <si>
    <t>FALTOU</t>
  </si>
  <si>
    <t xml:space="preserve"> JANEIRO </t>
  </si>
  <si>
    <t xml:space="preserve">BRUTO </t>
  </si>
  <si>
    <t>ENCARGO</t>
  </si>
  <si>
    <t>ENVIADO A DED</t>
  </si>
  <si>
    <t>VENCIMENTO (6)</t>
  </si>
  <si>
    <t>CSE SÃO COSME - TEOFILO OTONI (GLOBALIZADA)</t>
  </si>
  <si>
    <t>B20G0016201</t>
  </si>
  <si>
    <t>00021985669</t>
  </si>
  <si>
    <t>1450.01.0005513/2026-94</t>
  </si>
  <si>
    <t>1450.01.0034652/2026-11</t>
  </si>
  <si>
    <t>1450.01.0055551/2026-84</t>
  </si>
  <si>
    <t>CSE MONTES CLAROS (ANTIGO NOSSA SENHORA APARECIDA)  (GLOBALIZADA)</t>
  </si>
  <si>
    <t>E18B0809965</t>
  </si>
  <si>
    <t>00111511003</t>
  </si>
  <si>
    <t>CEIP DOM BOSCO  (GLOBALIZADA)</t>
  </si>
  <si>
    <t>D18B0702057 E18B0801640</t>
  </si>
  <si>
    <t>00026892880</t>
  </si>
  <si>
    <t>CSE JUSTINOPOLIS  (GLOBALIZADA)</t>
  </si>
  <si>
    <t>B22G0013924</t>
  </si>
  <si>
    <t>00102979731</t>
  </si>
  <si>
    <t>CSE HORTO  (GLOBALIZADA)</t>
  </si>
  <si>
    <t>D17B0704451</t>
  </si>
  <si>
    <t>00011368781</t>
  </si>
  <si>
    <t>CSE DIVINÓPOLIS  (GLOBALIZADA)</t>
  </si>
  <si>
    <t>E17B0791388</t>
  </si>
  <si>
    <t>00111986711</t>
  </si>
  <si>
    <t>CIA BH (GLOBALIZADA)</t>
  </si>
  <si>
    <t>B22F0000421</t>
  </si>
  <si>
    <t>00106313207</t>
  </si>
  <si>
    <t>CSE GOV. VALADARES (CIA DO ADOLESCENTE GOVERNADOR VALADARES) 
(CIA SÃO FRANCISCO) (Unidade envia)</t>
  </si>
  <si>
    <t>E16N002555</t>
  </si>
  <si>
    <t>690996</t>
  </si>
  <si>
    <t>690996-5</t>
  </si>
  <si>
    <t>1450.01.0254385/2025-34</t>
  </si>
  <si>
    <t>1450.010033327/2026-90</t>
  </si>
  <si>
    <t>1450.01.0038953/2026-90</t>
  </si>
  <si>
    <t>1450.01.0058742/2026-63</t>
  </si>
  <si>
    <t>CSE UBERLÂNDIA (Unidade envia)</t>
  </si>
  <si>
    <t>E18N002169</t>
  </si>
  <si>
    <t>000141370-8</t>
  </si>
  <si>
    <t>1450.01.0022301/2026-02</t>
  </si>
  <si>
    <t>1450.01.0029224/2026-97</t>
  </si>
  <si>
    <t>1450.01.0059210/2026-37</t>
  </si>
  <si>
    <t>CSE PIRAPORA</t>
  </si>
  <si>
    <t>A13N038116</t>
  </si>
  <si>
    <t>10215906@L</t>
  </si>
  <si>
    <t>15906-1</t>
  </si>
  <si>
    <t>1450.01.0257035/2025-70</t>
  </si>
  <si>
    <t>1450.01.0016475/2026-67</t>
  </si>
  <si>
    <t>1450.01.0052581/2026-55</t>
  </si>
  <si>
    <t>1450.01.0057462/2026-91</t>
  </si>
  <si>
    <t xml:space="preserve">CSE JUIZ DE FORA </t>
  </si>
  <si>
    <t>C23G002098</t>
  </si>
  <si>
    <t xml:space="preserve">150796510 </t>
  </si>
  <si>
    <t>1450.01.0254490/2025-12</t>
  </si>
  <si>
    <t>1450.01.0052987/2026-54</t>
  </si>
  <si>
    <t>UNIDADES</t>
  </si>
  <si>
    <t>CONCESSIONARIA (ABREV)</t>
  </si>
  <si>
    <t>BRUTO (8}</t>
  </si>
  <si>
    <t>1ª RISP - BELO HORIZONTE (GLOBALIZADA)</t>
  </si>
  <si>
    <t>A15F0029319</t>
  </si>
  <si>
    <t>00010991581</t>
  </si>
  <si>
    <t>1450.01.0005512/2026-24</t>
  </si>
  <si>
    <t>1450.01.0034751/2026-54</t>
  </si>
  <si>
    <t>1450.01.0056171/2026-28</t>
  </si>
  <si>
    <t>11ª RISP - MONTES CLAROS (GLOBALIZADA)</t>
  </si>
  <si>
    <t>B20G0013293</t>
  </si>
  <si>
    <t>00025920669</t>
  </si>
  <si>
    <t>AISP 9 Venda Nova (GLOBALIZADA)</t>
  </si>
  <si>
    <t>A22G0202329</t>
  </si>
  <si>
    <t>00115057145</t>
  </si>
  <si>
    <t>AISP 25 Eldorado (GLOBALIZADA)</t>
  </si>
  <si>
    <t>A22G0206750</t>
  </si>
  <si>
    <t>00115982892</t>
  </si>
  <si>
    <t>AISP 26 Nova Contagem (GLOBALIZADA)</t>
  </si>
  <si>
    <t>B20G0013590</t>
  </si>
  <si>
    <t>00115319531</t>
  </si>
  <si>
    <t>AISP 23 Ouro Preto (GLOBALIZADA)</t>
  </si>
  <si>
    <t>A25H0088760</t>
  </si>
  <si>
    <t>00114901961</t>
  </si>
  <si>
    <t>AISP 56 Palmital  (GLOBALIZADA)</t>
  </si>
  <si>
    <t>A22G0204794</t>
  </si>
  <si>
    <t>00115431683</t>
  </si>
  <si>
    <t>AISP 68 Vespasiano (GLOBALIZADA)</t>
  </si>
  <si>
    <t>A20B0015846</t>
  </si>
  <si>
    <t>00115485741</t>
  </si>
  <si>
    <t>AISP 103 Dom Silvério (GLOBALIZADA)</t>
  </si>
  <si>
    <t>Y24S0187869</t>
  </si>
  <si>
    <t>00023410426</t>
  </si>
  <si>
    <t>SUPID  CICC - NOVA GAMELEIRA (GLOBALIZADA)</t>
  </si>
  <si>
    <t>Y20G0938379</t>
  </si>
  <si>
    <t>00126337136</t>
  </si>
  <si>
    <t>ESCOLA DE FORMAÇÃO (Físico) (GLOBALIZADA)</t>
  </si>
  <si>
    <t>A22S0207400</t>
  </si>
  <si>
    <t>00023146648</t>
  </si>
  <si>
    <t>RISP 4 POLICIA CIVIL (GLOBALIZADA CESAMA)</t>
  </si>
  <si>
    <t>Y20L147185</t>
  </si>
  <si>
    <t>1450.01.0254449/2025-52</t>
  </si>
  <si>
    <t>1450.01.0053011/2026-85</t>
  </si>
  <si>
    <t>AISP 107 -  ÁREA INTEG. SEG. PÚB. JUIZ DE FORA (GLOBALIZADA CESAMA)</t>
  </si>
  <si>
    <t>A20L086061</t>
  </si>
  <si>
    <t>5ª RISP PCMG - UBERABA</t>
  </si>
  <si>
    <t>C23G005308</t>
  </si>
  <si>
    <t>094601-0</t>
  </si>
  <si>
    <t>0000094601</t>
  </si>
  <si>
    <t>144</t>
  </si>
  <si>
    <t>1450.01.0242328/2025-41</t>
  </si>
  <si>
    <t>1450.01.0016461/2026-57</t>
  </si>
  <si>
    <t>1450.01.0038401/2026-56</t>
  </si>
  <si>
    <t>1450.01.0058666/2026-78</t>
  </si>
  <si>
    <t>8ª RISP - GOVERNADOR VALADARES</t>
  </si>
  <si>
    <t>D22AA0000393</t>
  </si>
  <si>
    <t>847399-4</t>
  </si>
  <si>
    <t>361</t>
  </si>
  <si>
    <t>1450.01.0252378/2025-97</t>
  </si>
  <si>
    <t>1450.01.0016387/2026-18</t>
  </si>
  <si>
    <t>1450.01.0039713/2026-37</t>
  </si>
  <si>
    <t>1450.01.0058148/2026-96</t>
  </si>
  <si>
    <t>9ª RISP - UBERLÂNDIA</t>
  </si>
  <si>
    <t>F12968</t>
  </si>
  <si>
    <t>00 01 0301 10 09 0006 0000</t>
  </si>
  <si>
    <t>000137996-8</t>
  </si>
  <si>
    <t>10</t>
  </si>
  <si>
    <t>1450.01.0015007/2026-30 (DEA)</t>
  </si>
  <si>
    <t>1450.01.0034763/2026-21</t>
  </si>
  <si>
    <t>1450.01.0054974/2026-46</t>
  </si>
  <si>
    <t>9ª RISP - UBERLÂNDIA (POÇO ARTESIANO)</t>
  </si>
  <si>
    <t>E20L000321</t>
  </si>
  <si>
    <t>00 01 0301 10 09 0006 9000</t>
  </si>
  <si>
    <t>000260621-6</t>
  </si>
  <si>
    <t>1828</t>
  </si>
  <si>
    <t>UE</t>
  </si>
  <si>
    <t>UNIDADE</t>
  </si>
  <si>
    <t>NATUREZA</t>
  </si>
  <si>
    <t>EMPENHO 2026</t>
  </si>
  <si>
    <t>EMP. DE ENCARGOS</t>
  </si>
  <si>
    <t>PROCESSO SEI Nº</t>
  </si>
  <si>
    <t>SALDO EM 31/12</t>
  </si>
  <si>
    <t>LIQ ATÉ</t>
  </si>
  <si>
    <t>PREVISÃO ATÉ DEZ/25</t>
  </si>
  <si>
    <t>SALDO FINAL</t>
  </si>
  <si>
    <t>DEZ</t>
  </si>
  <si>
    <t>COMPLEXO PENIT DR PIO CANEDO</t>
  </si>
  <si>
    <t>AGUAS DE PARA DE MINAS S/A</t>
  </si>
  <si>
    <t>PENIT. DEP. EXPEDITO DE FARIA TAVARES (PATROCINIO)</t>
  </si>
  <si>
    <t>DEPARTAMENTO DE AGUA E ESGOTO DE PATROCINIO - DAEPA</t>
  </si>
  <si>
    <t>PENIT. PROF. ALUÍZIO IGNÁCIO DE OLIVEIRA</t>
  </si>
  <si>
    <t>CENTRO OPERACIONAL DE DESENVOLVIMENTO E SANEAMENTO DE UBERABA-CODAU</t>
  </si>
  <si>
    <t>PENITENCIÁRIA DE MURIAÉ - PEN. DR. MANOEL M. LISBOA JUNIOR</t>
  </si>
  <si>
    <t>DEPARTAMENTO MUNICIPAL DE AGUA, ESGOTO E SANEAMENTO DE PONTE NOVA</t>
  </si>
  <si>
    <t>NOV</t>
  </si>
  <si>
    <t>PENITENCIÁRIA J. PIMENTA DA VEIGA</t>
  </si>
  <si>
    <t>DEPARTAMENTO MUNICIPAL DE AGUA E ESGOTO</t>
  </si>
  <si>
    <t>PRESIDIO DE AIMORES</t>
  </si>
  <si>
    <t>SAAE - SERVICO AUTONOMO DE AGUA E ESGOTO - AIMORES</t>
  </si>
  <si>
    <t>PRESIDIO DE BARBACENA</t>
  </si>
  <si>
    <t>SERVICO DE AGUA E SANEAMENTO - SAS</t>
  </si>
  <si>
    <t>SERVICO AUTONOMO DE AGUA E ESGOTO-BOA ESPERANCA.</t>
  </si>
  <si>
    <t>PRESÍDIO DE BOCAIÚVA</t>
  </si>
  <si>
    <t>SAAE - SERVICO AUTONOMO DE AGUA E ESGOTO - BOCAIUVA</t>
  </si>
  <si>
    <t>PRESÍDIO DE CAETÉ</t>
  </si>
  <si>
    <t>SERVICO AUTONOMO DE AGUA E ESGOTO - SAAE CAETE</t>
  </si>
  <si>
    <t xml:space="preserve">PRESÍDIO DE CAMPO BELO </t>
  </si>
  <si>
    <t>DEMAE-CAMPO BELO</t>
  </si>
  <si>
    <t xml:space="preserve">PRESÍDIO DE CARANGOLA </t>
  </si>
  <si>
    <t>SAAE- SERVICO AUTONOMO DE AGUA E ESGOTO-CONSELHEIRO PENA</t>
  </si>
  <si>
    <t xml:space="preserve">PRESÍDIO DE GOVERNADOR VALADARES </t>
  </si>
  <si>
    <t>SERVICO AUTONOMO DE AGUA E ESGOTO  DE GUANHÃES</t>
  </si>
  <si>
    <t>1450.01.0227607/2025-02</t>
  </si>
  <si>
    <t>SERVICO AUTONOMO DE AGUA E ESGOTO - ITAMBACURI</t>
  </si>
  <si>
    <t xml:space="preserve">PRESÍDIO DE ITAÚNA  </t>
  </si>
  <si>
    <t>SAAE - SERVICO AUTONOMO DE AGUA E ESGOTO - ITAUNA</t>
  </si>
  <si>
    <t>SUPERINTENDENCIA DE AGUA E ESGOTOS DE ITUIUTABA</t>
  </si>
  <si>
    <t>DAE - JOAO MONLEVADE</t>
  </si>
  <si>
    <t>SERVICO AUTONOMO DE AGUA E ESGOTO DE LUZ</t>
  </si>
  <si>
    <t>SAAE - SERVICO AUTONOMO DE AGUA E ESGOTO - MANHUACU</t>
  </si>
  <si>
    <t>SAAE - MANHUMIRIM</t>
  </si>
  <si>
    <t xml:space="preserve">PRESÍDIO DE MANTENA </t>
  </si>
  <si>
    <t>SERVICO DE AGUA MARIANA</t>
  </si>
  <si>
    <t>OUT</t>
  </si>
  <si>
    <t>PRESÍDIO DE MURIAÉ</t>
  </si>
  <si>
    <t>AGUAS DE NANUQUE CONCESSIONARIA SPE S/A</t>
  </si>
  <si>
    <t xml:space="preserve">PRESÍDIO DE NOVA ERA </t>
  </si>
  <si>
    <t>SERVICO AUTONOMO DE AGUA E ESGOTO</t>
  </si>
  <si>
    <t>OURO PRETO SERVICOS DE SANEAMENTO S.A - SANEOURO</t>
  </si>
  <si>
    <t>SERVICO AUTONOMO DE AGUA E ESGOTO - SAAE PIRAPORA</t>
  </si>
  <si>
    <t xml:space="preserve">PRESÍDIO DE PIUMHI </t>
  </si>
  <si>
    <t>SAAE - PIUMHI</t>
  </si>
  <si>
    <t xml:space="preserve">PRESÍDIO DE POÇOS DE CALDAS </t>
  </si>
  <si>
    <t>DEPARTAMENTO MUNICIPAL DE AGUA E ESGOTO DE POÇOS DE CALDAS - DMAE</t>
  </si>
  <si>
    <t>PRESÍDIO DE PONTE NOVA</t>
  </si>
  <si>
    <t>1450.01.0246670/2025-80</t>
  </si>
  <si>
    <t>DAMAE-DEPARTAMENTO AUTONOMO DE AGUA E ESGOTO DE S.J.DEL REI</t>
  </si>
  <si>
    <t>PRESÍDIO DE SÃO LOURENÇO</t>
  </si>
  <si>
    <t>SAAE - SERVICO AUTONOMO DE AGUA E ESGOTO - SAO LOURENCO</t>
  </si>
  <si>
    <t>PRESÍDIO DE SETE LAGOAS (PRES. PROMOTOR J. COSTA)</t>
  </si>
  <si>
    <t>SERVICO AUTONOMO DE AGUA E ESGOTO SAAE</t>
  </si>
  <si>
    <t>PRESÍDIO DE TRÊS PONTAS</t>
  </si>
  <si>
    <t>SERVICO AUTONOMO DE AGUA E ESGOTO - TRES PONTAS</t>
  </si>
  <si>
    <t>DEPARTAMENTO DE AGUA E ESGOTO- TUPACIGUARA</t>
  </si>
  <si>
    <t xml:space="preserve">PRESÍDIO DE UNAÍ </t>
  </si>
  <si>
    <t>SERVICO AUTONOMO DE AGUA E ESGOTO - VICOSA</t>
  </si>
  <si>
    <t>DEPARTAMENTO MUNICIPAL DE AGUA E ESGOTO - DMAE UBERLÂNDIA</t>
  </si>
  <si>
    <t>1450.01.0004509/2026-42</t>
  </si>
  <si>
    <t>FAZER DEA</t>
  </si>
  <si>
    <t>GLOBALIZADA COPASA (106180614)  (DEPEN)</t>
  </si>
  <si>
    <t>PRESÍDIO DE CARATINGA (CAMINHÃO PIPA)</t>
  </si>
  <si>
    <t>GLOBALIZADA CESAMA (DEPEN) - CASA ALB JOSE A ROGEDO / PENITENCIARIA JOSE EDSON CAVALIERI - JUIZ DE FORA / CERESP JUIZ DE FORA / HOSP. TOX. PE WILSON V. COSTA (INCLUIDO A PARTIR DE ABR/25 - FATURA VENC: 30/06/25)</t>
  </si>
  <si>
    <t>PENITENCIÁRIA PROFESSOR ARIOSVALDO CAMPOS PIRES</t>
  </si>
  <si>
    <t>1450.01.0254527/2025-80</t>
  </si>
  <si>
    <t>RISP PATOS DE MINAS / PATOS DE MINAS (GLOBALIZADA COPASA 180300857)</t>
  </si>
  <si>
    <t>COPASA PATOS SANEAMENTO SA</t>
  </si>
  <si>
    <t>1450.01.0006007/2026-45</t>
  </si>
  <si>
    <t>HOSPITAL PSIQ JUD JORGE VAZ (DEPEN)</t>
  </si>
  <si>
    <t>CENTRO DE REFERENCIA A GESTANTE - CRGPL (GLOBALIZADA COPASA 106180614) NOVA GLOBALIZADA: 0 018 126 502 8</t>
  </si>
  <si>
    <t>1450.01.0005514/2026-67</t>
  </si>
  <si>
    <t>CENTRO DE APOIO MÉDICO PERICIAL (GLOBALIZADA COPASA 106180614) NOVA GLOBALIZADA: 0 018 126 502 8</t>
  </si>
  <si>
    <t>CENTROS SÓCIO EDUCATIVOS (GLOBALIZADA COPASA 106180801) (SUASE)</t>
  </si>
  <si>
    <t>CIA DO ADOLESCENTE GOVERNADOR VALADARES (CIA SÃO FRANCISCO) (SUASE)</t>
  </si>
  <si>
    <t>CSE UBERLÂNDIA  (SUASE)</t>
  </si>
  <si>
    <t>DMAE UBERLÂNDIA</t>
  </si>
  <si>
    <t>CSE PIRAPORA (SUASE)</t>
  </si>
  <si>
    <t>CSE JUIZ DE FORA / PAEMSSI (JUIZ DE FORA) (SUASE) (A PARTIR DE JUN/25 A FATURA VIRÁ SOMENTE COM O CSE DE JUIZ DE FORA PQ OUTRA EMPRESA ASSUMIU A CONTA DO PGM SE LIGA)</t>
  </si>
  <si>
    <t>UNIDADES SÓCIO EDUCATIVAS (GLOBALIZADA COPASA 118087452) (SUINT)</t>
  </si>
  <si>
    <t>RISP 4 POLICIA CIVIL / AISP 107 -  ÁREA INTEG. SEG. PÚB. JUIZ DE FORA (GLOBALIZADA CESAMA) (SUINT)</t>
  </si>
  <si>
    <t>5ª RISP PCMG - UBERABA (SUINT)</t>
  </si>
  <si>
    <t>8ª RISP - GOVERNADOR VALADARES (SUINT)</t>
  </si>
  <si>
    <t>9ª RISP - UBERLÂNDIA (SUINT)</t>
  </si>
  <si>
    <t>CENTRO DE ATENÇÃO BIOPSICOSSOCIAL DE UBERLÂNDIA (9ª RISP) (DEPEN)</t>
  </si>
  <si>
    <t> </t>
  </si>
  <si>
    <t>TOTAL</t>
  </si>
  <si>
    <t>DEPEN</t>
  </si>
  <si>
    <t xml:space="preserve">GLOB COPASA </t>
  </si>
  <si>
    <t>GLOB CESAMA</t>
  </si>
  <si>
    <t>SUASE</t>
  </si>
  <si>
    <t>SUINT</t>
  </si>
  <si>
    <t>VALORES SOLICITADOS NO SIPOR 2026 (3913)</t>
  </si>
  <si>
    <t>ABRIL / MAIO / JUNHO</t>
  </si>
  <si>
    <t>SOLICITADO</t>
  </si>
  <si>
    <t>TOTAL LIBERADO</t>
  </si>
  <si>
    <t>TOTAL FATURAS</t>
  </si>
  <si>
    <t>PROCESSOS QUE PRECISAM COLOCAR OFICIO E MEMORANDO I.R.:</t>
  </si>
  <si>
    <t>ORDENADORES DE DESPESAS</t>
  </si>
  <si>
    <t>MASP</t>
  </si>
  <si>
    <t>ORDENADOR</t>
  </si>
  <si>
    <t>FÉRIAS</t>
  </si>
  <si>
    <t>5ª RISP UBERABA (CODAU UBERABA)</t>
  </si>
  <si>
    <t>DEPEN (1450022)</t>
  </si>
  <si>
    <t>CARLOS</t>
  </si>
  <si>
    <t>BADARÓ</t>
  </si>
  <si>
    <t>utora</t>
  </si>
  <si>
    <t>Natureza da Despesa</t>
  </si>
  <si>
    <t>Empenho</t>
  </si>
  <si>
    <t>Saldo de Empenho</t>
  </si>
  <si>
    <t>Fatura nº</t>
  </si>
  <si>
    <t>Mês Ref.</t>
  </si>
  <si>
    <t>Data de Vencimento</t>
  </si>
  <si>
    <t>Valor Original da Fatura (DEA)</t>
  </si>
  <si>
    <t>Valor Atualizado em 29/01/2026</t>
  </si>
  <si>
    <t>Valor Encargos</t>
  </si>
  <si>
    <t>PENIT. PROF. ALUIZIO I. OLIVEIRA (CODAU UBERABA)</t>
  </si>
  <si>
    <t>SUASE (1450012)</t>
  </si>
  <si>
    <t>GISELLE</t>
  </si>
  <si>
    <t>NUBIA</t>
  </si>
  <si>
    <t>DMAE UBERLÂNDIA - CNPJ: 25.769.548/0001-21</t>
  </si>
  <si>
    <t>4378-33903913</t>
  </si>
  <si>
    <t>2025/95</t>
  </si>
  <si>
    <t>70730044202-7</t>
  </si>
  <si>
    <t>PRESIDIO DE MONTE CARMELO (DMAE MONTE CARMELO)</t>
  </si>
  <si>
    <t>SUINT (1450015)</t>
  </si>
  <si>
    <t>CHRISTIAN</t>
  </si>
  <si>
    <t>NATHALIA</t>
  </si>
  <si>
    <t>54670044202-5</t>
  </si>
  <si>
    <t>PRESIDIO DE PASSOS (SAAE PASSOS)</t>
  </si>
  <si>
    <t>SULOT (1450005)</t>
  </si>
  <si>
    <t>ANDRÉ RANIERI</t>
  </si>
  <si>
    <t>38730044202-8</t>
  </si>
  <si>
    <t>PENIT. DEP. EXPEDITO FARIA TAVARES (DAEPA PATROCINIO)</t>
  </si>
  <si>
    <t>26060044202-4</t>
  </si>
  <si>
    <t>PRESÍDIO DE ARAGUARI (SAE ARAGUARI)</t>
  </si>
  <si>
    <t>13460044202-1</t>
  </si>
  <si>
    <t>PRESÍDIO DE CAMPO BELO (DEMAE CAMPO BELO)</t>
  </si>
  <si>
    <t>10780044202-5</t>
  </si>
  <si>
    <t>PRESÍDIO DE LUZ (SAAE LUZ)</t>
  </si>
  <si>
    <t>PRESÍDIO DE MARIANA (SAAE MARIANA)</t>
  </si>
  <si>
    <t>00580044202-1</t>
  </si>
  <si>
    <t>PRESÍDIO DE TUPACIGUARA (DAE TUPACIGUARA)</t>
  </si>
  <si>
    <t>11100044202-5</t>
  </si>
  <si>
    <t>TOTAL: 10 PROCESSOS</t>
  </si>
  <si>
    <t>01260044202-9</t>
  </si>
  <si>
    <t>91650044202-2</t>
  </si>
  <si>
    <t>82090044202-2</t>
  </si>
  <si>
    <t>72580044202-4</t>
  </si>
  <si>
    <t>62760044202-4</t>
  </si>
  <si>
    <t>COBRANÇA ESGOTO</t>
  </si>
  <si>
    <t>96000044202-5</t>
  </si>
  <si>
    <t>TARIFA FIXA DE ESGOTO</t>
  </si>
  <si>
    <t>87800044202-9</t>
  </si>
  <si>
    <t xml:space="preserve"> ESGOTO DOMIC. 1 ECON.PUBLICA</t>
  </si>
  <si>
    <t>34330044202-1</t>
  </si>
  <si>
    <t>25600044202-8</t>
  </si>
  <si>
    <t>PENIT. JOSÉ MARIA ALKIMIN</t>
  </si>
  <si>
    <t>82170044202-2</t>
  </si>
  <si>
    <t>71700044202-9</t>
  </si>
  <si>
    <t>58690044202-9</t>
  </si>
  <si>
    <t>48300044202-8</t>
  </si>
  <si>
    <t>36850044202-6</t>
  </si>
  <si>
    <t>25040044202-7</t>
  </si>
  <si>
    <t>14810044202-6</t>
  </si>
  <si>
    <t>02450044202-5</t>
  </si>
  <si>
    <t>91680044202-9</t>
  </si>
  <si>
    <t>81820044202-3</t>
  </si>
  <si>
    <t>71570044202-6</t>
  </si>
  <si>
    <t>55650044202-6</t>
  </si>
  <si>
    <t>47630044202-9</t>
  </si>
  <si>
    <t>14960044202-9</t>
  </si>
  <si>
    <t>07580044202-4</t>
  </si>
  <si>
    <t>01530044202-5</t>
  </si>
  <si>
    <t>96350044202-4</t>
  </si>
  <si>
    <t>91830044202-0</t>
  </si>
  <si>
    <t>87740044202-7</t>
  </si>
  <si>
    <t>84300044202-3</t>
  </si>
  <si>
    <t>80880044202-8</t>
  </si>
  <si>
    <t>77450044202-5</t>
  </si>
  <si>
    <t>74250044202-2</t>
  </si>
  <si>
    <t>70840044202-4</t>
  </si>
  <si>
    <t>67640044202-3</t>
  </si>
  <si>
    <t>78780044202-4</t>
  </si>
  <si>
    <t>74320044202-3</t>
  </si>
  <si>
    <t>69630044202-2</t>
  </si>
  <si>
    <t>63640044202-7</t>
  </si>
  <si>
    <t>56760044202-2</t>
  </si>
  <si>
    <t>48810044202-6</t>
  </si>
  <si>
    <t>39350044202-4</t>
  </si>
  <si>
    <t>29710044202-1</t>
  </si>
  <si>
    <t>19040044202-5</t>
  </si>
  <si>
    <t>06260044202-4</t>
  </si>
  <si>
    <t>37450044202-4</t>
  </si>
  <si>
    <t>01610044202-5</t>
  </si>
  <si>
    <t>07910044202-3</t>
  </si>
  <si>
    <t>58100044202-9</t>
  </si>
  <si>
    <t>15700044202-8</t>
  </si>
  <si>
    <t>72180044202-3</t>
  </si>
  <si>
    <t>79690044202-4</t>
  </si>
  <si>
    <t>71460044202-0</t>
  </si>
  <si>
    <t>50810044202-1</t>
  </si>
  <si>
    <t>70750044202-5</t>
  </si>
  <si>
    <t>55660044202-5</t>
  </si>
  <si>
    <t>70050044202-0</t>
  </si>
  <si>
    <t>74180044202-1</t>
  </si>
  <si>
    <t>69250044202-9</t>
  </si>
  <si>
    <t>68530044202-5</t>
  </si>
  <si>
    <t>67850044202-8</t>
  </si>
  <si>
    <t>44910044202-8</t>
  </si>
  <si>
    <t>65940044202-9</t>
  </si>
  <si>
    <t>67180044202-0</t>
  </si>
  <si>
    <t>45880044202-2</t>
  </si>
  <si>
    <t>66450044202-8</t>
  </si>
  <si>
    <t>65740044202-3</t>
  </si>
  <si>
    <t>13490044202-8</t>
  </si>
  <si>
    <t>65140044202-6</t>
  </si>
  <si>
    <t>31820044202-4</t>
  </si>
  <si>
    <t>64410044202-4</t>
  </si>
  <si>
    <t>95220044202-0</t>
  </si>
  <si>
    <t>63830044202-4</t>
  </si>
  <si>
    <t>80990044202-5</t>
  </si>
  <si>
    <t>63140044202-8</t>
  </si>
  <si>
    <t>63850044202-2</t>
  </si>
  <si>
    <t>62490044202-8</t>
  </si>
  <si>
    <t>29110044202-4</t>
  </si>
  <si>
    <t>61840044202-5</t>
  </si>
  <si>
    <t>31620044202-8</t>
  </si>
  <si>
    <t>61160044202-8</t>
  </si>
  <si>
    <t>14730044202-6</t>
  </si>
  <si>
    <t>60590044202-7</t>
  </si>
  <si>
    <t>00510044202-8</t>
  </si>
  <si>
    <t>59990044202-2</t>
  </si>
  <si>
    <t>21340044202-5</t>
  </si>
  <si>
    <t>72830044202-3</t>
  </si>
  <si>
    <t>89550044202-8</t>
  </si>
  <si>
    <t>72200044202-9</t>
  </si>
  <si>
    <t>70990044202-7</t>
  </si>
  <si>
    <t>71530044202-0</t>
  </si>
  <si>
    <t>31800044202-6</t>
  </si>
  <si>
    <t>70970044202-9</t>
  </si>
  <si>
    <t>33060044202-5</t>
  </si>
  <si>
    <t>70400044202-7</t>
  </si>
  <si>
    <t>54360044202-3</t>
  </si>
  <si>
    <t>69800044202-1</t>
  </si>
  <si>
    <t>83020044202-8</t>
  </si>
  <si>
    <t>69230044202-1</t>
  </si>
  <si>
    <t>30780044202-1</t>
  </si>
  <si>
    <t>68710044202-3</t>
  </si>
  <si>
    <t>93560044202-1</t>
  </si>
  <si>
    <t>68100044202-7</t>
  </si>
  <si>
    <t>93370044202-5</t>
  </si>
  <si>
    <t>67530044202-6</t>
  </si>
  <si>
    <t>52310044202-0</t>
  </si>
  <si>
    <t>66980044202-4</t>
  </si>
  <si>
    <t>15600044202-0</t>
  </si>
  <si>
    <t>66370044202-8</t>
  </si>
  <si>
    <t>46180044202-6</t>
  </si>
  <si>
    <t>65870044202-8</t>
  </si>
  <si>
    <t>07740044202-4</t>
  </si>
  <si>
    <t>52490044202-0</t>
  </si>
  <si>
    <t>14780044202-1</t>
  </si>
  <si>
    <t>62990044202-7</t>
  </si>
  <si>
    <t> 52490044202-0 </t>
  </si>
  <si>
    <t>37160044202-9</t>
  </si>
  <si>
    <t> 55600044202-1</t>
  </si>
  <si>
    <t>TOTAIS</t>
  </si>
  <si>
    <t>PROCESSOS DEA</t>
  </si>
  <si>
    <t>MÊS/ANO</t>
  </si>
  <si>
    <t>DATA DE ENCAMINHAMENTO</t>
  </si>
  <si>
    <t>STATUS</t>
  </si>
  <si>
    <t>VALOR</t>
  </si>
  <si>
    <t>DESCENTRALIZADO EM</t>
  </si>
  <si>
    <t>PAGO EM</t>
  </si>
  <si>
    <t>1450.01.0205569/2024-33</t>
  </si>
  <si>
    <t>PRESIDIO MARIANA</t>
  </si>
  <si>
    <t>SAAE MARIANA</t>
  </si>
  <si>
    <t>2020/2021/2023</t>
  </si>
  <si>
    <t>DED</t>
  </si>
  <si>
    <t>1450.01.0015007/2026-30</t>
  </si>
  <si>
    <t>9ª RISP UBERLANDIA (SUINT)</t>
  </si>
  <si>
    <t>05/2017 A 12/2025</t>
  </si>
  <si>
    <t>PRESIDIO PROF. JACY DE ASSIS
PRES. TEÓFILO OTONI  (CAMINHÃO PIPA) / PRES. CARATINGA (CAMINHÃO PIPA)
PRESIDIO OURO PRETO  (DEPEN)</t>
  </si>
  <si>
    <t>DMAE UBERLÂNDIA
 COPASA
SANEOURO</t>
  </si>
  <si>
    <t>DEZ/2025
OUT/NOV/DEZ/2025
11/2021   02 E 10/2022   05/2024</t>
  </si>
  <si>
    <t>IDENTIFICAÇÃO</t>
  </si>
  <si>
    <t>ANÁLISE</t>
  </si>
  <si>
    <t>SOLICITAÇÃO</t>
  </si>
  <si>
    <t>CONTROLE</t>
  </si>
  <si>
    <t>GESTÃO</t>
  </si>
  <si>
    <t>Unidade</t>
  </si>
  <si>
    <t>Processo SEI</t>
  </si>
  <si>
    <t>Concessionária</t>
  </si>
  <si>
    <t>Tipo de Erro</t>
  </si>
  <si>
    <t>Data da Solicitação</t>
  </si>
  <si>
    <t>Observação</t>
  </si>
  <si>
    <t>Canal</t>
  </si>
  <si>
    <t>Protocolo</t>
  </si>
  <si>
    <t>Prazo Retorno</t>
  </si>
  <si>
    <t>Situação do Prazo</t>
  </si>
  <si>
    <t>Status</t>
  </si>
  <si>
    <t>NÓS MONTAMOS O PROCESSO</t>
  </si>
  <si>
    <t>VENC. FATURA LANÇADA</t>
  </si>
  <si>
    <t>OBSERVAÇÃO</t>
  </si>
  <si>
    <t>UNIDADE ENVIA O PROCESSO</t>
  </si>
  <si>
    <t xml:space="preserve">5ª RISP PCMG - UBERABA (PLANILHA AGUA SUINT)  
EMPENHO: 20
EMPENHO DE ENCARGOS: </t>
  </si>
  <si>
    <t> 16/02/2026
(JAN/26)</t>
  </si>
  <si>
    <r>
      <rPr>
        <sz val="10"/>
        <color rgb="FF000000"/>
        <rFont val="Calibri"/>
      </rPr>
      <t xml:space="preserve">CODAU UBERABA - (34) 3318-6000 / 3318-6050 / 3318-6051 / 0800 941 0115 /  (34) 99908-2290 WHATSAPP  ADRIANA (FINANCEIRO) / GISELE (SAC) / SOLANGE (SAC) / MARCIO (ASSESSOR EXECUTIVO)
sac@codau.com.br / julia.silva@codau.com.br  / solange.vitalino@codau.com.br  
(COD. LIGAÇÃO: 94601-0)
DIA DA LEITURA: 30 (2 MESES ANTERIORES)  VENCIMENTO: 16
PRACA MAGALHAES PINTO 604 - FABRICIO - UBERABA 
(34) 3322-5334
5ª RISP - REGIONAL: Josiley Henrique Borges Silva 
(31) 98477-9547 / (34) 99687-3149
VOIP: 3510
E-MAIL: 5rispdepen@gmail.com 
 josiley.silva@seguranca.mg.gov.br
</t>
    </r>
    <r>
      <rPr>
        <sz val="10"/>
        <color rgb="FF0070C0"/>
        <rFont val="Calibri"/>
      </rPr>
      <t>***COLOCAR OFICIO E MEMORANDO I.R. NO PROCESSO***</t>
    </r>
  </si>
  <si>
    <t xml:space="preserve">16ª REGIÃO INTEGRADA DE SEGURANÇA PÚBLICA (UNAÍ) 
EMPENHO: 17
EMPENHO DE ENCARGOS: </t>
  </si>
  <si>
    <t xml:space="preserve"> 05/03/2026
(FEV/26)
</t>
  </si>
  <si>
    <r>
      <rPr>
        <sz val="10"/>
        <color rgb="FF000000"/>
        <rFont val="Calibri"/>
      </rPr>
      <t xml:space="preserve">SAAE UNAÍ – (38) 3676-1521 / 4435 / 08000311521/ (38) 98816-1299 WHATSAPP 
(COD. LIGAÇÃO: 05248-0   ID. ELETRONICO:  0075248@H)
saae@saaeunai.mg.gov.br   
DATA LEITURA: 09
R. FILADELFO SOUZA PINTO, 141 - NOVA DIVINEIA - UNAÍ
(38) 3676-1132 (ADRIELLE / LUCIMEIA) 
(38) 99919-1251 / (31) 98479-5463 (SILVIO - DIRETOR)
16risp@seguranca.mg.gov.br, drap16risp@gmail.com / silvio.cardoso.junior@hotmail.com
silvio.cardoso@seguranca.mg.gov.br
ATESTE ASSINADO POR: LUCIMEIA/ SILVIO (DIRETOR)
16ª RISP - REGIONAL: Reginaldo Inácio da Silva 
(32) 98834-1306
E-MAIL: 16risp@seguranca.mg.gov.br 
drap16risp@gmail.com | 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 A unidade informou em nov/2024 que a tarifa A/E - (AVULSO) que estava vindo nas faturas refere-se a água fornecida pelo SAAE para a Penitenciária Agostinho de Oliveira Junior, em acordo firmado através do Processo SEI nº (1450.01.0029605/2023-04). Na fatura ref. a dez/2024 não veio a cobrança</t>
    </r>
  </si>
  <si>
    <t xml:space="preserve">8ª RISP - GOVERNADOR VALADARES (PLANILHA AGUA SUINT)  
EMPENHO: 19
EMPENHO DE ENCARGO: </t>
  </si>
  <si>
    <t xml:space="preserve">30/01/2026
(JAN/26)
</t>
  </si>
  <si>
    <r>
      <rPr>
        <sz val="10"/>
        <color rgb="FF000000"/>
        <rFont val="Calibri"/>
      </rPr>
      <t xml:space="preserve">ÁGUAS DE VALADARES: Juliane (33) 99864-1625  juliane.ferraz@aegea.com.br  / Thaissa - faturamento (33) 99732-7279 - thaissa.almeida@aguasdevaladares.com.br / Marcelo Rêgo (coordenador) - (66) 99942-0791 marcelo.roliveira@aegea.com.br
Para acessar a fatura no site da concessionária clicar em: ou entre como "imobiliária".  Escolha o usuário SEJUSP.  Todas as faturas estarão disponíveis no site. (COD. LIGAÇÃO: 847399). Se a fatura estiver com encargos, solicitar a Juliane para retirar, pois são indevidos. 
DATA LEITURA: 09
8ª RISP - REGIONAL: Cleyton Reges Cardoso
(33) 99963-8018
VOIP: 1853
E-MAIL: 8risp@seguranca.mg.gov.br 
8rispgv@gmail.com 
clayton.reges@seguranca.mg.gov.br
claytonreges@hotmail.com 
AV MINAS GERAIS-2100-A-MARIA EUGENIA-GOVERNADOR VALADARES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</si>
  <si>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CENTRO DE ATENÇÃO BIOPSICOSSOCIAL DE UBERLÂNDIA (9ª RISP)  
EMPENHO: 175
EMPENHO DE ENCARGO:   </t>
  </si>
  <si>
    <t xml:space="preserve">20/01/2026
(DEZ/25)
</t>
  </si>
  <si>
    <r>
      <rPr>
        <sz val="10"/>
        <color rgb="FF000000"/>
        <rFont val="Calibri"/>
      </rPr>
      <t xml:space="preserve">DMAE UBERLÂNDIA: (34) 3233-2532 Depto. Cobrança: Ábia / Diones /  Willian  / 3233-4300 / 3233-2590 / 34 99809- 8333 (Vanessa - Gerente Comercial) / 3233-2595 (Bruno - Faturamento) / 3233-0815 (Nazareth - REFIM) / 3233-0896 (Expediente)   nucleodecobranca@uberlandia.mg.gov.br / gerenciacomercialdmae@gmail.com
(COD. LIGAÇÃO: 56947-0)
nucleodecobranca@uberlandia.mg.gov.br    
Fatura fica disponivel por volta do dia 05. Enviar e-mail p/ a unidade se eles não enviarem o processo até o dia 10
DATA LEITURA: 04
RUA DOUTOR LUIZ ANTONIO WAACK, 1662 - UMUARAMA - UBERLÂNDIA
(34) 3229-3652 / 99159-9385 (SARA / VILENE / ELEN)
E-mail: sara.gomes.oliveira@seguranca.mg.gov.br; vilene.maglhaes@seguranca.mg.gov.br;  elen.jesus@seguranca.mg.gov.br
ATESTE ASSINADO POR: VILENE (DIRETORA)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MAIO/25)</t>
    </r>
  </si>
  <si>
    <t>9ª RISP - UBERLÂNDIA (PLANILHA AGUA SUINT)  
EMPENHO: 22
EMPENHO DE ENCARGO:</t>
  </si>
  <si>
    <t xml:space="preserve">28/01/2026
(NOV/25)
</t>
  </si>
  <si>
    <r>
      <rPr>
        <sz val="10"/>
        <color rgb="FF000000"/>
        <rFont val="Calibri"/>
      </rPr>
      <t xml:space="preserve">DMAE UBERLÂNDIA: (34) 3233-2532 Depto. Cobrança: Ábia / Diones /  Willian  / 3233-4300 / 3233-2590 / 34 99809- 8333 (Vanessa - Gerente Comercial) / 3233-2595 (Bruno - Faturamento) / 3233-0815 (Nazareth - REFIM) / 3233-0896 (Expediente)   nucleodecobranca@uberlandia.mg.gov.br / gerenciacomercialdmae@gmail.com
(COD. LIGAÇÃO: 56947-0)
nucleodecobranca@uberlandia.mg.gov.br    
Fatura fica disponivel por volta do dia 05. Enviar e-mail p/ a unidade se eles não enviarem o processo até o dia 10
DATA LEITURA: 04
AVENIDA GABRIELA JUNQUEIRA DE FREITAS,125 - P.ARTESI - MOINHO DE VENTO - UBERLÂNDIA 
(34)  
E-mail:  
ATESTE ASSINADO POR: ANDERSON FERNANDES 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MAIO/25)</t>
    </r>
  </si>
  <si>
    <t xml:space="preserve">CSE GOVERNADOR VALADARES - CIA DO ADOLESCENTE GOVERNADOR VALADARES (CIA SÃO FRANCISCO) (PLANILHA AGUA SUASE) 
EMPENHO: 76
EMPENHO DE ENCARGO: </t>
  </si>
  <si>
    <t xml:space="preserve">30/12/2025
(DEZ/25)
</t>
  </si>
  <si>
    <r>
      <rPr>
        <sz val="10"/>
        <color rgb="FF000000"/>
        <rFont val="Calibri"/>
      </rPr>
      <t xml:space="preserve">ÁGUAS DE VALADARES: Juliane (33) 99864-1625    juliane.ferraz@aegea.com.br  /  Thaissa - faturamento (33) 99732-7279 - thaissa.almeida@aguasdevaladares.com.br / Marcelo Rêgo (coordenador) - (66) 99942-0791 marcelo.roliveira@aegea.com.br
(COD. LIGAÇÃO: 690996)
Para acessar a fatura no site da concessionária clicar em: ou entre como "imobiliária".  Usuário: SEJUSP.  Todas as faturas estarão disponíveis no site. Se a fatura estiver com encargos, solicitar para retirarem, pois são indevidos.
DATA LEITURA: 30
RUA SOLDADO EDSON VELOSO, 700 - SANTOS DUMONT - GOVERNADOR VALADARES
(33) 3271-4269 | VOIP: 2605, 2606, 2609 (JACQUELINE)
(31) 98878-8497 / 99963-3003 - Mônica Cristina da Silva 
(33) 98891-0692 | VOIP: 2605 (RENATO - DIRETOR GERAL)
E-mail: monica.cristina@seguranca.mg.gov.br 
csegv.gv@gmail.com 
ciasfa@defesasocial.mg.gov.br
jacqueline.faria@seguranca.mg.gov.br 
RUA SOLDADO EDSON VELOSO, 700 - SANTOS DUMONT ll - GOV. VALADARES - MG
ATESTE ASSINADO POR: JACQUELINE/ MONICA (DIRETORA)
8ª RISP - REGIONAL: Danilo Marcos Almeida Silva Gomes 
(33) 3225-1908 (33) 99827-7354
VOIP: 1853
E-MAIL: 8risp@seguranca.mg.gov.br | 8rispgv@gmail.com | danilo.gomes@seguranca.mg.gov.br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</si>
  <si>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CSE JUIZ DE FORA (PLANILHA AGUA SUASE) 
EMPENHO: 86
EMPENHO DE ENCARGO: </t>
  </si>
  <si>
    <t xml:space="preserve">25/02/2026
(DEZ/25)
</t>
  </si>
  <si>
    <r>
      <rPr>
        <sz val="10"/>
        <color rgb="FF000000"/>
        <rFont val="Calibri"/>
      </rPr>
      <t xml:space="preserve">CESAMA -  (32) 98420-5399 / (32) 3692-9217 /  98420-5512  (JOSÉ RICARDO)  
delf@cesama.com.br
(COD. LIGAÇÃO: 1507965-10)
DATA LEITURA: 23
Fatura chega por e-mail
AV PRES JUSCELINO KUBITSCHEK, 1 - BARBOSA LAGE - JUIZ DE FORA
(32) 3221-9610 / VOIP: 5008-9610
VOIP: 5014 - Osnério (DIRETOR GERAL) 
VOIP: 5016 - Jean (DIRETOR S.)
E-mail: centrosocioeducativojf@gmail.com; 
osneriodg@gmail.com
jeanks9804@gmail.com
AVENIDA JK, 01 - SANTA LÚCIA - JUIZ DE FORA - MG
ATESTE ASSINADO POR: ALEXANDRE/ EMERSON (DIRETOR)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</si>
  <si>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                </t>
  </si>
  <si>
    <t xml:space="preserve">05/03/2026
(FEV/26)
</t>
  </si>
  <si>
    <r>
      <rPr>
        <sz val="10"/>
        <color rgb="FF000000"/>
        <rFont val="Calibri"/>
      </rPr>
      <t xml:space="preserve">ÁGUAS DE PARÁ DE MINAS: (21) 97211-8064 (WHATSAPP)  / Daniela Rezende (37) 99956-3093  OBS: No site pede e-mail e senha. Cadastrei: sandra.reno@seguranca.mg.gov.br    senha: Sejusp05487  
Necessário informar o nº da ligação (COD. LIGAÇÃO: 0900008831-9) e o CNPJ (05487631000109)
DATA LEITURA: 14
ESTRADA DOS COSTAS 0 - JOAO PAULO II - PARÁ DE MINAS 
(31) 2129-9798 
(31) 99795-7451 / (37) 99814-1157 | VOIP: 251 (MARCELO - DIRETOR)
(37) 99924-2683 | VOIP: 2514 - (LUCILENE - DIRETORA DE ATENDIMENTO) 
E-mail: cpdpc@seguranca.mg.gov.br
marcelo.barbosa@seguranca.mg.gov.br
lucilene.moreira@seguranca.mg.gov.br
rodrigo.martins.oliveira@seguranca.mg.gov.br
ATESTE ASSINADO POR: RODRIGO/ MARCELO (DIRETOR)
7ª RISP - REGIONAL: Sergio Evaristo de Souza 
(31) 99654-7783 (37) 99860-2104
VOIP: (37) 3214-1213
E-MAIL: 7risp@seguranca.mg.gov.br | 7rispdepen@gmail.com | sergio.souza@seguranca.mg.gov.br 
</t>
    </r>
    <r>
      <rPr>
        <b/>
        <sz val="10"/>
        <color rgb="FF0070C0"/>
        <rFont val="Calibri"/>
      </rPr>
      <t>* CONSTA INFORMAÇÃO DO I.R. NA FATURA. NÃO PRECISA COLOCAR OFICIO E MEMORANDO I.R. NO PROCESSO</t>
    </r>
  </si>
  <si>
    <t>CSE PIRAPORA (PLANILHA AGUA SUASE) 
EMPENHO: 73
EMPENHO DE ENCARGO:</t>
  </si>
  <si>
    <t> 15/02/2026
(JAN/26)</t>
  </si>
  <si>
    <r>
      <rPr>
        <sz val="10"/>
        <color rgb="FF000000"/>
        <rFont val="Calibri"/>
      </rPr>
      <t xml:space="preserve">SAAE PIRAPORA: (38) 98823 1137 (whatsapp) / (38) 3741 1530   contasconsumo@saaepirapora.com.br   (Necessita de e-mail e senha p/ retirar 2ª via). A fatura vai chegar por e-mail 
(COD. LIGAÇÃO: 15906-1 / Id. eletrônico: 10215906@L). 
Caso não chegue até o final do mês, enviar e-mail solicitando: contato@saaepirapora.com.br
DATA LEITURA: 22
RUA N, 365 - PRIMAVERA - PIRAPORA
(38) 98405-2478
(38) 99950-6877 - Laíse (Diretora Geral)   
csepiraporaatendimento@defesasocial.mg.gov.br
14ª RISP - REGIONAL:  Charleson Michel Pinto da Silva 
(31) 98819-4333 (31) 98405-7408 
VOIP: 
E-MAIL: 14risp@seguranca.mg.gov.br | 14ppmg@gmail.com | charleson.silva@seguranca.mg.gov.br 
</t>
    </r>
    <r>
      <rPr>
        <b/>
        <sz val="10"/>
        <color rgb="FF0070C0"/>
        <rFont val="Calibri"/>
      </rPr>
      <t>* IMUNE. NÃO PRECISA COLOCAR OFICIO E MEMORANDO I.R. NO PROCESSO</t>
    </r>
  </si>
  <si>
    <t>CSE UBERLÂNDIA (PLANILHA AGUA SUASE) 
EMPENHO: 85
EMPENHO DE ENCARGO</t>
  </si>
  <si>
    <t>20/01/2026
(NOV/25)</t>
  </si>
  <si>
    <r>
      <rPr>
        <sz val="10"/>
        <color rgb="FF000000"/>
        <rFont val="Calibri"/>
      </rPr>
      <t xml:space="preserve">DMAE UBERLÂNDIA:  (34) 3233-2532 Depto. Cobrança: Ábia / Diones /  Willian  nucleodecobranca@uberlandia.mg.gov.br  / 3233-4300 / 3233-2590 / 3233-2595 (Bruno - Faturamento) / 3233-0896 (Expediente) / Protocolo - (34) 3233-0896 | Ramal: 2698  protocolodmae@uberlandia.mg.gov.br  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(COD. LIGAÇÃO:  141370-8)
nucleodecobranca@uberlandia.mg.gov.br
DATA LEITURA/ EMISSÃO: 10
R. DA PUREZA, 101 - SÃO FRANCISCO - UBERLÂNDIA
(34) 3212-6894 / 3918 / (34) 99819-6246  
(34) 99145-4506 | VOIP: 3921 (Gilson G. Rodrigues - Diretor Geral)
E-mail: gilson.goncalves@seguranca.mg.gov.br
ATESTE ASSINADO POR: CRISTIANE/GILSON (DIRETOR GERAL)
8ª RISP - REGIONAL: Danilo Marcos Almeida Silva Gomes 
(33) 3225-1908 (33) 99827-7354
VOIP: 1853
E-MAIL: 8risp@seguranca.mg.gov.br | 8rispgv@gmail.com | danilo.gomes@seguranca.mg.gov.br 
</t>
    </r>
    <r>
      <rPr>
        <b/>
        <sz val="10"/>
        <color rgb="FF215C98"/>
        <rFont val="Calibri"/>
      </rPr>
      <t>* IMUNE. NÃO PRECISA COLOCAR OFICIO E MEMORANDO I.R. NO PROCESSO  (DESDE NOV/2025)</t>
    </r>
  </si>
  <si>
    <t xml:space="preserve">HOSPITAL PSIQUIÁTRICO E JUDICIÁRIO JORGE VAZ (BARBACENA) 
EMPENHO: 67
EMPENHO DE ENCARGO: </t>
  </si>
  <si>
    <t> 28/02/2026
(JAN/26)</t>
  </si>
  <si>
    <r>
      <rPr>
        <sz val="10"/>
        <color rgb="FF000000"/>
        <rFont val="Calibri"/>
      </rPr>
      <t xml:space="preserve">SAS BARBACENA - (32) 3339-6800  / 6831 / (32) 99954.5020 PAULA CIMINO - CHEFE DIVISÃO FATURAMENTO  (COD. LIGAÇÃO: 4076929@B)
faturamento.sas@gmail.com
DATA LEITURA: 03
RUA DR PENA, 0 - SETOR 1.02 - BARBACENA
(31) 2129-9322 / (32) 3332-3307 | VOIP: 5200 (GERAL), 5214 (RH), 5213 (NSI)
(32) 98852-4983 | VOIP: 5208 - (WEBERTON - DIRETOR G.) 
(32) 99965-7867 | VOIP: 5214 - (LEONE - DIRETOR ADM.)
(32) 98875-0579 | VOIP: 5217 - (MONIQUE - DIRETORA DE ATENDIMENTO)
E-mail: hpjj@seguranca.mg.gov.br / hpjjv@seguranca.mg.gov.br
weberton.lima@seguranca.mg.gov.br
leone.mateus@seguranca.mg.gov.br
13ª RISP - REGIONAL: Reginaldo Inácio da Silva 
(32) 98834-1306
VOIP: 
E-MAIL: sede13risp@gmail.com 
</t>
    </r>
    <r>
      <rPr>
        <sz val="10"/>
        <color rgb="FF0070C0"/>
        <rFont val="Calibri"/>
      </rPr>
      <t>* IMUNE. NÃO PRECISA COLOCAR OFICIO E MEMORANDO I.R. NO PROCESSO</t>
    </r>
  </si>
  <si>
    <t>PENITENCIÁRIA DEPUTADO EXPEDITO DE FARIA TAVARES (PATROCINIO)  
EMPENHO: 28
EMPENHO DE ENCARGO:</t>
  </si>
  <si>
    <t> 11/03/2026
(FEV/26)</t>
  </si>
  <si>
    <r>
      <rPr>
        <sz val="10"/>
        <color rgb="FF000000"/>
        <rFont val="Calibri"/>
      </rPr>
      <t xml:space="preserve">DAEPA:  (34) 3515-2600
(COD. LIGAÇÃO: 50-00001)
daepa@daepa.com.br
DATA LEITURA: 12
ESTRADA CORREGO FEIO, 0 - PENITENCIÁRIA ZONA RURAL - PATROCÍNIO
(31) 2129-9757 / (34) 98437-1565 / (34) 98437-1573 / (34) 98437-1829 
(34) 99111-0129 | VOIP: 7116 (PLÍNIO - DIRETOR GERAL)
(34) 98805-3818 | VOIP: 7106 (FLÁVIO - DIRETOR ADMINISTRATIVO)
E-mail: pdeft@seguranca.mg.gov.br
plinio.rodrigues@seguranca.mg.gov.br
flaviocabralalmeida@gmail.ocm
ATESTE ASSINADO POR: FLAVIO/SANDRO
10ª RISP - REGIONAL:  Marcos Lopes Brandão 
(31) 99795-9451 (34) 99672-5751
VOIP: 3302
E-MAIL: decimadrap@gmail.com | marcos.brandao@seguranca.mg.gov.br 
</t>
    </r>
    <r>
      <rPr>
        <b/>
        <sz val="10"/>
        <color rgb="FF0070C0"/>
        <rFont val="Calibri"/>
      </rPr>
      <t>***COLOCAR OFICIO E MEMORANDO I.R. NO PROCESSO***</t>
    </r>
  </si>
  <si>
    <t xml:space="preserve">PENITENCIÁRIA PROFESSOR ALUÍZIO IGNÁCIO DE OLIVEIRA  
EMPENHO: 45
EMPENHO DE ENCARGOS: </t>
  </si>
  <si>
    <t> 26/03/2026
(FEV/26)</t>
  </si>
  <si>
    <r>
      <rPr>
        <sz val="10"/>
        <color rgb="FF000000"/>
        <rFont val="Calibri"/>
      </rPr>
      <t xml:space="preserve">CODAU UBERABA - (34) 3318-6000 / 3318-6050 / 3318-6051 / 0800 941 0115 /  (34) 99908-2290 WHATSAPP  ADRIANA (FINANCEIRO) / GISELE (SAC) / SOLANGE (SAC) / MARCIO (ASSESSOR EXECUTIVO) / TALLITA (GERENTE COMERCIAL) / CRISTIANE (DIRETORA COMERCIAL)
sac@codau.com.br / julia.silva@codau.com.br  / solange.vitalino@codau.com.br / tallita.oliveira@codau.com.br / cristiane.fernandes@codau.com.br / marcio.fernandes@codau.com.br
Colocar o ID eletrônico sem o dígito verificador (82375 e 101490)
DATA LEITURA: 18
AVENIDA DECIO MOREIRA 400 - ZONA RURAL - UBERABA
(34) 3322-5334 / 99989-5391 / 9989-5302 | VOIP: 3519, 3503, 3517 
(34) 99139-0284 | VOIP: 3510 (JEAN - DIRETOR)
(34) 99718-4596 / (34) 99990-3173 | VOIP: 3504 (EBER - DIRETOR DE ATENDIMENTO) 
E-mail: ppaiodg@seguranca.mg.gov.br 
ppaiogaseg@seguranca.mg.gov.br
ppaiofinancas@seguranca.mg.gov.br 
jean.paulo.reis@seguranca.mg.gov.br
m12134292@seguranca.mg.gov.br
5ª RISP - REGIONAL: Josiley Henrique Borges Silva 
(31) 98477-9547 (34) 99687-3149
VOIP: 3510
E-MAIL: 5rispdepen@gmail.com | josiley.silva@seguranca.mg.gov.br 
</t>
    </r>
    <r>
      <rPr>
        <b/>
        <sz val="10"/>
        <color rgb="FF0070C0"/>
        <rFont val="Calibri"/>
      </rPr>
      <t>***COLOCAR OFICIO E MEMORANDO I.R. NO PROCESSO***</t>
    </r>
  </si>
  <si>
    <t>PENITENCIÁRIA DE FORMIGA 
EMPENHO: 29
EMPENHO DE ENCARGO</t>
  </si>
  <si>
    <t>12/03/2026
(FEV/26)</t>
  </si>
  <si>
    <r>
      <rPr>
        <sz val="10"/>
        <color rgb="FF000000"/>
        <rFont val="Calibri"/>
      </rPr>
      <t xml:space="preserve">SAAE FORMIGA: (37) 3329-2750 / (37) 99988-3050 (WHATSAPP)  (37) 99939-8099  HEYTOR  (DIRETOR) / ALINE / DERLI / MICHELE / CARMELITA (CONTAS) 
(7:30 as 11:00 / 12:00 as 16:00)
formiga.saae@gmail.com / heytorsaae@gmail.com    
(Cod. do Imovel: 028185-7   /  Id. eletrônico: 71628185@03)
DATA LEITURA: 08
RUA ALTO DO PEQUI, 350 (A) - NOSSA SRA APARECIDA - FORMIGA
(37) 3322-6392 / 3322-4940 (FABIO)
(35) 99958-5014 | VOIP: 3211 (ULISSES - DIRETOR GERAL Interino)
(37) 99808-5562 | VOIP: 3203 (MARTINELLI - DIRETOR ADMINISTRATIVO) martinelli.silva@seguranca.mg.gov.br
(37)  99864-8424 (FABIO) fabio.daniel.costa@seguranca.mg.gov.br
E-mail: pfor@seguranca.mg.gov.br
fabio.simao@seguranca.mg.gov.br
ATESTE ASSINADO POR: FABIO / ULISSES / MARTINELLI
7ª RISP - REGIONAL: Sergio Evaristo de Souza 
(31) 99654-7783 (37) 99860-2104
VOIP: (37) 3214-1213
E-MAIL: 7risp@seguranca.mg.gov.br | 7rispdepen@gmail.com | sergio.souza@seguranca.mg.gov.br 
</t>
    </r>
    <r>
      <rPr>
        <b/>
        <sz val="10"/>
        <color rgb="FF0070C0"/>
        <rFont val="Calibri"/>
      </rPr>
      <t>* IMUNE. NÃO PRECISA COLOCAR OFICIO E MEMORANDO I.R. NO PROCESSO/ CAROL</t>
    </r>
  </si>
  <si>
    <t xml:space="preserve">PENITENCIÁRIA PROFESSOR JOÃO PIMENTA DA VEIGA (UBERLÂNDIA)  
EMPENHO: 127  
EMPENHO DE ENCARGOS: </t>
  </si>
  <si>
    <t> 10/03/2026
(JAN/26)</t>
  </si>
  <si>
    <r>
      <rPr>
        <sz val="10"/>
        <color rgb="FF000000"/>
        <rFont val="Calibri"/>
      </rPr>
      <t xml:space="preserve">DMAE UBERLÂNDIA: (34) 3233-2532 Depto. Cobrança: Ábia / Diones /  Willian  / 3233-4300 / 3233-2590 (Vanessa - Gerente Comercial) / 3233-2595 (Bruno - Faturamento) / 3233-0815 (Nazareth - REFIM) / 3233-0896 (Expediente)   nucleodecobranca@uberlandia.mg.gov.br / gerenciacomercialdmae@gmail.com
Necessário preenchimento de dados do imóvel (COD. LIGAÇÃO: 133351-8)
DATA LEITURA/ EMISSÃO: 09
ESTRADA SUCUPIRA,5000 -  GLEBAS - UBERLÂNDIA
(34) 3214-5633 
(31) 98104-1142 / (34) 99253-9559 | VOIP: 7204 (CARLOS HUMBERTO - DIRETOR G.)
(34) 99979-2005 | VOIP: 7217 (RENÊ - DIRETOR ADM.)
(34) 99276-1070 | VOIP: 7208 (LIDIANNE - DIRETORIA DE ATENDIMENTO) 
E-mail: ppjpvgeral@seguranca.mg.gov.br 
carlos.humberto@seguranca.mg.gov.br
rene.oliveira@seguranca.mg.gov.br
lidianne.moura@seguranca.mg.gov.br
</t>
    </r>
    <r>
      <rPr>
        <sz val="10"/>
        <color rgb="FFFF0000"/>
        <rFont val="Calibri"/>
      </rPr>
      <t xml:space="preserve">
</t>
    </r>
    <r>
      <rPr>
        <sz val="10"/>
        <color rgb="FF000000"/>
        <rFont val="Calibri"/>
      </rPr>
      <t xml:space="preserve">9ª RISP - REGIONAL:  Marcus Vinicius de Oliveira Silva 
(31) 99791-9622 (34) 99241-7910 
VOIP:  
E-MAIL: 9risp@seguranca.mg.gov.br | assessoria.nonarisp@gmail.com | marcus.vinicius@seguranca.mg.gov.br 
</t>
    </r>
    <r>
      <rPr>
        <sz val="10"/>
        <color rgb="FF0070C0"/>
        <rFont val="Calibri"/>
      </rPr>
      <t>* IMUNE. NÃO PRECISA COLOCAR OFICIO E MEMORANDO I.R. NO PROCESSO  (DESDE NOV/2025)</t>
    </r>
  </si>
  <si>
    <t xml:space="preserve">PENITENCIÁRIA DE MURIAÉ - PENITENCIÁRIA MANOEL MARTINS LISBOA 
EMPENHO: 117
EMPENHO DE ENCARGO: </t>
  </si>
  <si>
    <t> 04/03/2026
(JAN/26)
** VER C/ O YAN SOBRE AS FATURAS QUE ESTÃO EM ABERTO NO SITE DA DEMSUR REF. A COLETA DEST. GR. GERADORES A  (MESES  02 A 10/25) - VALOR TOTAL: R$10.792,80</t>
  </si>
  <si>
    <r>
      <t xml:space="preserve">DEMSUR - DEMSUR - HENRIQUE LA GATTA - (32) 9888-4731 / 3728-2491 / MARIO - (32) 98832-5017 / BRUNO DAIER - (32) 99195-9627 / 3728-2491 (ELE JÁ TRABALHOU NA PENITENCIARIA DR. MANOEL LISBOA - MURIAÉ)
CENTRO DE PROCESSAMENTO DA DEMSUR: (32) 3696-3477 / 3475  cpd@demsur.com.br / ouvidoria@demsur.com.br / tesouraria@demsur.com.br / mario@demsur.com.br / gladson.rodrigues@demsur.com.br
(COD. LIGAÇÃO: 91427873@10) 
DATA LEITURA/ EMISSÃO: 02
AV LUCIANO RODRIGUES DE PAULA, 600 - CHÁCARA LEBLON - MURIAÉ
(32) 2129-9335 / (32) 3728-5555 / (32) 98474-5671 / (32) 98474-5322 
(32) 99128-2882 | VOIP: 3737 (LUIS CARLOS - DIRETOR)
(32) 99827-0761 | VOIP: 3719 (RAFAEL - DIRETOR ADMINISTRATIVO)
(32) 98887-7585 | VOIP: 3732 (EDUARDO - DIRETOR DE ATENDIMENTO) 
E-mail: pmmlj@seguranca.mg.gov.br
eduardo.nonato@seguranca.mg.gov.br
ATESTE ASSINADO POR: REGIANE / RAFAEL 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</si>
  <si>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BOA ESPERANÇA
 EMPENHO: 34
EMPENHO DE ENCARGOS: </t>
  </si>
  <si>
    <t> 18/03/2026
(FEV/26)</t>
  </si>
  <si>
    <r>
      <rPr>
        <sz val="10"/>
        <color rgb="FF000000"/>
        <rFont val="Calibri"/>
      </rPr>
      <t xml:space="preserve">SAAE BOA ESPERANÇA:  0800 001 0550 / (35) 3851-0550 / (35) 99225-0081 (Whatsapp) (CHRISTIAN)  Necessita de e-mail e senha p/ retirar 2ª via (COD. LIGAÇÃO: 2104771@D). Chega por e-mail. Caso não chegue até o final do mês, enviar e-mail solicitando: contaseconsumo@saae.boaesperanca.mg.gov.br  
DATA LEITURA: 11
RUA MARIQUINHA GOMES, 215 - NOVA ERA - BOA ESPERANÇA
(35) 3851-2230 / 1877 / 1795
(35) 98867-3587 (SANDRA - DIRETORA GERAL) 
(35) 98836-2515 (RAFAEL - DIRETOR ADJ.)
E-mail: prbe@seguranca.mg.gov.br
ribeiro.rafael@seguranca.mg.gov.br
6ª RISP - REGIONAL: Anamaria Borges Pereira 
(35) 9249-5356
VOIP: 
E-MAIL: 6regionalpoliciapenal@gmail.com | anamaria.pereira@seguranca.mg.gov.br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</si>
  <si>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PENITENCIÁRIA DE PONTE NOVA 
EMPENHO: 126
EMPENHO DE ENCARGO: </t>
  </si>
  <si>
    <t>10/03/2026
(JAN/26)</t>
  </si>
  <si>
    <r>
      <t xml:space="preserve">DMAES - (31) 3819-5350 (GERAL E WHATSAPP) /  (31) 99864-3862 WHATSAPP RECEPÇÃO / (31) 99585-5187 BRUNO MELLO - DIRETOR / NÁDIA AMORA - CHEFE DE CONTAS E CONSUMO     atendimento@dmaespontenova.mg.gov.br  
(COD. LIGAÇÃO: 70115871@K)
DATA LEITURA: 03
AV ANTÔNIO CONSTANTINO TRIVELLATO, 3000  - CIDADE NOVA - PONTE NOVA
(31) 2129-9429 / 9431 / 9439 / (31) 2129-9438 / (31) 3881-1653
(31) 98673-5924 | VOIP: 3361 (EULER - DIRETOR GERAL  OBS: RODRIGO - DIRETOR GERAL INTERINO A PARTIR DE 28/11/25)
(31) 99816-1057 | VOIP: 3362 (RODRIGO - DIRETOR ADMINISTRATIVO)
(31) 98920-6925 | VOIP: 3364 (DIRETOR DE ATENDIMENTO)  
E-mail: cppn@seguranca.mg.gov.br
rodrigo.martins@seguranca.mg.gov.br
ATESTE ASSINADO POR: RODRIGO
12ª RISP - REGIONAL:  Marcelo Marshal Junior 
(31) 98551-6240
VOIP: 1054
E-MAIL: 12risp@seguranca.mg.gov.br | marcelo.junior@seguranca.mg.gov.br
</t>
    </r>
    <r>
      <rPr>
        <sz val="10"/>
        <color rgb="FF0070C0"/>
        <rFont val="Calibri"/>
      </rPr>
      <t>* IMUNE. NÃO PRECISA COLOCAR OFICIO E MEMORANDO I.R. NO PROCESSO</t>
    </r>
  </si>
  <si>
    <t>+</t>
  </si>
  <si>
    <t xml:space="preserve">PRESÍDIO DE ITAMBACURI 
EMPENHO: 38
EMPENHO DE ENCARGOS: </t>
  </si>
  <si>
    <t> 20/03/2026
(FEV/26)</t>
  </si>
  <si>
    <r>
      <rPr>
        <sz val="10"/>
        <color rgb="FF000000"/>
        <rFont val="Calibri"/>
      </rPr>
      <t xml:space="preserve">SAAE ITAMBACURI: (33) 3511-1405 / 98449-1611 / 98449-1788 / 98452-8087 WHATSAPP FINANCEIRO (MARIA / ELISANGELA)
saae.contaseconsumo@gmail.com
(COD. LIGAÇÃO: 305254@A)
DATA LEITURA: 16
RUA SAO JOSE, 1719 - CENTRO - ITAMBACURI
(33) 3511-1848 / 3511-1893 / 9109-5480
(33) 99837-1881 - (RAMON - DIRETOR G.)
E-mail: pritam@seguranca.mg.gov.br
ramon.souza@seguranca.mg.gov.br
15ª RISP - REGIONAL:  Bruno Santos 
(31) 98476-2839 (33) 3523-6379 (33) 99138-7253
VOIP: 
E-MAIL: 15drap.risp@gmail.com | bruno.santos@seguranca.mg.gov.br  
</t>
    </r>
    <r>
      <rPr>
        <b/>
        <sz val="10"/>
        <color rgb="FF0070C0"/>
        <rFont val="Calibri"/>
      </rPr>
      <t>* IMUNE. NÃO PRECISA COLOCAR OFICIO E MEMORANDO I.R. NO PROCESSO</t>
    </r>
  </si>
  <si>
    <t>PENITENCIÁRIA FRANCISCO FLORIANO DE PAULA (GOVERNADOR VALADARES)
EMPENHO: 116
EMPENHO DE ENCARGO:</t>
  </si>
  <si>
    <t>27/02/2026
(JAN/26)</t>
  </si>
  <si>
    <r>
      <t xml:space="preserve">ÁGUAS DE VALADARES: Juliane (33) 99864-1625 /  Thaissa - faturamento (33) 99732-7279 - thaissa.almeida@aguasdevaladares.com.br / Marcelo Rêgo (coordenador) - (66) 99942-0791 marcelo.roliveira@aegea.com.br
Para acessar esta fatura pelo site da concessionária tem que colocar o CNPJ da SEJUSP: 05.487.631/0001-09 (COD. LIGAÇÃO: 923193-5). Se a fatura estiver com encargos, solicitar a Juliane para retirar, pois são indevidos.
DATA LEITURA/ EMISSÃO: 10
* Caminhão Pipa (eles conferem o quantitativo fornecido antes de enviar a fatura através do processo SEI). Como é a unidade que envia, insistir nas ligações para eles:   
(33) 3215-5079 / 5080 / 5120 / 5123 / 8895-7667 / (33) 3215-5080 / (33) 3215-5123 / (33) 3215-5120 (CAMILA)
(33) 99949-7011 | VOIP: 1853 (CARLOS - DIRETOR GERAL Interino)  
(33) 98813-6154 | VOIP: 1858 (DJALMA - DIRETOR ADM.) 
e-mail: pffp@seguranca.mg.gov.br 
camilla.souza@seguranca.mg.gov.br
carlos.freitas@seguranca.mg.gov.br
ATESTE ASSINADO POR: CAMILLA/CARLOS (DIRETOR)
RUA PRINCIPAL, S/N - VILA NOVA FLORESTA - GOVERNADOR VALADARES
CAMINHÃO PIPA
8ª RISP - REGIONAL: Danilo Marcos Almeida Silva Gomes 
(33) 3225-1908 (33) 99827-7354
VOIP: 1853
E-MAIL: 8risp@seguranca.mg.gov.br | 8rispgv@gmail.com | danilo.gomes@seguranca.mg.gov.br 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</si>
  <si>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JOÃO MONLEVADE 
EMPENHO: 129
EMPENHO DE ENCARGOS: </t>
  </si>
  <si>
    <t> 10/04/2026
(FEVF/26)</t>
  </si>
  <si>
    <r>
      <rPr>
        <sz val="10"/>
        <color rgb="FF000000"/>
        <rFont val="Calibri"/>
      </rPr>
      <t xml:space="preserve">DAE JOÃO MONLEVADE – (31) 3851-6288 / 0800 0260115 Flávia Karine da Silva (setor de contas e cadastros) / Luiza (Financeiro) (COD. LIGAÇÃO: 70135082@20)
DATA LEITURA: 15 (2 MESES ANTES)     VENCIMENTO: 10
cadastros@daejoaomonlevade.com.br
RUA LARANJEIRAS, 17 - METALURGICO - JOÃO MONLEVADE/MG
(31) 3851-0631 | VOIP: 1470
(31) 98475-5231 / (31) 98600-1056 | VOIP: 1475 (MELQUIDES - DIRETOR G.)
(31) 97148-2008 | VOIP: 1474 (GIORDANE - DIRETOR ADJ.)
E-mail: prjm@seguranca.mg.gov.br
melquiades.junior@seguranca.mg.gov.br
giordanesilva@gmail.com
12ª RISP - REGIONAL:  Marcelo Marshal Junior 
(31) 98551-6240
VOIP: 1054
E-MAIL: 12risp@seguranca.mg.gov.br | marcelo.junior@seguranca.mg.gov.br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</si>
  <si>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ABRE CAMPO
EMPENHO: 25
EMPENHO DE ENCARGO: </t>
  </si>
  <si>
    <t> 10/03/2026
(FEV/26)</t>
  </si>
  <si>
    <r>
      <rPr>
        <sz val="10"/>
        <color rgb="FF000000"/>
        <rFont val="Calibri"/>
      </rPr>
      <t xml:space="preserve">SAAE ABRE CAMPO:  (31) 3872-1338 / 3872-1527 / 99730-2622
(COD. LIGAÇÃO: 2043074@A)
contaseconsumo@outlook.com   
RUA JOSÉ BARBOSA DA SILVA, 91 - FERRARIA - ABRE CAMPO
(31) 3872-1307 / 3872-1104  
(31) 99878-4451 / (31) 99203-9883 (LEANDRO - DIRETOR G.) 
(31) 99750-7211 / (31) 98220-8848 (ISABELLE - DIRETORA ADJUNTO)
E-mail: prac@seguranca.mg.gov.br
leandro.freitas.silveira@seguranca.mg.gov.br
isabelle.paula@seguranca.mg.gov.br
ATESTE ASSINADO POR: ISABELLE/LEANDRO (DIRETOR) 
DATA LEITURA: 10
12ª RISP - REGIONAL:  Marcelo Marshal Junior 
(31) 98551-6240
VOIP: 1054
E-MAIL: 12risp@seguranca.mg.gov.br | marcelo.junior@seguranca.mg.gov.br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</si>
  <si>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MANHUAÇU 
EMPENHO: 42
EMPENHO DE ENCARGOS: </t>
  </si>
  <si>
    <t> 21/03/2026
(FEV/26)</t>
  </si>
  <si>
    <r>
      <rPr>
        <sz val="10"/>
        <color rgb="FF000000"/>
        <rFont val="Calibri"/>
      </rPr>
      <t xml:space="preserve">SAAE MANHUAÇU: (33) 3339-3651 / 3650 / 3666  administrativo@saaemanhuacu.mg.gov.br  
(COD. LIGAÇÃO: 04810-8 e   06316-4   ID. ELETRONICO:  8464810@F   e   4466316@F)
DATA LEITURA: 17 (MES ANTERIOR)    VENCIMENTO: 21
RUA MELO VIANA, 222 - BOM PASTOR - MANHUAÇU
(33) 3332-1986 / 3331-7754 / 3332-4404
(33) 98443-4318 (CARLOS - DIRETOR G.)
(33) 98424-4272 (JOSEPH - DIRETOR ADJ.)
E-mail: prm@seguranca.mg.gov.br
carlos.paula@seguranca.mg.gov.br
joseph.ferreira@seguranca.mg.gov.br
12ª RISP - REGIONAL:  Marcelo Marshal Junior 
(31) 98551-6240
VOIP: 1054
E-MAIL: 12risp@seguranca.mg.gov.br | marcelo.junior@seguranca.mg.gov.br 
</t>
    </r>
    <r>
      <rPr>
        <b/>
        <sz val="10"/>
        <color rgb="FF0070C0"/>
        <rFont val="Calibri"/>
      </rPr>
      <t>* IMUNE. NÃO PRECISA COLOCAR OFICIO E MEMORANDO I.R. NO PROCESSO</t>
    </r>
  </si>
  <si>
    <t>PRESÍDIO DE AIMORÉS 
EMPENHO: 14
EMPENHO DE ENCARGO:</t>
  </si>
  <si>
    <t xml:space="preserve">02/03/2026
(FEV/26)
</t>
  </si>
  <si>
    <r>
      <rPr>
        <sz val="10"/>
        <color rgb="FF000000"/>
        <rFont val="Calibri"/>
      </rPr>
      <t xml:space="preserve">SAAE AIMORÉS: (33) 3267-1119
(INSC: 223  DIG: 8   CHAVE: #00005417)
faturamento@saaeaimores.mg.gov.br ;  diretoria@saaeaimores.mg.gov.br
DATA LEITURA: 03
R. DO CAMILÃO, 82 - CENTRO - AIMORÉS
(33) 3267-2264 / (33) 3267-2267  
(31) 98499-9944 / (33) 99910-5670 (JOSÉ CARLOS - DIRETOR GERAL)
(27) 99909-1245 (DOUGLAS - DIRETOR ADJUNTO)
E-mail:  praim@seguranca.mg.gov.br
jose.fernandes.oliveira@seguranca.mg.gov.br
sheila.tetzner@seguranca.mg.gov.br
ATESTE ASSINADO POR: SHEILA/JOSÉ CARLOS (DIRETOR)
8ª RISP - REGIONAL: Danilo Marcos Almeida Silva Gomes 
(33) 3225-1908 (33) 99827-7354
VOIP: 1853
E-MAIL: 8risp@seguranca.mg.gov.br | 8rispgv@gmail.com | danilo.gomes@seguranca.mg.gov.br 
</t>
    </r>
    <r>
      <rPr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 xml:space="preserve">* A fatura c/ vencimento em 28/01 foi prorrogada p/ o dia 15/02. </t>
    </r>
    <r>
      <rPr>
        <sz val="10"/>
        <color rgb="FFFF0000"/>
        <rFont val="Calibri"/>
      </rPr>
      <t xml:space="preserve"> </t>
    </r>
  </si>
  <si>
    <t xml:space="preserve">PRESÍDIO DE MONTE CARMELO 
EMPENHO: 13
EMPENHO DE ENCARGOS: </t>
  </si>
  <si>
    <r>
      <rPr>
        <sz val="10"/>
        <color rgb="FF000000"/>
        <rFont val="Calibri"/>
      </rPr>
      <t xml:space="preserve">DMAE MONTE CARMELO - (34)  3842-2595 (JUNIOR)  whatsapp: (34) 988020212  atendimento@dmae.montecarmelo.mg.gov.br / comercial.dmae@hotmail.com / junior@dmae.montecarmelo.mg.gov.br  
(COD. LIGAÇÃO:  19156  e  11168)
As faturas ficam disponiveis somente a partir do dia 11 (vencimento: dia 28 de cada mês). Solicitação somente via e-mail (comercial.dmae@hotmail.com) ou whatsapp (34) 988020212 
DATA LEITURA/ EMISSÃO: 10
AV DA SAUDADE, 380 - BELO HORIZONTE - MONTE CARMELO
(34) 3842-4048
(34) 98889-1810 (FERNANDO - DIRETOR G.)
(34) 99187-2506 (SIDNEY - DIRETOR ADJ.)
E-mail: prmca@seguranca.mg.gov.br
m13870530@seguranca.mg.gov.br
m13442892@seguranca.mg.gov.br
10ª RISP - REGIONAL:  Marcos Lopes Brandão 
(31) 99795-9451 (34) 99672-5751
VOIP: 3302
E-MAIL: decimadrap@gmail.com | marcos.brandao@seguranca.mg.gov.br 
</t>
    </r>
    <r>
      <rPr>
        <sz val="10"/>
        <color rgb="FFFF0000"/>
        <rFont val="Calibri"/>
      </rPr>
      <t xml:space="preserve">
</t>
    </r>
    <r>
      <rPr>
        <b/>
        <sz val="10"/>
        <color rgb="FF0070C0"/>
        <rFont val="Calibri"/>
      </rPr>
      <t>***COLOCAR OFICIO E MEMORANDO I.R. NO PROCESSO***</t>
    </r>
  </si>
  <si>
    <t>PRESÍDIO DE ARAGUARI (CADEIA PUBLICA ESTADUAL) 
EMPENHO: 128
EMPENHO DE ENCARGO:</t>
  </si>
  <si>
    <t xml:space="preserve">02/03/2026
(JAN/26)
</t>
  </si>
  <si>
    <r>
      <rPr>
        <sz val="10"/>
        <color rgb="FF000000"/>
        <rFont val="Calibri"/>
      </rPr>
      <t xml:space="preserve">SAE ARAGUARI - NÉSIO - (34) 3242-3579 / 3246-7900 (WHATSAPP) (COD. LIG:  32499-0   ID. ELETRÔNICO: 00532499@230  E  COD. LIG: 43869-3  ID. ELETRÔNICO: 30543869@230) contato@saearaguari.com.br / superintendente@saearaguari.com.br
DATA LEITURA:  07 (do mesmo mês)
RUA JOAO RODRIGUES DA CUNHA, 1 - PARQUE DOS VERDES - ARAGUARI
(31) 2129-9440 / (34) 3242-8615 / 8566 / 99186-5253 | VOIP: 7300
(31) 99791-8522 / (34) 98877-5780 | VOIP: 7301 (ALEKSANDRO - DIRETOR GERAL)
(34) 98855-5372 | VOIP: 7303 (ILDA - DIRETORA ADM.)
(34) 99129-6263 | VOIP: 7314 (DÊNIA - DIRETORA DE ATENDIMENTO) 
E-mail: pra@seguranca.mg.gov.br
aleksandro.monteiro.souza@seguranca.mg.gov.br
ilda.pereira@seguranca.mg.gov.br
denia.borges@seguranca.mg.gov.br
ATESTE ASSINADO POR: ALEKSANDRO (DIRETOR)/ ILDA 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***COLOCAR OFICIO E MEMORANDO I.R. NO PROCESSO***</t>
    </r>
  </si>
  <si>
    <t xml:space="preserve">PRESÍDIO DE NANUQUE 
EMPENHO: 18
EMPENHO DE ENCARGOS: </t>
  </si>
  <si>
    <r>
      <rPr>
        <sz val="10"/>
        <color rgb="FF000000"/>
        <rFont val="Calibri"/>
      </rPr>
      <t xml:space="preserve">ÁGUAS DE NANUQUE: (33) 99880-3852 / (33) 99856-6439 / (33) 99848-5839 - Henrique  analista@aguasdenanuque.com.br / gerencial@aguasdenanuque.com.br  
* Colocar cod. ligação sem o dígito verificador: 6892-4 e a chave digital: #00167377
Fatura ref. aos serviços de esgoto. A fatura ref. ao consumo de água está na globalizada da COPASA. 
DATA LEITURA: 08
R UBERABA, 838 - CENTRO - NANUQUE/MG
(33) 3621-2659 / (33) 3621-1852
(31) 99587-3006 (ADERBAL - DIRETOR G.)
(27) 99766-8590 (JOÃO - DIRETOR ADJ.)
E-mail: prn@seguranca.mg.gov.br
aderbal.lopes@seguranca.mg.gov.br
15ª RISP - REGIONAL:  Bruno Santos 
(31) 98476-2839 (33) 3523-6379 (33) 99138-7253
VOIP: 
E-MAIL: 15drap.risp@gmail.com | bruno.santos@seguranca.mg.gov.br  
</t>
    </r>
    <r>
      <rPr>
        <b/>
        <sz val="10"/>
        <color rgb="FF0070C0"/>
        <rFont val="Calibri"/>
      </rPr>
      <t>* CONSTA INFORMAÇÃO DO I.R. NA FATURA. NÃO PRECISA COLOCAR OFICIO E MEMORANDO I.R. NO PROCESSO</t>
    </r>
  </si>
  <si>
    <t>PRESÍDIO DE BARBACENA
EMPENHO: 43
EMPENHO DE ENCARGO</t>
  </si>
  <si>
    <t> 23/03/2026
(FEV/26)</t>
  </si>
  <si>
    <r>
      <rPr>
        <sz val="10"/>
        <color rgb="FF000000"/>
        <rFont val="Calibri"/>
      </rPr>
      <t xml:space="preserve">SAS BARBACENA - (32) 3339-6800  / 6831 / (32) 99954.5020 PAULA CIMINO - CHEFE DIVISÃO FATURAMENTO  faturamento.sas@gmail.com 
(COD. LIGAÇÃO: 70334412@A)
DATA LEITURA: 16
RUA GENERAL CÂMARA, 20 - CENTRO - BARBACENA
(32) 3333-0371  
(32) 99993-9850 | VOIP: 5233 (GEOVANE - DIRETOR GERAL)
(32) 98818-8371 (LEONARDO - DIRETOR ADJUNTO)
E-mail: prbar@seguranca.mg.gov.br 
prbassin@seguranca.mg.gov.br
geovane.silva@seguranca.mg.gov.br
ATESTE ASSINADO POR: GEOVANE (DIRETOR)/ LEANDRO
13ª RISP - REGIONAL: Reginaldo Inácio da Silva 
(32) 98834-1306
VOIP: 
E-MAIL: sede13risp@gmail.com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</si>
  <si>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OURO PRETO  
EMPENHO: 26
EMPENHO DE ENCARGOS: </t>
  </si>
  <si>
    <t>10/03/2026
(FEV/26)</t>
  </si>
  <si>
    <r>
      <rPr>
        <sz val="10"/>
        <color rgb="FF000000"/>
        <rFont val="Calibri"/>
      </rPr>
      <t xml:space="preserve">SANEOURO:  (11) 95020-6424 (WHATSAPP) / 0800-0021741 / (31) 97177-6885 (VINICIUS RODRIGUES)
saneouro@gsinima.com.br 
(COD. LIGAÇÃO: 43994-0 e 40651-1)  
DATA LEITURA: 06 (DO MESMO MÊS)    VENCIMENTO: 30 (OBS: Solicitamos pelo whatsapp em 02/01/2025 a prorrogação das faturas do dia 18 para o dia 30 de cada mês)
</t>
    </r>
    <r>
      <rPr>
        <b/>
        <sz val="10"/>
        <color rgb="FFE87331"/>
        <rFont val="Calibri"/>
      </rPr>
      <t xml:space="preserve">Login: 05.487.631/0001-09
senha: Dsg@2026
</t>
    </r>
    <r>
      <rPr>
        <sz val="10"/>
        <color rgb="FF000000"/>
        <rFont val="Calibri"/>
      </rPr>
      <t xml:space="preserve">
R. DA SAUDADE, SN - JACUBA - OURO PRETO
(31) 3551-6209 / 2129-9360 | VOIP: 3630, 3638
(31) 99566-3993 | VOIP: 3636 (ANTÔNIO - DIRETOR G.) 
(27) 99979-0288 | VOIP: 3632 (EDVALDO - DIRETOR ADJ.) 
E-mail: prop@seguranca.mg.gov.br
edvaldo.dalmaschio@seguranca.mg.gov.br
3ª RISP - REGIONAL: Paulo Alexandre Duarte 
(31) 3621-1639 (31) 99202-3450 31) 99202-3450 
VOIP: 
E-MAIL: 3risp@seguranca.mg.gov.br | 3rispmg@gmail.com | paulo.duarte@seguranca.mg.gov.br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</si>
  <si>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BOCAIÚVA
EMPENHO: 37
EMPENHO DE ENCARGO: </t>
  </si>
  <si>
    <t xml:space="preserve">20/02/2026
(JAN/26)
</t>
  </si>
  <si>
    <r>
      <t xml:space="preserve">SAAE BOCAIÚVA: (38) 3251-1581 · 0800 033 1201   
(COD. LIGAÇÃO: 15685-1  ID. ELETRONICO: 10115685@L  e  COD. LIG: 4348-9  ID. ELETRONICO: 9014348@L)  
contaseconsumoboc@hotmail.com / saaebocaiuva@hotmail.com
DATA LEITURA: 21
AV. LUIS ANTONIO MONTEIRO, 1378 - ESPLANADA - BOCAIÚVA
(38) 3251-3879 (LIVIA) 
(38) 99212-4543 (FLAUBERT - DIRETOR) 
(38) 99976-9294 (JOSÉ EDMILSON) 
E-mail: bocaiuva@seguranca.mg.gov.br
flaubert.souza@seguranca.mg.gov.br 
ATESTE ASSINADO POR: JANAINA 
11ª RISP - REGIONAL:  Antônio José Costa Neto 
(31) 99803-5335 (38) 99864-9759 (38) 3212-1330
VOIP: 
E-MAIL: drap11moc@gmail.com | antonio.costa@seguranca.mg.gov.br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</si>
  <si>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PASSOS 
EMPENHO: 65
EMPENHO DE ENCARGOS: </t>
  </si>
  <si>
    <t> 26/03/2026
(FEV/25)</t>
  </si>
  <si>
    <r>
      <t xml:space="preserve">SAAE PASSOS: (35) 3529-4250 / 3529-4265 (WHATSAPP) (LUCIANO - SETOR DE CONTRATAÇÃO DE CONTAS/ GUIDO)  guido@saaepassos.com.br / atendimento@saaepassos.com.br 
(COD. LIGAÇÃO: 17138 -9 / 17824-4 / 28622-9 e 28757-3)  
* Se não conseguir emitir as faturas pelo site (4 faturas) solicitar por e-mail: atendimento@saaepassos.com.br   
DATA LEITURA: 24
RUA TURQUEZA, 0 - JARDIM ACLIMACAO - PASSOS
(35) 3526-9651 | VOIP: 3330
(35) 99827-0956 | VOIP: 3332 (SÉRGIO - DIRETOR G.)
(35) 98816-9710 | VOIP: 3332 (FRANK - DIRETOR ADJ.)
E-mail: prpas@seguranca.mg.gov.br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***COLOCAR OFICIO E MEMORANDO I.R. NO PROCESSO***</t>
    </r>
  </si>
  <si>
    <t xml:space="preserve">PRESÍDIO DE CAETÉ  
EMPENHO: 22
EMPENHO DE ENCARGO: </t>
  </si>
  <si>
    <r>
      <rPr>
        <sz val="10"/>
        <color rgb="FF000000"/>
        <rFont val="Calibri"/>
      </rPr>
      <t xml:space="preserve">SAAE CAETÉ: (31) 3651-5100 (WHATSAPP) / 3651-3611 / 3651-4800  (COD. LIGAÇÃO: 70414490@J)  Setor de contas: Ingrid  (disse em 28/01 que se gerar multa ou encargo, podemos solicitar pelo whatsapp p/ que ela retire os encargos)
DATA LEITURA: 18
RUA BARAO DO RIO BRANCO, 668 - CENTRO - CAETÉ
(31) 3651-3398 / 3651-4735 | VOIP: 7191 (NILSON) 
(33) 98407-8899 | VOIP: 7191 (CELSO - DIRETOR)  
(31) 98931-7718 | VOIP: 7192 (EDERSON - DIRETOR ADJUNTO)
E-mail: prcae@seguranca.mg.gov.br
edersonandrefs@hotmail.com
ATESTE ASSINADO POR: FABIANA/DIEGO/EDERSON
3ª RISP - REGIONAL: Paulo Alexandre Duarte 
(31) 3621-1639 (31) 99202-3450 31) 99202-3450 
VOIP: 
E-MAIL: 3risp@seguranca.mg.gov.br | 3rispmg@gmail.com | paulo.duarte@seguranca.mg.gov.br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</si>
  <si>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SACRAMENTO 
EMPENHO: 19
EMPENHO DE ENCARGOS: </t>
  </si>
  <si>
    <r>
      <rPr>
        <sz val="10"/>
        <color rgb="FF000000"/>
        <rFont val="Calibri"/>
      </rPr>
      <t xml:space="preserve">SAAE SACRAMENTO – (34) 3351-1422  (COD. LIGAÇÃO: 00363-2   ID. ELETRÔNICO: 203363@A) saaesac@saaesac.mg.gov.br
DIA DA LEITURA: 09 (MES ANTERIOR)     VENCIMENTO: 10
RUA ANÍBAL FERREIRA CANDIDO, 444 - MARIA ROSA - SACRAMENTO/MG
(34) 3351-1931 / (34) 3351-1040 | VOIP: 4560 
(34) 99166-4706 | VOIP: 4563 (RICARDO - DIRETOR G.)     
(34) 98437-9126 | VOIP: 5472 (Edion) 
E-mail: prsc@seguranca.mg.gov.br
prsc seap@gmail.com
ricardo.braz@seguranca.mg.gov.br
m14419261@seguranca.mg.gov.br
5ª RISP - REGIONAL: Josiley Henrique Borges Silva 
(31) 98477-9547 (34) 99687-3149
VOIP: 3510
E-MAIL: 5rispdepen@gmail.com | josiley.silva@seguranca.mg.gov.br 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</si>
  <si>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CAMPO BELO 
EMPENHO: 110
EMPENHO DE ENCARGO: </t>
  </si>
  <si>
    <r>
      <rPr>
        <sz val="10"/>
        <color rgb="FF000000"/>
        <rFont val="Calibri"/>
      </rPr>
      <t xml:space="preserve">DEMAE CAMPO BELO: 0800 030 0073 / (35) 99716-8898 (WHATSAPP)
(COD. LIGAÇÃO: 508/00037- D)  demae@demaecb.com.br
DATA LEITURA: 30
RUA AEROPORTO, 405 - PASSATEMPO - CAMPO BELO
(35) 3832-4363 / 3831-6300 / (31) 2129-9331 / (35) 99181-9203 / (35) 98464-8570 | VOIP: 2634 (ELIANE)
(31) 98208-4215 / (35) 99168-1859 (VALCEQUE - DIRETOR GERAL Interino)
E-mail: 
valceque.reis@seguranca.mg.gov.br
danielle.cristino@seguranca.mg.gov.br
eliane.pimenta@seguranca.mg.gov.br
ATESTE ASSINADO POR: ELIANE / DANIELLE / BRUNO 
6ª RISP - REGIONAL: Anamaria Borges Pereira 
(35) 9249-5356
VOIP: 
E-MAIL: 6regionalpoliciapenal@gmail.com | anamaria.pereira@seguranca.mg.gov.br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***COLOCAR OFICIO E MEMORANDO I.R. NO PROCESSO***</t>
    </r>
  </si>
  <si>
    <t xml:space="preserve">PRESÍDIO DE UNAÍ 
EMPENHO: 41  
EMPENHO DE ENCARGOS: </t>
  </si>
  <si>
    <r>
      <rPr>
        <sz val="10"/>
        <color rgb="FF000000"/>
        <rFont val="Calibri"/>
      </rPr>
      <t xml:space="preserve">SAAE UNAÍ – (38) 3676-1521 / 4435 / 0800 0311521 / (38) 98816-1299 WHATSAPP   saae@saaeunai.mg.gov.br   Pede e-mail e senha (COD. LIGAÇÃO: 02542-9  E  26453-1) (email: sandra.reno@seguranca.mg.gov.br/senha: 054876). Só enviam o código de barras pelo whatsapp.  Enviar email solicitando as faturas p/ saaeconta@hotmail.com  
*AS FATURAS FISICAS COSTUMAM CHEGAR NA CID. ADMINISTRATIVA. VERIFICAR TODO MÊS
DATA LEITURA: 03 (MÊS ANTERIOR)   VENCIMENTO: 20
RUA BURITIS, 0 - CENTRO - UNAÍ
(38) 3676-9732 / 3676-9412
(31) 98498-1753 / (38) 99916-3866 (JOSÉ ESTÁCIO - DIRETOR GERAL)
(38) 99971-2209 (GILCINEI - DIRETOR ADJ.)
E-mail: pru@seguranca.mg.gov.br 
prutrabalhoeproducao@seguranca.mg.gov.br
jose.estacio@seguranca.mg.gov.br
gilcinei.silva@seguranca.mg.gov.br
16ª RISP - REGIONAL: Sílvio Pereira Cardoso Júnior 
(31) 98479-5463 (38) 99919-1251 
VOIP: (38) 3676-1132 
E-MAIL: 16risp@seguranca.mg.gov.br | drap16risp@gmail.com | silvio.cardoso@seguranca.mg.gov.br
</t>
    </r>
    <r>
      <rPr>
        <b/>
        <sz val="10"/>
        <color rgb="FF0070C0"/>
        <rFont val="Calibri"/>
      </rPr>
      <t>* IMUNE.  NÃO PRECISA COLOCAR OFICIO E MEMORANDO I.R. NO PROCESSO</t>
    </r>
  </si>
  <si>
    <t xml:space="preserve">PRESÍDIO DE CARANGOLA 
EMPENHO: 24
EMPENHO DE ENCARGO: </t>
  </si>
  <si>
    <r>
      <rPr>
        <sz val="10"/>
        <color rgb="FF000000"/>
        <rFont val="Calibri"/>
      </rPr>
      <t xml:space="preserve">SEMASA CARANGOLA – (32) 3741-5609   contaseconsumo@semasacarangola.com.br  (COD. LIGAÇÃO: 02106-3)
DATA LEITURA: 10 (MÊS ANTERIOR)     VENCIMENTO: 10
RUA ARCHIMEDES MENICUCCI, 30 - CAIXA DAGUA - CARANGOLA/MG
(32) 3741-6505 / 2874 / 3549 / (32) 8474-4880 (MARAÍSA - ADM) 
(32) 99919-9915 (FERNANDO - DIRETOR GERAL)
E-mail: prcara@seguranca.mg.gov.br
fernando.franco@seguranca.mg.gov.br
ATESTE ASSINADO POR: MARAIZA / FERNANDO (DIRETOR)
4ª RISP - REGIONAL: Alexandre da Cunha Silva
(32) 99175-7976 (34) 3851-0202/ (31) 98105-9491
VOIP: (32) 3223-1690
E-MAIL: 4risp@seguranca.mg.gov.br | 4risp.seap@gmail.com | alexandre.cunha@seguranca.mg.gov.br 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 A UNIDADE INFORMOU ATRAVÉS DO PROCESSO 1450.01.0139101/2024-72 QUE A PARTIR DO MÊS DE AGOSTO/24 PODE HAVER AUMENTO NAS FATURAS DE AGUA DEVIDO À OBRAS NA CAIXA D'ÁGUA</t>
    </r>
  </si>
  <si>
    <t xml:space="preserve">PRESÍDIO PROFESSOR JACY DE ASSIS (UBERLÂNDIA)  
EMPENHO: 137
EMPENHO DE ENCARGOS: </t>
  </si>
  <si>
    <t> 10/02/2026
(DEZ/25)
OBS: 1 FATURA NO VALOR DE R$36.236,17 SERÁ FEITO PROCESSO DE DEA POIS O SALDO FOI INSUFICIENTE P/ QUITAR ESTA FATURA</t>
  </si>
  <si>
    <r>
      <rPr>
        <sz val="10"/>
        <color rgb="FF000000"/>
        <rFont val="Calibri"/>
      </rPr>
      <t xml:space="preserve">DMAE UBERLÂNDIA:  (34) 3233-2532 Depto. Cobrança: Ábia / Diones /  Willian  nucleodecobranca@uberlandia.mg.gov.br  / 3233-4300 / 3233-2590 / 3233-2595 (Bruno - Faturamento) / 3233-0896 (Expediente) / Protocolo - (34) 3233-0896 | Ramal: 2698  protocolodmae@uberlandia.mg.gov.br  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(COD. LIGAÇÃO: 133202-3 / 140100-9 / 133023-3 / 133193-0 / 160353-1 / </t>
    </r>
    <r>
      <rPr>
        <u val="double"/>
        <sz val="10"/>
        <color rgb="FF000000"/>
        <rFont val="Calibri"/>
      </rPr>
      <t xml:space="preserve">201007-0 </t>
    </r>
    <r>
      <rPr>
        <sz val="10"/>
        <color rgb="FF000000"/>
        <rFont val="Calibri"/>
      </rPr>
      <t xml:space="preserve">(verificar a data de vencimento desta fatura pois sempre vem com a data diferente das outras)  
cod. do imovel: 00020401122600019002
DATA LEITURA: 01 (MÊS ANTERIOR)   VENCIMENTO: 10
OBS: CONVERSEI C/ O DIRETOR JULIO CESAR EM 17.12 A RESPEITO DO AUMENTO DO VALOR DAS FATURAS E ELE INFORMOU QUE, DEVIDO AO CONSERTO DAS BOMBAS, O CONSUMO NORMALIZOU E QUE VIRÁ SEMPRE ESTES VALORES DAQUI PRA FRENTE
RUA CIRINEU A DE AZEVEDO, 502 - DOM ALMIR - UBERLÂNDIA
(34) 3211-8307 / (34) 3257-3705 | VOIP: 
(34) 99682-8441 | VOIP: 2203 (JULIO CÉSAR - DIRETOR G.)
(34) 99138-9515 | VOIP: 2222 (RENATO - DIRETOR ADJ.)
(34) 99181-9545 | VOIP: 2208 (MÁRCIO - DIRETOR ADM.)
prpja@seguranca.mg.gov.br
julio.ferreira@seguranca.mg.gov.br
marcio.santos@seguranca.mg.gov.br
9ª RISP - REGIONAL:  Marcus Vinicius de Oliveira Silva 
(31) 99791-9622 (34) 99241-7910 
VOIP:  
E-MAIL 9risp@seguranca.mg.gov.br | assessoria.nonarisp@gmail.com | marcus.vinicius@seguranca.mg.gov.br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IMUNE. NÃO PRECISA COLOCAR OFICIO E MEMORANDO I.R. NO PROCESSO  (DESDE NOV/2025)</t>
    </r>
  </si>
  <si>
    <t xml:space="preserve">PRESÍDIO DE CONSELHEIRO PENA 
EMPENHO: 23
EMPENHO DE ENCARGO: </t>
  </si>
  <si>
    <r>
      <rPr>
        <sz val="10"/>
        <color rgb="FF000000"/>
        <rFont val="Calibri"/>
      </rPr>
      <t xml:space="preserve">SAAE CONSELHEIRO PENA – (33) 3261-2481 / 3261-4789 / 99111-8555  - Sr. Alcenir Germano - Diretor  (COD. LIGAÇÃO:  5072233@D)  diretoria@saaeconselheiropena.com.br   
DATA LEITURA: 11
RUA ANTÔNIO APRIGIO, 0 - CENTRO - CONSELHEIRO PENA/MG
(33) 3261-1511 / (33) 98454-2099
(33) 99129-1932 (GILSON - DIRETOR GERAL)
(33) 98841-3292 (IGOR - DIRETOR ADJ) 
E-mail: prcsp@seguranca.mg.gov.br
presidioconselheiropena@gmail.com
gilsonagapito2012@gmail.com
aspigorsilva@gmail.com
ATESTE ASSINADO POR: ALEXANDER / GILSON (DIRETOR) / DYENE / HUGO
8ª RISP - REGIONAL: Danilo Marcos Almeida Silva Gomes 
(33) 3225-1908 (33) 99827-7354
VOIP: 1853
E-MAIL: 8risp@seguranca.mg.gov.br | 8rispgv@gmail.com | danilo.gomes@seguranca.mg.gov.br
</t>
    </r>
    <r>
      <rPr>
        <b/>
        <sz val="10"/>
        <color rgb="FF0070C0"/>
        <rFont val="Calibri"/>
      </rPr>
      <t>* IMUNE. NÃO PRECISA COLOCAR OFICIO E MEMORANDO I.R. NO PROCESSO</t>
    </r>
  </si>
  <si>
    <t xml:space="preserve">PRESÍDIO DE GOVERNADOR VALADARES 
EMPENHO: 36
EMPENHO DE ENCARGO:  </t>
  </si>
  <si>
    <t> 27/02/2026
(FEV/25)</t>
  </si>
  <si>
    <r>
      <rPr>
        <sz val="10"/>
        <color rgb="FF000000"/>
        <rFont val="Calibri"/>
      </rPr>
      <t xml:space="preserve">ÁGUAS DE VALADARES: Juliane (33) 99864-1625  juliane.ferraz@aegea.com.br  /  Thaissa - faturamento (33) 99732-7279 - thaissa.almeida@aguasdevaladares.com.br / Marcelo Rêgo (coordenador) - (66) 99942-0791 marcelo.roliveira@aegea.com.br   (COD. LIGAÇÃO: 664103 e 663999)
DATA LEITURA: 30
(33) 3275-0649 / 0874
(33) 3261-1511 / (33) 98454-2099
(33) 99852-9588 | VOIP: 2751 (GLEIDSON - DIRETOR GERAL)
(33) 99956-6783 | VOIP: 2763 (RAMON - DIRETOR ADM)
(33)99918-1500 | VOIP: 2756 (BRUNA - DIRETORA DE ATENDIMENTO) 
E-mail: pgvdirecao@seguranca.mg.gov.br
pgvpessoal@seguranca.mg.gov.br
bruna.juridico@live.com
ATESTE ASSINADO POR: GLEIDSON (DIRETOR)/ WILLIAN
8ª RISP - REGIONAL: Danilo Marcos Almeida Silva Gomes 
(33) 3225-1908 (33) 99827-7354
VOIP: 1853
E-MAIL: 8risp@seguranca.mg.gov.br | 8rispgv@gmail.com | danilo.gomes@seguranca.mg.gov.br
</t>
    </r>
    <r>
      <rPr>
        <sz val="10"/>
        <color rgb="FF0070C0"/>
        <rFont val="Calibri"/>
      </rPr>
      <t>* CONSTA INFORMAÇÃO DO I.R. NA FATURA. NÃO PRECISA COLOCAR OFICIO E MEMORANDO I.R. NO PROCESSO</t>
    </r>
  </si>
  <si>
    <t xml:space="preserve">PRESÍDIO DE GUANHÃES  
EMPENHO: 8
EMPENHO DE ENCARGO: </t>
  </si>
  <si>
    <t xml:space="preserve">16/02/2026
(FEV/26)
</t>
  </si>
  <si>
    <r>
      <rPr>
        <sz val="10"/>
        <color rgb="FF000000"/>
        <rFont val="Calibri"/>
      </rPr>
      <t xml:space="preserve">SAAE GUANHÃES: (33) 3421-1531 / contas@saaeguanhaes.com.br  (COD. LIGAÇÃO: 4031026@B)
DATA LEITURA: 07
R. BELO HORIZONTE, 10 - NOVO CRUZEIRO - GUANHÃES
(33) 3421-5935 / 5594 (JULIO CESAR / VALÉRIA)
(31) 98475-1540 / (33) 98722-4666 (DANIEL - DIRETOR GERAL) 
(33) 98848-7481 / (33) 99905-0995 (FLAVIO - DIRETOR ADJUNTO)
E-mail: prgnh@seguranca.mg.gov.br 
prguanhaes@gmail.com
daniel.camargos@seguranca.mg.gov.br
flavio.leal@seguranca.mg.gov.br
ATESTE ASSINADO POR: VALÉRIA / FLAVIO
8ª RISP - REGIONAL: Danilo Marcos Almeida Silva Gomes 
(33) 3225-1908 (33) 99827-7354
VOIP: 1853
E-MAIL: 8risp@seguranca.mg.gov.br | 8rispgv@gmail.com | danilo.gomes@seguranca.mg.gov.br
</t>
    </r>
    <r>
      <rPr>
        <b/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>*OBS: A FATURA DE JAN/25 FOI PRORROGADA P/ 30/01
SOLICITAMOS EM 20/01 NOVA PRORROGAÇÃO P/ 15/02
COMO NÃO TIVERMOS RETORNO DA CONCESSIONÁRIA, LIGUEI EM 30/01 E FALEI C/ GLEIDSON. ENVIARAM UM OFICIO INDEFERINDO O PEDIDO. COLOQUEI NO PROCESSO JUNTAMENTE C/ A JUSTIFICATIVA PQ PROVAVELMENTE HAVERÁ ENCARGOS.  OBS: ASSIM QUE A FATURA FOR PAGA, ENVIAR A OP P/ A CONCESSIONÁRIA RESPONDENDO ESTE E-MAIL DO INDEFERIMENTO, SOLICITANDO A RETIRADA DOS ENCARGOS NA PROXIMA FATURA</t>
    </r>
  </si>
  <si>
    <t xml:space="preserve">PRESÍDIO DE ITAÚNA 
EMPENHO: 20
EMPENHO DE ENCARGO: </t>
  </si>
  <si>
    <r>
      <t xml:space="preserve">SAAE ITAÚNA: (37) 3249-5800 / 3249-5822 / 5852 (LUIZ / ANA LUISA - FINANCEIRO) / 3249-5868 (DENISE - GERENTE) / (37) 98410-0491  WHATSAPP    faturamento@saaeitauna.com.br / contabil@saaeitauna.com.br
(COD. LIGAÇÃO:  80227128@7  e   00227580@7)  
DATA LEITURA: 14
* A fatura é gerada após o dia 20
RUA SANTANA, 0 - GRAÇAS - ITAUNA/MG
(37) 3242-1352 / 2129-9357 
(37) 98835-4607 | VOIP: 9135 (ANDRÉ - DIRETOR G.)
E-mail: pritau@seguranca.mg.gov.br
andre.luiz.felix@seguranca.mg.gov.br
tania.silva@seguranca.mg.gov.br
ATESTE ASSINADO POR: ANDRE LUIZ / TÂNIA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 IMUNE. NÃO PRECISA COLOCAR OFICIO E MEMORANDO I.R. NO PROCESSO</t>
    </r>
  </si>
  <si>
    <t>PRESÍDIO DE ITUIUTABA 
EMPENHO: 46
EMPENHO DE ENCARGO:</t>
  </si>
  <si>
    <t xml:space="preserve">28/03/2026
(FEV/26)
</t>
  </si>
  <si>
    <r>
      <rPr>
        <sz val="10"/>
        <color rgb="FF000000"/>
        <rFont val="Calibri"/>
      </rPr>
      <t xml:space="preserve">SAE ITUIUTABA – (34) 3268-0400 / 0448 / 0800348195   contato@sae.com.br  
(COD. LIGAÇÃO: 16341-0  / ID. ELETRÔNICO: 01816341@01)
DIA DA LEITURA: 03 (MÊS ANTERIOR)   VENCIMENTO: 28
AV PROF.JOSÉ V.MENDONCA, 650 - SETOR NORTE - ITUIUTABA
(34) 3268-7083 / (31) 2129-9390 
(31) 99254-2779 / (34) 99965-9662 | VOIP: 3540 (ABILIO - DIRETOR G.)
(34) 99832-6171 | VOIP: 3532 (THIAGO - DIRETOR ADM.)
(34) 99838-4539 | VOIP: 3535 (DANIEL - DIRETOR DE ATENDIMENTO) 
E-mail: pritu@seguranca.mg.gov.br
abilio.neto@seguranca.mg.gov.br
abilio1231@gmail.com
thiago.magalhaes@seguranca.mg.gov.br 
daniel.plazzi@seguranca.mg.gov.br 
ATESTE ASSINADO POR: THIAGO / DAMIÃO / ABÍLIO
9ª RISP - REGIONAL:  Marcus Vinicius de Oliveira Silva 
(31) 99791-9622 (34) 99241-7910 
VOIP:  
E-MAIL 9risp@seguranca.mg.gov.br | assessoria.nonarisp@gmail.com | marcus.vinicius@seguranca.mg.gov.br 
</t>
    </r>
    <r>
      <rPr>
        <b/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</si>
  <si>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LAGOA DA PRATA
EMPENHO: 30
EMPENHO DE ENCARGO: </t>
  </si>
  <si>
    <t>15/03/2026
(FEV/26)</t>
  </si>
  <si>
    <r>
      <rPr>
        <sz val="10"/>
        <color rgb="FF000000"/>
        <rFont val="Calibri"/>
      </rPr>
      <t xml:space="preserve">SAAE LAGOA DA PRATA: (37) 3261-3400 (WHATSAPP)  SANDRA   contas@saaelp.mg.gov.br     
(COD. LIGAÇÃO: 00113724@L /  5018145@L e 00121917@L) 
DATA LEITURA: 01
R. JOAQUIM G. PEREIRA, 222 - AMERICO SILVA - LAGOA DA PRATA
(37) 3261-2210 / 3231 (ALISON) / 6912 / (37) 99191-0540 (WELLINGTON) 
(37) 99125-3803 | VOIP: 9726 (PEDRO- DIRETOR G.) 
E-mail: prlp@seguranca.mg.gov.br
ATESTE ASSINADO POR: NATHAN / ALISON / PEDRO HENRIQUE 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</si>
  <si>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LUZ 
EMPENHO: 109
EMPENHO DE ENCARGO: </t>
  </si>
  <si>
    <r>
      <t xml:space="preserve">SAAE LUZ: (37) 3421-2019 / WHATSAPP: (37) 99977-5562  (Paula Mara) 
(COD. LIGAÇÃO: 7125546@01)   contasconsumosaae01@gmail.com  
DATA LEITURA: 10
OBS: Fatura ref. aos serviços de esgoto. A fatura ref. ao consumo de água está na globalizada da COPASA. 
O diretor informou que o SAAE envia a fatura no e-mail da unidade mensalmente. 
RUA VIGARIO PARREIRAS, 1007 - CENTRO - LUZ
(37) 3421-3235 / 9229 / 9361
(31) 98480-1794 / (37) 99816-5501 (MARCIO - DIRETOR G.)
(37) 98816-1107 (LUIZ HENRIQUE - DIRETOR ADJ.)
e-mail:  presidiodeluz@gmail.com
marcio.oliveira.pereira@seguranca.mg.gov.br
luiz.hermones@seguranca.mg.gov.br
ATESTE ASSINADO POR: MARCIO (DIRETOR GERAL)/ LUIZ HENRIQUE
7ª RISP - REGIONAL: Sergio Evaristo de Souza 
(31) 99654-7783 (37) 99860-2104
VOIP: (37) 3214-1213
E-MAIL: 7risp@seguranca.mg.gov.br | 7rispdepen@gmail.com | sergio.souza@seguranca.mg.gov.br
</t>
    </r>
    <r>
      <rPr>
        <sz val="10"/>
        <color rgb="FF0070C0"/>
        <rFont val="Calibri"/>
      </rPr>
      <t>***COLOCAR OFICIO E MEMORANDO I.R. NO PROCESSO***</t>
    </r>
  </si>
  <si>
    <t xml:space="preserve">PRESÍDIO DE MANHUMIRIM 
EMPENHO: 134
EMPENHO DE ENCARGO: </t>
  </si>
  <si>
    <t>10/02/2026
(DEZ/25)</t>
  </si>
  <si>
    <r>
      <t xml:space="preserve">SAAE MANHUMIRIM: (33) 3341-1545   atendimentosaaemanhumirim@gmail.com    (COD. LIGAÇÃO: 03342-3   ID. ELETRÔNICO:  3103342@01)  
DIA DA LEITURA: 22 (2 MESES ANTERIORES)    VENCIMENTO: 10
AV TEOFILO TOSTES, 143 - CENTRO - MANHUMIRIM
(33) 3341-2982 / 3235 / (35) 3264-1379 / (31) 98272-6679 / (31) 98269-8135 (CASATE / ANE)  
(31) 98238-6871 / (33) 98421-1047 (FABRÍCIO - DIRETOR G.)
(33) 98441-2629 (ELAINE - DIRETOR ADJ.)
E-mail: prmirim@seguranca.mg.gov.br
fabriciovieirapaulino@gmail.com
elaine.amorim@seguranca.mg.gov.br / elaineamorim61@gmail.com
ATESTE ASSINADO POR: FABRICIO (DIRETOR)/ LEONARDO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</si>
  <si>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MANTENA 
EMPENHO: 145
EMPENHO DE ENCARGO: </t>
  </si>
  <si>
    <r>
      <rPr>
        <sz val="10"/>
        <color rgb="FF000000"/>
        <rFont val="Calibri"/>
      </rPr>
      <t xml:space="preserve">SAAE MANTENA - (33) 3241-1299  
(COD. LIGAÇÃO: 01782-2   ID. ELETRÔNICO:  2031782@D)  VENCIMENTO: 28
DIA DA LEITURA: 10 (DO MESMO MÊS)
RUA ROBERTO JORIO, 249 - SANTO ANTONIO - MANTENA
(33) 3241-1741 / 2068 / (33) 98454-2167 /(33) 99159-0016 (IARLA)
(33) 99130-9490 (JOÃO HENRIQUE - DIRETOR GERAL) 
e-mail: prmant@seguranca.mg.gov.br
ATESTE ASSINADO POR: IARLA/ JOÃO HENRIQUE
8ª RISP - REGIONAL: Danilo Marcos Almeida Silva Gomes 
(33) 3225-1908 (33) 99827-7354
VOIP: 1853
E-MAIL: 8risp@seguranca.mg.gov.br | 8rispgv@gmail.com | danilo.gomes@seguranca.mg.gov.br 
</t>
    </r>
    <r>
      <rPr>
        <sz val="10"/>
        <color rgb="FFFF0000"/>
        <rFont val="Calibri"/>
      </rPr>
      <t xml:space="preserve">
</t>
    </r>
    <r>
      <rPr>
        <sz val="10"/>
        <color rgb="FF0070C0"/>
        <rFont val="Calibri"/>
      </rPr>
      <t>* IMUNE. CONSTA INFORMAÇÃO DO I.R. NA FATURA. NÃO PRECISA COLOCAR OFICIO E MEMORANDO I.R. NO PROCESSO</t>
    </r>
  </si>
  <si>
    <t xml:space="preserve">PRESÍDIO DE MARIANA  
EMPENHO: 165
EMPENHO DE ENCARGO: </t>
  </si>
  <si>
    <t xml:space="preserve">28/02/2026
(DEZ/25)
</t>
  </si>
  <si>
    <t>SAAE MARIANA: (31) 3557-9300 / 99514-1285 (Leandra - Gerente)
(COD. LIGAÇÃO: 16325-3 e 19124-7)  comercial@saaemariana.mg.gov.br  / tesouraria@saaemariana.mg.gov.br
DIA DA LEITURA: 09    VENCIMENTO: 28
RUA 16 DE JULHO, 1 - CENTRO - MARIANA
(31) 3557-1603
(31) 97203-4027 (ALINE - DIRETORA G.) 
(28) 99956-1437 (WELLINGTON - DIRETOR  ADJ.)
E-mail: prmar@seguranca.mg.gov.br / presidio.mariana@gmail.com
aline.mota@seguranca.mg.gov.br
wellington.junior@seguranca.mg.gov.br
ATESTE ASSINADO POR: ALINE (DIRETORA)/ ALINA
3ª RISP - REGIONAL: Paulo Alexandre Duarte 
(31) 3621-1639 (31) 99202-3450 31) 99202-3450 
VOIP: 
E-MAIL: 3risp@seguranca.mg.gov.br | 3rispmg@gmail.com | paulo.duarte@seguranca.mg.gov.br 
***COLOCAR OFICIO E MEMORANDO I.R. NO PROCESSO***</t>
  </si>
  <si>
    <t>PRESÍDIO DE MURIAÉ 
EMPENHO: 33
EMPENHO DE ENCARGO:</t>
  </si>
  <si>
    <t>16/03/2026
(FEV/26)
* OBS: Foi solicitado o desmembramento das faturas devido ao fornecimento de caminhão pipa, pois este deverá ser pago via indenização.</t>
  </si>
  <si>
    <r>
      <t xml:space="preserve">DEMSUR - HENRIQUE LA GATTA - (32) 9888-4731 / 3728-2491 / MARIO - (32) 98832-5017 / BRUNO DAIER - (32) 99195-9627 / 3728-2491 (ELE JÁ TRABALHOU NA PENITENCIARIA DR. MANOEL LISBOA - MURIAÉ)
DEMSUR - DEMSUR - HENRIQUE LA GATTA - (32) 9888-4731 / 3728-2491 / MARIO - (32) 98832-5017 / BRUNO DAIER - (32) 99195-9627 / 3728-2491 (ELE JÁ TRABALHOU NA PENITENCIARIA DR. MANOEL LISBOA - MURIAÉ)
CENTRO DE PROCESSAMENTO DA DEMSUR: (32) 3696-3477 / 3475  cpd@demsur.com.br / ouvidoria@demsur.com.br / tesouraria@demsur.com.br / mario@demsur.com.br / gladson.rodrigues@demsur.com.br
(COD. LIGAÇÃO: 31385-8    ID. ELETRÔNICO: 80331385@14) 
DIA DA LEITURA: 20 (MÊS ANTERIOR)      VENCIMENTO: 14
RUA JOSE FREITAS LIMA, 2 - SAFIRA - MURIAÉ
(32) 3722-3942 / 3721-7217 / 2129-8107 | VOIP: 5430
(31) 99958-1834 / (32) 99957-6777 / 99827-0761 | VOIP: 5451 (RAFAEL - DIRETOR G.)
(32) 98803-8691 | VOIP: 5453(WILSON - DIRETOR ADJ.)
E-mail: prmur@seguranca.mg.gov.br
rafael.braz@seguranca.mg.gov.br
ATESTE ASSINADO POR: RAFAEL (DIRETOR)/ WILSON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</si>
  <si>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>PRESÍDIO DE NOVA ERA
EMPENHO: 115
EMPENHO DE ENCARGO:</t>
  </si>
  <si>
    <t xml:space="preserve">20/03/2026
(FEV/26)
</t>
  </si>
  <si>
    <r>
      <rPr>
        <sz val="10"/>
        <color rgb="FF000000"/>
        <rFont val="Calibri"/>
      </rPr>
      <t xml:space="preserve">SEMAE NOVA ERA: (31) 3861-4213  (SHEILA)  / 3861-1661/ 3861-1766    dae@novaera.mg.gov.br
(COD. LIGAÇÃO: 05666-3    ID. ELETRÔNICO: 3075666@B)
DIA DA LEITURA: 16 (MÊS ANTERIOR)     VENCIMENTO: 20
R. GASPAR DE MORAIS, S/Nº - CENTRO - NOVA ERA
(31) 3861-1653 / 1660  (NATHALIA / ELICIANE)
(31) 98493-2032 / (31) 98700-4522 (THIAGO - DIRETOR G.)
(31) 98632-6840 (ALEXANDRO - DIRETOR ADJ.)
E-mail: prnegeral@seguranca.mg.gov.br
thiago.miranda@seguranca.mg.gov.br
ATESTE ASSINADO POR: ELICIANE / THIAGO (DIRETOR)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 xml:space="preserve">* IMUNE. NÃO PRECISA COLOCAR OFICIO E MEMORANDO I.R. NO PROCESSO
</t>
    </r>
    <r>
      <rPr>
        <sz val="10"/>
        <color rgb="FF000000"/>
        <rFont val="Calibri"/>
      </rPr>
      <t xml:space="preserve">
*Conversei c/ Alessandro em 20/01 e ele disse que a fatura de JAN/2025 veio com consumo 0 e taxa minima porque lá são menos de 20 funcionários e no proximo mês vem um valor maior (cumulativo). Conversei novamente c/ ele em 19/11 devido ao consumo ter vindo apenas 19m³</t>
    </r>
  </si>
  <si>
    <t xml:space="preserve">PRESÍDIO DE OLIVEIRA (DOUTOR NELSON PIRES) 
EMPENHO: 66
EMPENHO DE ENCARGO: </t>
  </si>
  <si>
    <r>
      <t xml:space="preserve">SAAE OLIVEIRA: (37) 3331-4333 (ANA CARLA)  atendimento_publico@saaeoliveira.com.br 
FABRICIA - GERENTE  - (37) 99863-0814 / (37) 99838-8026 (LUCAS - DIRETOR)
(COD. LIGAÇÃO: : 10840-7   ID. ELETRÔNICO: 71210840@D)
DIA DA LEITURA: 14 (MÊS ANTERIOR)   VENCIMENTO: 15
RODOVIA BR 369 - KM 1, 4001 - MARTINS - OLIVEIRA
(37) 99138-3572
(37) 99935-7201 | VOIP: 8630 (TIAGO - DIRETOR_
(37) 98842-1927 | VOIP: 8636 (ALEXSANDER - DIRETOR ADJUNTO)
VOIP: 8630 / 8636  / 2129-8125 / (37) 99138-3572 (KARINA) 
prdnp@seguranca.mg.gov.br
tiago.souza@seguranca.mg.gov.br
ATESTE ASSINADO POR: KARINA / TIAGO (DIRETOR) / ALEXANDER / BRENO 
6ª RISP - REGIONAL: Anamaria Borges Pereira 
(35) 9249-5356
VOIP: 
E-MAIL: 6regionalpoliciapenal@gmail.com | anamaria.pereira@seguranca.mg.gov.br 
</t>
    </r>
    <r>
      <rPr>
        <sz val="10"/>
        <color rgb="FF0070C0"/>
        <rFont val="Calibri"/>
      </rPr>
      <t>* IMUNE. NÃO PRECISA COLOCAR OFICIO E MEMORANDO I.R. NO PROCESSO</t>
    </r>
  </si>
  <si>
    <t xml:space="preserve">PRESÍDIO DE PIRAPORA  
EMPENHO: 35
EMPENHO DE ENCARGO: </t>
  </si>
  <si>
    <t>  18/03/2026
(FEV/26)</t>
  </si>
  <si>
    <r>
      <rPr>
        <sz val="10"/>
        <color rgb="FF000000"/>
        <rFont val="Calibri"/>
      </rPr>
      <t xml:space="preserve">SAAE PIRAPORA: (38) 98823 1137 (whatsapp) / (38) 3741 1530   contasconsumo@saaepirapora.com.br  (Necessita de e-mail e senha p/ retirar 2ª via). A fatura vai chegar por e-mail 
(COD. LIG:  04178-0  ID. ELETRONICO: 0014178@FS  e  COD. LIG: 18141-2  ID. ELETRÔNICO: 20118141@FS)
DIA DA LEITURA: 11 (MÊS ANTERIOR)   VENCIMENTO: 18
AV BENJAMIN CONSTANT, 185 - SANTOS DUMONT - PIRAPORA
(38) 3741-1780 (PATRICIA) / (38) 99967-2848 (KELEN)
(31) 99651-2527 | VOIP: 5161 (GERALDO - DIRETOR G.)
(38) 99215-8034 | VOIP: 5173 (GABRIEL - DIRETOR ADJ.)
E-mail: prpir@seguranca.mg.gov.br
geraldo.rangel.guedes@seguranca.mg.gov.br
gabrielmarvi@gmail.com
ATESTE ASSINADO POR: KELEN/ GERALDO (DIRETOR)
14ª RISP - REGIONAL:  Charleson Michel Pinto da Silva 
(31) 98819-4333 (31) 98405-7408 
VOIP: 
E-MAIL: 14risp@seguranca.mg.gov.br | 14ppmg@gmail.com | charleson.silva@seguranca.mg.gov.br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</si>
  <si>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PIUMHI 
EMPENHO: 39
EMPENHO DE ENCARGO: </t>
  </si>
  <si>
    <r>
      <t xml:space="preserve">SAAE PIUMHI -  (37) 3371-1332   HYAGO L. DE SÁ 
(COD. LIGAÇÃO: 08716-3   ID. ELETRÔNICO: 3048716@C)  
saae@saaepiumhi.mg.gov.br
DIA DA LEITURA: 15 (MES ANTERIOR)    VENCIMENTO: 20
RUA LIBERDADE, 240 - COLINA - PIUMHI/MG
(37) 3371-7721 / 2953 / (37) 98418-4605 | VOIP: 4190, 4193
VOIP: 8431 (PATRICK - DIRETOR GERAL) 
(37) 99981-8689 | VOIP: 8432 (HERBERT - DIRETOR ADJ.)
E-mail: prpi@seguranca.mg.gov.br
herbert.nunes@seguranca.mg.gov.br
ATESTE ASSINADO POR: JOSÉ/ HERBERT (DIRETOR)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 IMUNE. NÃO PRECISA COLOCAR OFICIO E MEMORANDO I.R. NO PROCESSO</t>
    </r>
  </si>
  <si>
    <t>PRESÍDIO DE POÇOS DE CALDAS 
EMPENHO: 135
EMPENHO DE ENCARGO:</t>
  </si>
  <si>
    <r>
      <t xml:space="preserve">DMAE POÇOS DE CALDAS - (35) 3697-0600 / (35) 99124-8077 
(COD. LIGAÇÃO: 12843-30   ID. ELETRÔNICO: 00412843@33)   
OBS: Site DMAE pede matrícula (12843), digito (30) e CNPJ (05487631000109) p/ entrar.  
atendimento@dmaepc.mg.gov.br
DIA DA LEITURA: 16 (MÊS ANTERIOR)     VENCIMENTO: 10
RUA DA SAUDADE, 169 - CAMPO DA MOGIANA - POÇOS DE CALDAS
(35) 3722-1170 / 3712-2444 | VOIP: 9556
(31) 97135-7741 (EDSON - DIRETOR G.)
99720-8558 (RAFAEL)
E-mail: prpc@seguranca.mg.gov.br
rafael.sulino@seguranca.mg.gov.br
ATESTE ASSINADO POR: RAFAEL/ WILLIAN (DIRETOR) 
18ª RISP - REGIONAL:  Francisco Alves da Silva Neto 
(31) 98278-2994 (32) 99920-2431 
VOIP: (35) 3712-1882 
E-MAIL: 18o.drpp@gmail.com | francisco.neto@seguranca.mg.gov 
</t>
    </r>
    <r>
      <rPr>
        <sz val="10"/>
        <color rgb="FF0070C0"/>
        <rFont val="Calibri"/>
      </rPr>
      <t>* IMUNE. NÃO PRECISA COLOCAR OFICIO E MEMORANDO I.R. NO PROCESSO</t>
    </r>
  </si>
  <si>
    <t>PRESÍDIO DE PONTE NOVA 
EMPENHO: 40
EMPENHO DE ENCARGO:</t>
  </si>
  <si>
    <r>
      <rPr>
        <sz val="10"/>
        <color rgb="FF000000"/>
        <rFont val="Calibri"/>
      </rPr>
      <t xml:space="preserve">DMAES - (31) 3819-5350 (GERAL E WHATSAPP) /  (31) 99864-3862 WHATSAPP RECEPÇÃO / (31) 99585-5187 BRUNO MELLO - DIRETOR  / NÁDIA AMORA - CHEFE DE CONTAS E CONSUMO
atendimento@dmaespontenova.mg.gov.br
(COD. LIGAÇÃO:  15406-2   ID. ELETRÔNICO: 20115406@G)
DIA DA LEITURA: 12 (MÊS ANTERIOR)
RUA FELISBERTO LEOPOLDO, 252 - SANTA TEREZA - PONTE NOVA
(31) 2129-9429 / 9431 / 9439 / 9438 / (31) 3881-1653 | VOIP: 3361, 3365 
(31) 98673-5924 | VOIP: 3361 (EULER - DIRETOR G.)
(31) 99816-1057 | VOPI: 3362 (RODRIGO - DIRETOR ADM.)
(31) 98920-6925 | VOIP: 3364 (LUIZ - DIRETOR DE ATENCIMDENTO)
E-mail: cppn@seguranca.mg.gov.br
ATESTE ASSINADO POR: EULER/RODRIGO
12ª RISP - REGIONAL:  Marcelo Marshal Junior 
(31) 98551-6240
VOIP: 1054
E-MAIL: 12risp@seguranca.mg.gov.br | marcelo.junior@seguranca.mg.gov.br 
</t>
    </r>
    <r>
      <rPr>
        <sz val="10"/>
        <color rgb="FF0070C0"/>
        <rFont val="Calibri"/>
      </rPr>
      <t>* IMUNE. NÃO PRECISA COLOCAR OFICIO E MEMORANDO I.R. NO PROCESSO</t>
    </r>
  </si>
  <si>
    <t>PRESÍDIO DE SÃO JOÃO DEL REI 
EMPENHO: 44
EMPENHO DE ENCARGO:</t>
  </si>
  <si>
    <t> 23/03/2026
(FEV/25)</t>
  </si>
  <si>
    <r>
      <t xml:space="preserve">DAMAE: (32) 3371-8080 / 3371-8365 (Raianna Alencar - Diretora Financeira)  financeiro@damaesjdr.mg.gov.br / compras.damae@mgconecta.com.br / contabilidade.damae@mgconecta.com.br
(COD. LIG:  12276-2   ID. ELETRÔNICO: 24312276@02  e  COD. LIG:  8683-5  ID. ELETRÔNICO: 7408683@02)
DIA DA LEITURA/EMISSÃO: 10 (MÊS ANTERIOR)            VENCIMENTO:  23
RUA SEM DENOMINAÇÃO, 0, (MAMBENGO), BONFIM - SÃO JOÃO DEL REI
RUA AURELIANO RAPOSO, 87, CENTRO - SÃO JOÃO DEL REI
(32) 3371-7095 / (31) 2129-9317 | VOIP: 2711 (PAULO ALEXANDRE / ADRIANO) 
(32) 99945-7662 | VOIP: 2714 (CHARLES - DIRETOR G.) 
(37) 99907-4115 | VOIP: 2701 (ADRIANO - DIRETOR DE ATENDIMENTO) 
E-mail: prsdr@seguranca.mg.gov.br
charles.nascimento@seguranca.mg.gov.br
ATESTE ASSINADO POR: CRISTIANO/ CHARLES
13ª RISP - REGIONAL: Reginaldo Inácio da Silva 
(32) 98834-1306
VOIP: 
E-MAIL: sede13risp@gmail.com 
</t>
    </r>
    <r>
      <rPr>
        <sz val="10"/>
        <color rgb="FF0070C0"/>
        <rFont val="Calibri"/>
      </rPr>
      <t xml:space="preserve">* IMUNE. NÃO PRECISA COLOCAR OFICIO E MEMORANDO I.R. NO PROCESSO  </t>
    </r>
    <r>
      <rPr>
        <sz val="10"/>
        <color rgb="FF000000"/>
        <rFont val="Calibri"/>
      </rPr>
      <t xml:space="preserve"> OBS: COLOCAMOS NO PROCESSO 1450.01.0155714/2024-49 A FOTO DO VERSO DA FATURA FISICA ONDE CONSTA QUE É IMUNE AO IRRF
* solicitei por e-mail o envio do histórico de consumo de água dos últimos 12 meses porém informaram que O DAMAE não possui hidrômetro, que o sistema de cobrança é por tabela (cobram tarifa pela água e esgoto).</t>
    </r>
  </si>
  <si>
    <t>PRESÍDIO DE SÃO LOURENÇO
EMPENHO: 27
EMPENHO DE ENCARGO:</t>
  </si>
  <si>
    <r>
      <t xml:space="preserve">SAAE SÃO LOURENÇO: (35) 3339-4500 / 3339-4506  (Felipe / Rose / Natalia / Joseane) 
(COD. LIGAÇÃO: 13813-1  ID. ELETRÔNICO: 10613813@C)  secretaria@saaesaolourenco.mg.gov.br  
DIA DA LEITURA: 18 (MÊS ANTERIOR)     VENCIMENTO: 10
A leitura do hidrômetro é feita entre os dias 19 e 20 de cada mês, portanto a fatura digital é liberada no dia seguinte. Se caso não enviarem o processo até o dia 24, deve ligar para a unidade cobrando
RUA IPIRANGA, 170 - CENTRO - SÃO LOURENÇO
(35) 3332-7689 / 3332-5041 | VOIP: 4415
(31) 99689-3027 / (35) 98441-5667 (RAFAEL - DIRETOR G.) 
(35) 98872-0190 ( JOSÉ - DIRETOR ADM.)
(35) 98831-6587 (RODRIGO - DIREOTOR DE ATENDIMENTO)
E-mail: prsaolourenco@seguranca.mg.gov.br
rafael.ribeiro@seguranca.mg.gov.br
jose.jacinto@seguranca.mg.gov.br
martins.rodrigo@seguranca.mg.gov.br
ATESTE ASSINADO POR: RAFAEL (DIRETOR)/ TATIANA
17ª RISP - REGIONAL:  Gilson Rafael Silva 
(24) 99947-7165 
VOIP: (35) 3423-5181 
E-MAIL: 17risp@seguranca.mg.gov.br | gilson.silva@seguranca.mg.gov.br
</t>
    </r>
    <r>
      <rPr>
        <sz val="10"/>
        <color rgb="FF0070C0"/>
        <rFont val="Calibri"/>
      </rPr>
      <t>* IMUNE. NÃO PRECISA COLOCAR OFICIO E MEMORANDO I.R. NO PROCESSO</t>
    </r>
  </si>
  <si>
    <t xml:space="preserve">PRESÍDIO DE SETE LAGOAS (PRESÍDIO PROMOTOR JOSÉ COSTA)
EMPENHO: 31
EMPENHO DE ENCARGO: </t>
  </si>
  <si>
    <t xml:space="preserve">16/03/2026
(FEV/26)
* OBS: A fatura de água de 02/2025 do Presídio de Sete Lagoas deverá vir com desconto de R$2.969,64 </t>
  </si>
  <si>
    <r>
      <t xml:space="preserve">SAAE SETE LAGOAS: (31) 2106-0100 / (31)7115-2248 (WHATSAPP)
(COD. LIGAÇÃO: 67052-1   ID. ELETRÔNICO: 14267052@Z)  tesouraria@saaesetelagoas.com.br
DIA DA LEITURA: 11 (MÊS ANTERIOR)     VENCIMENTO: 15
RUA LAURINDO SOUZA DE DEUS, 0 - SANTA FELICIDADE - SETE LAGOAS
(31) 2129-9434 | VOIP: 2350  
(31) 98567-4986 | VOIP: 2358 (PAULO CESAR - DIRETOR  G.)
(31) 99434-9535 (ELIENE - DIRETORA ADM.)
(31) 991214496 | VOIP: 2369 (DANIELA - DIRETORA DE ATENDIMENTO)
E-mail: prslg@seguranca.mg.gov.br
paulo.anjos@seguranca.mg.gov.br
eliene.aparecida@seguranca.mg.gov.br
daniela.ubaldo@seguranca.mg.gov
ATESTE ASSINADO POR: ELIENE
19ª RISP - REGIONAL:  Edson Alves Peixoto
(31) 99297-1755
VOIP: 
E-MAIL: edson.peixoto@seguranca.mg.gov.br 
</t>
    </r>
    <r>
      <rPr>
        <sz val="10"/>
        <color rgb="FF0070C0"/>
        <rFont val="Calibri"/>
      </rPr>
      <t>* IMUNE. NÃO PRECISA COLOCAR OFICIO E MEMORANDO I.R. NO PROCESSO</t>
    </r>
  </si>
  <si>
    <t>PRESÍDIO DE TRÊS PONTAS 
EMPENHO: 47
EMPENHO DE ENCARGO:</t>
  </si>
  <si>
    <t xml:space="preserve">28/03/2026
(FEV/25)
</t>
  </si>
  <si>
    <r>
      <t xml:space="preserve">SAAE TRÊS PONTAS: (35) 3265-9512 / 9500 / 9504 DENNIS /(35) 98862-4102
(COD. LIGAÇÃO:  16692-6  ID. ELETRÔNICO:  61116692@E  e   COD. LIG: 09081-1   ID. ELETRÔNICO: 1119081@E) 
atendimento@saaetpo.mg.gov.br
DIA DA LEITURA: 26 (MÊS ANTERIOR)       VENCIMENTO: 29
RUA DR. CAIO DE BRITO, 245 - CENTRO - TRÊS PONTAS
(35) 3265-1079 / 99127-9314 / 98465-1600 (CAMILA) 
(31) 98281-8028 / (35) 9998-5039 (RICARDO - DIRETOR G.)
(35) 98825-6187 (GILSON - DIRETOR ADJ.)
E-mail: prtp@seguranca.mg.gov.br
camila.correa@seguranca.mg.gov.br
ricardo.rosendo@seguranca.mg.gov.br
gilson.andrade@seguranca.mg.gov.br
ATESTE ASSINADO POR: CAMILA/ RICARDO (DIRETOR)
6ª RISP - REGIONAL: Anamaria Borges Pereira 
(35) 9249-5356
VOIP: 
E-MAIL: 6regionalpoliciapenal@gmail.com | anamaria.pereira@seguranca.mg.gov.br 
</t>
    </r>
    <r>
      <rPr>
        <sz val="10"/>
        <color rgb="FF0070C0"/>
        <rFont val="Calibri"/>
      </rPr>
      <t>* IMUNE. NÃO PRECISA COLOCAR OFICIO E MEMORANDO I.R. NO PROCESSO</t>
    </r>
  </si>
  <si>
    <t>PRESÍDIO DE TUPACIGUARA 
EMPENHO: 32
EMPENHO DE ENCARGO:</t>
  </si>
  <si>
    <t> 16/03/2026
(FEV/26)</t>
  </si>
  <si>
    <r>
      <rPr>
        <sz val="10"/>
        <color rgb="FF000000"/>
        <rFont val="Calibri"/>
      </rPr>
      <t xml:space="preserve">DAE TUPACIGUARA: (34) 3281-3555 / 3281-3248  (Marcelo - Diretor / Maristela / Sandra  / Adriana / Dr. Kariston - Jurídico (34) 99232-3018) 
daetupaciguara@hotmail.com; tesouraria@daetupaciguara.mg.gov.br; atendimento@daetupaciguara.mg.gov.br; karistonaugusto@hotmail.com
(COD. LIGAÇÃO: 4 63328  e  4 63087)
Inserir código de ligação/CNPJ (13.049)
DATA LEITURA: 04 (MES ANTERIOR)     VENCIMENTO: 08
RUA JOSE FERREIRA MARQUES, 137 - BRASIL - TUPACIGUARA
(34) 3281-3517 / (34) 98437-0496 (KENIA) 
(64) 99665-4155 (MÁRIO)
(34) 98855-3088 (JOSÉ MARCELO - DIRETOR ADJ.)
(31) 98318-7136 / (34) 99869-9444 (NUBES - DIRETOR GERAL)
E-mail: prtu@seguranca.mg.gov.br; 
nubes.santana@seguranca.mg.gov.br
mario.silva@seguranca.mg.gov.br
 jose.rettenmaier@seguranca.mg.gov.br
ATESTE ASSINADO POR: MÁRIO / NUBES (DIRETOR)
9ª RISP - REGIONAL:  Marcus Vinicius de Oliveira Silva 
(31) 99791-9622 (34) 99241-7910 
VOIP:  
E-MAIL 9risp@seguranca.mg.gov.br | assessoria.nonarisp@gmail.com | marcus.vinicius@seguranca.mg.gov.br 
</t>
    </r>
    <r>
      <rPr>
        <b/>
        <sz val="10"/>
        <color rgb="FF0070C0"/>
        <rFont val="Calibri"/>
      </rPr>
      <t>***COLOCAR OFICIO E MEMORANDO I.R. NO PROCESSO***</t>
    </r>
  </si>
  <si>
    <t>PRESÍDIO DE VIÇOSA
EMPENHO: 136
EMPENHO DE ENCARGO:</t>
  </si>
  <si>
    <r>
      <t xml:space="preserve">SAAE VIÇOSA: 0800 000 4109/ (31) 3885-2800 (ATENDIMENTO ADMINISTRATIVO)  (COD. LIGAÇÃO:17034-0  ID ELETRÔNICO: 00317034@39)  Site SAAE pede e-mail e senha.  Como é a unidade prisional que tem que enviar, insistir nas tentativas de falar com eles até conseguir
atendimento@saaevicosa.mg.gov.br / financeiro@saaevicosa.mg.gov.br (DANIELA - DIRETORA) / secretaria@saaevicosa.mg.gov.br / contabilidade@saaevicosa.mg.gov.br  (PATRICK)
DATA LEITURA: 01
R. JOSÉ RIGUEIRA FILHO, 105 - BOM JESUS - VIÇOSA 
(31) 3885-2074 / 2407 | VOIP: 1950 (LISANGELA / FLAVIANA)
(31) 99813-1223 / (31) 99913-7454 (VINICIUS - DIRETOR G.)
(31) 99802-9063 (LINDOVAL - DIRETOR ADJ.)
E-mail: prvi@seguranca.mg.gov.br
vinicius.coutinho@seguranca.mg.gov.br
lindoval.freitas@seguranca.mg.gov.br
ATESTE ASSINADO POR: LISANGELA / LINDOVAL
4ª RISP - REGIONAL: Alexandre da Cunha Silva
(32) 99175-7976 (34) 3851-0202/ (31) 98105-9491
VOIP: (32) 3223-1690
E-MAIL: 4risp@seguranca.mg.gov.br | 4risp.seap@gmail.com | alexandre.cunha@seguranca.mg.gov.br 
</t>
    </r>
    <r>
      <rPr>
        <sz val="10"/>
        <color rgb="FF0070C0"/>
        <rFont val="Calibri"/>
      </rPr>
      <t>* IMUNE. NÃO PRECISA COLOCAR OFICIO E MEMORANDO I.R. NO PROCESSO</t>
    </r>
  </si>
  <si>
    <t>GLOBALIZADAS (MONTAMOS O PROCESSO)</t>
  </si>
  <si>
    <t xml:space="preserve">CASA ALB JOSE A ROGEDO (JUIZ DE FORA) (GLOBALIZADA CESAMA) (NOVO EMP: 244)  EMP. ENCARGOS: </t>
  </si>
  <si>
    <t xml:space="preserve">10/02/2026
(DEZ/25)
</t>
  </si>
  <si>
    <t>(Matrícula A/088006-28) * A fatura chega por e-mail mensalmente por volta do dia 1 ou 2</t>
  </si>
  <si>
    <t>PENITENCIÁRIA PROFESSOR ARIOSVALDO CAMPOS PIRES (JUIZ DE FORA) (GLOBALIZADA CESAMA) 
EMPENHO: 
EMPENHO DE ENCARGO:</t>
  </si>
  <si>
    <t>26/02/2026
(DEZ/25)</t>
  </si>
  <si>
    <r>
      <rPr>
        <sz val="10"/>
        <color rgb="FF000000"/>
        <rFont val="Calibri"/>
      </rPr>
      <t xml:space="preserve">(Matrícula: A/511163-69)
CESAMA - (32) 3692-9217 /  98420-5512  (JOSÉ RICARDO)  
delf@cesama.com.br
DIA DA LEITURA: 13 (MES ANTERIOR)
R. DIVA GARCIA, 3351 - LINHARES - JUIZ DE FORA - MG
VOIP: 5901 + 2909 - HADAD / (32) 3214-9197 / 3215-0873  (Raphael / Edson / Wallace Hadad - Diretor / Carlos Augusto - Diretor Geral: (32) </t>
    </r>
    <r>
      <rPr>
        <i/>
        <sz val="10"/>
        <color rgb="FF000000"/>
        <rFont val="Calibri"/>
      </rPr>
      <t xml:space="preserve">99125-1704 / (31) 97503-9525)
</t>
    </r>
    <r>
      <rPr>
        <sz val="10"/>
        <color rgb="FF000000"/>
        <rFont val="Calibri"/>
      </rPr>
      <t xml:space="preserve">ppacp.direcao@gmail.com; ppacp@seguranca.mg.gov.br; seguranca.ppacp@gmail.com; seguranca.ppacp@seguranca.mg.gov.br; dappacp@gmail.com
carlos.cunha@seguranca.mg.gov.br
wallace.hadade@seguranca.mg.gov.br
ATESTE ASSINADO POR: Raphael e Wallace
</t>
    </r>
    <r>
      <rPr>
        <sz val="10"/>
        <color rgb="FFFF0000"/>
        <rFont val="Calibri"/>
      </rPr>
      <t xml:space="preserve">
</t>
    </r>
    <r>
      <rPr>
        <sz val="10"/>
        <color rgb="FF4F81BD"/>
        <rFont val="Calibri"/>
      </rPr>
      <t>* NÃO PRECISA COLOCAR OFÍCIO E MEMORANDO I.R. NO PROCESSO</t>
    </r>
  </si>
  <si>
    <t xml:space="preserve">PENITENCIARIA JOSE EDSON CAVALIERI (JUIZ DE FORA)  (GLOBALIZADA CESAMA) (NOVO EMP: 244)  EMP. ENCARGOS: </t>
  </si>
  <si>
    <t>(Matrículas D/412137-74 , D/412184-91  E   D/437153-51)</t>
  </si>
  <si>
    <t xml:space="preserve">CERESP JUIZ DE FORA  (GLOBALIZADA CESAMA) (NOVO EMP: 244)  EMP. ENCARGOS: </t>
  </si>
  <si>
    <t>(Matrículas D/437127-60  E   D/437170-52)</t>
  </si>
  <si>
    <t>HOSPITAL TOXICÔMANO PADRE WILSON VALE DA COSTA (JUIZ DE FORA) (GLOBALIZADA CESAMA)</t>
  </si>
  <si>
    <t>(Matrículas A/518846-92  E    D/412088-51)
* Foi incluído na globalizada acima a partir de ABR/25</t>
  </si>
  <si>
    <t>12ª RISP IPATINGA (GLOBALIZADA COPASA)</t>
  </si>
  <si>
    <t>(MAT 115043942) AV LONDRINA 1175 VENEZA - IPATINGA</t>
  </si>
  <si>
    <t>COPASA - VANDERLEI CHAVES -  SUP. COMERCIAL  (31) 3250.1244 /  97168.1589   vanderlei.chaves@copasa.com.br     3250-1330 / 1503 (HELOISA - Setor que verificam a ligação das unidades)   relacionamento@copasa.com.br</t>
  </si>
  <si>
    <t>13ª RISP (BARBACENA)  (GLOBALIZADA COPASA)</t>
  </si>
  <si>
    <t>(MAT 164218301) R CORONEL TEODORO GOMES DE ARAUJO 1195 LG A GROGOTO - BARBACENA</t>
  </si>
  <si>
    <t xml:space="preserve">* Juliana solicitou a remissão de encargos no valor de R$468,92 ref. ao consumo de 11/2024, matrícula nº 0 011 591 977 5, no valor de R$18.177,77, com </t>
  </si>
  <si>
    <t>17ª REGIÃO INTEGRADA DE SEGURANÇA PÚBLICA (POUSO ALEGRE) (GLOBALIZADA COPASA)</t>
  </si>
  <si>
    <t xml:space="preserve">(MAT 24659207) R SILVESTRE FERRAZ 362 CENTRO - POUSO ALEGRE / (MAT 24659185) R ALAIDE CHIARINI S/N CENTRO - POUSO ALEGRE </t>
  </si>
  <si>
    <t xml:space="preserve">vencimento em 25/11/2023, do Centro de Referência à Gestante Privada de Liberdade, localizado em Vespasiano/MG. Foi concedido o desconto na </t>
  </si>
  <si>
    <t>ALMENARA (GLOBALIZADA COPASA)</t>
  </si>
  <si>
    <t>(MAT 7224958) R IMACULADA CONCEICAO 488 JOAO FAZENDEIRO - ALMENARA / (MAT 108079911) R IMACULADA CONCEICAO 493 JOAO FAZENDEIRO - ALMENARA / (MAT 7224567) R BIAS FORTES 23 CENTRO - ALMENARA</t>
  </si>
  <si>
    <t>fatura globalizada DEPEN ref. ao mês 12/2024 (vencimento em 10/02/2025)</t>
  </si>
  <si>
    <t>ALMOXARIFADO CENTRAL - DMP (PARQUE NORTE) (GLOBALIZADA COPASA)</t>
  </si>
  <si>
    <t>(MAT 133540464) AV UM 301 PARQUE NORTE - VESPASIANO</t>
  </si>
  <si>
    <t>CASA DO ALBERGADO PRESIDENTE JOÃO PESSOA  (GLOBALIZADA COPASA)</t>
  </si>
  <si>
    <t>(MAT 11368799) R JOAO ALFREDO 3800 LG A SANTA TEREZA - BH / (MAT 27029697)  R JOAO ALFREDO 3800 SANTA TEREZA - BH</t>
  </si>
  <si>
    <t>CENTRAL DE FLAGRANTES (GLOBALIZADA COPASA)</t>
  </si>
  <si>
    <t>(MAT 693537) - R ALEM PARAIBA 31 LAGOINHA - BH</t>
  </si>
  <si>
    <t>CERESP BETIM (GLOBALIZADA COPASA)</t>
  </si>
  <si>
    <t>(MAT 109188632) -  AV ALCIDES FERNANDES DE SOUZA S/N PINGO DAGUA - BETIM</t>
  </si>
  <si>
    <t>CERESP CONTAGEM (GLOBALIZADA COPASA)</t>
  </si>
  <si>
    <t>(MAT 2251426) - PR LOUIS ENSCH S/N CIDADE INDUSTRIAL - CONTAGEM</t>
  </si>
  <si>
    <t>CERESP GAMELEIRA (GLOBALIZADA COPASA)</t>
  </si>
  <si>
    <t>(MAT 2027461) - R CANDIDO DE SOUZA 520 NOVA GAMELEIRA - BELO HORIZONTE</t>
  </si>
  <si>
    <t>CERESP IPATINGA (SANTANA DO PARAÍSO) (GLOBALIZADA COPASA)</t>
  </si>
  <si>
    <t>(MAT 105574660) - R FELIPE DOS SANTOS FREIRE 1 CIDADE NOVA - SANTANA DO PARAISO  (31) 3821-7466 / 6459   cerespip@seguranca.mg.gov.br</t>
  </si>
  <si>
    <t>COMPLEXO PENIT. ESTEVÃO PINTO (GLOBALIZADA COPASA)</t>
  </si>
  <si>
    <t>(MAT 11368802) R JOAO ALFREDO 3792 HORTO - BH  / (MAT 119083850) AV DOS ANDRADAS 4071 SANTA TEREZA - BH  OBS:  a partir de 25/02/2025, o endereço do Complexo Penitenciário Feminino Estevão Pinto passará a ser Rua João Alfredo, nº 30 - Bairro Horto | CEP: 31015-012.</t>
  </si>
  <si>
    <t>COMPLEXO PENIT. N. S. DO CARMO (CARMO PARANAÍBA) (GLOBALIZADA COPASA)</t>
  </si>
  <si>
    <t>(MAT 114881669) AV SANTA CRUZ S/N SANTA CRUZ - CARMO DO PARANAIBA / (MAT 104326328) AV SANTA CRUZ 2150 SANTA CRUZ - CARMO DO PARANAIBA</t>
  </si>
  <si>
    <t>COMPLEXO PENIT. NELSON HUNGRIA (GLOBALIZADA COPASA)</t>
  </si>
  <si>
    <t>(MAT 17213169) AV VP UM S/N NOVA CONTAGEM - CONTAGEM</t>
  </si>
  <si>
    <t>COPE - COMANDO DE OPERAÇÕES ESPECIAIS (GLOBALIZADA COPASA)</t>
  </si>
  <si>
    <t>(MAT 16283902) R PROFESSOR JOSE VIEIRA DE MENDONCA 21 ENGENHO NOGUEIRA - BH</t>
  </si>
  <si>
    <t>DRAP TEOFILO OTONI (GLOBALIZADA COPASA)</t>
  </si>
  <si>
    <t>(MAT 8452644) R GUSTAVO LEONARDO 1095 SAO JACINTO - TEOFILO OTONI</t>
  </si>
  <si>
    <t>PENITENCIÁRIA DE TRÊS CORAÇÕES (GLOBALIZADA COPASA)</t>
  </si>
  <si>
    <t>(MAT 115233423) AV NOSSA SENHORA MONTE CALVARIO S/N BL 1 VILA MELO - TRES CORACOES / (MAT 107022664) AV NOSSA SENHORA MONTE CALVARIO S/N VILA MELO - TRES CORACOES
(31) 2129-9632 / (35) 3234-2185
FREDSON (DIR. GERAL) - (35)  99726-5545 / ADALTON (DIR. ADM.) - (35) 99120-0550
fredson.ferreira@seguranca.mg.gov.br / ptc@seguranca.mg.gov.br</t>
  </si>
  <si>
    <t>PENITENCIÁRIA DÊNIO MOREIRA DE CARVALHO (IPABA) (GLOBALIZADA COPASA)</t>
  </si>
  <si>
    <t>(MAT 17527236) R OLIVIA RODRIGUES VIEIRA 1 CENTRO - IPABA</t>
  </si>
  <si>
    <t>PENITENCIÁRIA JOSÉ MARIA ALKIMIM (GLOBALIZADA COPASA)</t>
  </si>
  <si>
    <t>(MAT 106360655) R ESPLANADA 14 VILA ESPLANADA - RIB. DAS NEVES / (MAT 106360779) R ESPLANADA 16 VILA ESPLANADA - RIB. DAS NEVES / (MAT 106359029) R ESPLANADA 17 VILA ESPLANADA - RIB.DAS NEVES / (MAT 106357140) R DOUTOR FRANCISCO ADRIANO DE PAULA 30 VILA ESPLANADA - RIB. DAS NEVES / (MAT 106356950) R DOUTOR FRANCISCO ADRIANO DE PAULA 29 VILA ESPLANADA - RIB.DAS NEVES / (MAT 106359878) R ESPLANADA 22 CA A VILA ESPLANADA - RIB. DAS NEVES / (MAT 106360744) R ESPLANADA 15 VILA ESPLANADA RIB. DAS NEVES / (MAT 106360884) R ESPLANADA 76 VILA ESPLANADA - RIB. DAS NEVES / (MAT 106359614) R ESPLANADA 19 VILA ESPLANADA - RIB. DAS NEVES / (MAT 22143432) R ESPLANADA UM S/N VILA ESPLANADA - RIB. DAS NEVES / (MAT 106358782) R ESPLANADA 10 VILA ESPLANADA - RIB.DAS NEVES</t>
  </si>
  <si>
    <t>PENITENCIÁRIA PROF. JASON SOARES ALBERGARIA (SÃO JOAQUIM DE BICAS) (GLOBALIZADA COPASA)</t>
  </si>
  <si>
    <t>(MAT 112602461) AV C 550 PRIMAVERA - SÃO JOAQUIM DE BICAS / (MAT 116049766) AV C 550 BL A PRIMAVERA - SÃO JOAQUIM DE BICAS</t>
  </si>
  <si>
    <t>PRESÍDIO ALVORADA (MOC.) (GLOBALIZADA COPASA)</t>
  </si>
  <si>
    <t>(MAT 13109235) AV ENGENHEIRO ROLANDO TRINDADE BASSI 13 LG DELEGACIA NOSSA - MONTES CLAROS</t>
  </si>
  <si>
    <t>PRESÍDIO ANTÔNIO DUTRA LADEIRA (GLOBALIZADA COPASA)</t>
  </si>
  <si>
    <t>(MAT 111760429) RD LMG 806 KM 5 S/N FAZENDA DAS LAGES - RIB. DAS NEVES</t>
  </si>
  <si>
    <t>PRESÍDIO BARÃO DE COCAIS (GLOBALIZADA COPASA)</t>
  </si>
  <si>
    <t>(MAT 116568348) R NEIDE FERREIRA DE LACERDA S/N GARCIA II - BARAO DE COCAIS</t>
  </si>
  <si>
    <t>PRESÍDIO DE ABAETÉ (GLOBALIZADA COPASA)</t>
  </si>
  <si>
    <t>(MAT 111979056) R TREZE DE MAIO 1118 CA _C SANTO ANTONIO - ABAETE / (MAT 6940773) R TREZE DE MAIO 1118 SANTO ANTONIO - ABAETE / (MAT 155533452) R TREZE DE MAIO 1118 LG A SANTO ANTONIO - ABAETE</t>
  </si>
  <si>
    <t>PRESÍDIO DE AÇUCENA (GLOBALIZADA COPASA)</t>
  </si>
  <si>
    <t>(MAT 118649205) - R PEDRO GONCALVES DE MAGALHAES S/N CENTRO - AÇUCENA  (31) 98778-3915 (ADILSON - DIRETOR)  adilson.san0310@gmail.com</t>
  </si>
  <si>
    <t>PRESÍDIO DE ÁGUAS FORMOSAS (GLOBALIZADA COPASA)</t>
  </si>
  <si>
    <t>(MAT 8245703) R DEODORO DE ALMEIDA PINTO 166 CENTRO - AGUAS FORMOSAS</t>
  </si>
  <si>
    <t>PRESÍDIO DE ALEM PARAIBA (GLOBALIZADA COPASA)</t>
  </si>
  <si>
    <t>(MAT 10364137)  R BARAO DE GUARAREMA 112 SAO JOSE - ALEM PARAIBA</t>
  </si>
  <si>
    <t>PRESÍDIO DE ALFENAS (GLOBALIZADA COPASA)</t>
  </si>
  <si>
    <t>(MAT 115130918)  ET ESTRADA ALFENAS FAMA S/N CHACARA SAO JUDAS TADEU - ALFENAS</t>
  </si>
  <si>
    <t>PRESÍDIO DE ANDRADAS (GLOBALIZADA COPASA)</t>
  </si>
  <si>
    <t>(MAT 112373950)  T VEREADOR ANTONIO DE LIMA VALIN S/N RODOVIA - ANDRADAS</t>
  </si>
  <si>
    <t>PRESÍDIO DE ANDRELANDIA (GLOBALIZADA COPASA)</t>
  </si>
  <si>
    <t>(MAT 25065459) R JOAQUIM EMERENCIANO 155 CENTRO - ANDRELANDIA</t>
  </si>
  <si>
    <t>PRESÍDIO DE ARAÇUAÍ (GLOBALIZADA COPASA)</t>
  </si>
  <si>
    <t>(MAT 7342659) PR DA CADEIA S/N CENTRO - ARAÇUAÍ / (MAT 27653439) AV LUIZ GONZAGA PEREIRA 931 RENASCENCA - ARAÇUAÍ</t>
  </si>
  <si>
    <t>PRESÍDIO DE ARAXÁ (GLOBALIZADA COPASA)</t>
  </si>
  <si>
    <t>(MAT 114422567) R TENENTE CORONEL HERMENEGILDO MAGALHAES 55 OROZINO TEIXEIRA - ARAXA / (MAT 115998519) R TENENTE CORONEL HERMENEGILDO MAGALHAES 55 LG B OROZINO TEIXEIRA - ARAXA / (MAT 114922667) R TENENTE CORONEL HERMENEGILDO MAGALHAES 55 LG A OROZINO TEIXEIRA - ARAXA</t>
  </si>
  <si>
    <t>PRESÍDIO DE BAMBUI (GLOBALIZADA COPASA)</t>
  </si>
  <si>
    <t>(MAT 18913504) R BOA VISTA 966 LG A - LAVA PES - BAMBUI</t>
  </si>
  <si>
    <t>PRESÍDIO DE BICAS (GLOBALIZADA COPASA)</t>
  </si>
  <si>
    <t>(MAT 25269488) R RUA ALAMEDA SANTA B 15 - GILSON LAMHA - BICAS - (31) 2129-9787 / 99413-2060 - JAQUELINE (DIR. BICAS II)</t>
  </si>
  <si>
    <t>PRESÍDIO DE BOM DESPACHO (GLOBALIZADA COPASA)</t>
  </si>
  <si>
    <t>(MAT 102529183) R ALZIRA DE OLIVEIRA SANTOS AMARAL 33 JARDIM DOS ANJOS - BOM DESPACHO</t>
  </si>
  <si>
    <t>PRESÍDIO DE BOTELHOS (GLOBALIZADA COPASA)</t>
  </si>
  <si>
    <t>(MAT 27250237) R INALDA XAVIER LOPES 900 - MONSENHOR FARIA DE CASTRO - BOTELHOS / (MAT 4919572) R INALDA XAVIER LOPES 920 - MONSENHOR FARIA DE CASTRO  - BOTELHOS</t>
  </si>
  <si>
    <t>PRESÍDIO DE BRUMADINHO (GLOBALIZADA COPASA)</t>
  </si>
  <si>
    <t>(MAT 11669012) R ITAGUA 3400 GRAJAU - BRUMADINHO</t>
  </si>
  <si>
    <t>PRESÍDIO DE BURITIS (GLOBALIZADA COPASA)</t>
  </si>
  <si>
    <t>(MAT 140295399) AV PEDRO VALADARES VERSIANE 767 ISRAEL PINHEIRO - BURITIS</t>
  </si>
  <si>
    <t>PRESÍDIO DE CAMPESTRE (GLOBALIZADA COPASA)</t>
  </si>
  <si>
    <t>(MAT 4955030) PR MOISES PONTE DE OLIVEIRA 122 CENTRO                     CAMPESTRE</t>
  </si>
  <si>
    <t>PRESÍDIO DE CAMPOS GERAIS (GLOBALIZADA COPASA)</t>
  </si>
  <si>
    <t>(MAT 5105307) R CORONEL JOAQUIM JOSE ARAUJO 393 BAIXAO - CAMPOS GERAIS / (MAT 15804232) R JOAQUIM MANOEL FIGUEIREDO 44 BAIXAO - CAMPOS GERAIS</t>
  </si>
  <si>
    <t>PRESÍDIO DE CANAPOLIS (GLOBALIZADA COPASA)</t>
  </si>
  <si>
    <t>(MAT 6147348) R DOIS 470 ANTONIO JOVEM VASCONCELOS - CANAPOLIS</t>
  </si>
  <si>
    <t>PRESÍDIO DE CAPELINHA (GLOBALIZADA COPASA)</t>
  </si>
  <si>
    <t>(MAT 117550477) R JOSE PRISCO 100 BL B - PLANALTO - CAPELINHA / (MAT 23705175) R JOSE PRISCO 100 - PLANALTO - CAPELINHA</t>
  </si>
  <si>
    <t>PRESÍDIO DE CARANDAI (GLOBALIZADA COPASA)</t>
  </si>
  <si>
    <t>(MAT 9975616) AL GERMANO NOGUEIRA 405 - SANTA LUZIA - CARANDAI</t>
  </si>
  <si>
    <t>PRESIDIO DE CARATINGA (CARRO PIPA) (GLOBALIZADA COPASA)</t>
  </si>
  <si>
    <t>(MAT 176707611) ET SERRA DOS BIAS S/N - ZONA RURAL - CARATINGA   (CAMINHÕES PIPA - MARIA ALICE - 59012849 /  2129-8115 / (33)                - JOCILENE - DIRETORA GERAL)</t>
  </si>
  <si>
    <t>PRESÍDIO DE CARLOS CHAGAS (GLOBALIZADA COPASA)</t>
  </si>
  <si>
    <t>(MAT 26229714) R VALMIR ARAUJO DE SOUZA 80 - CENTRO - CARLOS CHAGAS</t>
  </si>
  <si>
    <t>PRESÍDIO DE CARMO DO RIO CLARO (GLOBALIZADA COPASA)</t>
  </si>
  <si>
    <t>(MAT 4509153) R PROFESSORA MARIA PERES 14 - JARDIM AMERICA - CARMO DO RIO CLARO</t>
  </si>
  <si>
    <t>PRESÍDIO DE CATAGUASES (GLOBALIZADA COPASA)</t>
  </si>
  <si>
    <t>(MAT 26082756) R FRANCISCA SOUZA PEIXOTO S/N - CENTENARIO - CATAGUASES</t>
  </si>
  <si>
    <t>PRESÍDIO DE CAXAMBU (GLOBALIZADA COPASA)</t>
  </si>
  <si>
    <t>(MAT 16200314) R GUILHERME VILELA GOUVEIA S/N - SANTA RITA - CAXAMBU</t>
  </si>
  <si>
    <t>PRESÍDIO DE CONGONHAS (GLOBALIZADA COPASA)</t>
  </si>
  <si>
    <t>(MAT 108631036) PR IRMA SUZANA 29 - PRAIA - CONGONHAS</t>
  </si>
  <si>
    <t>PRESÍDIO DE CONSELHEIRO LAFAIETE (GLOBALIZADA COPASA)</t>
  </si>
  <si>
    <t>(MAT 14749564) R RODRIGUES MAIA 515 - JARDIM AMERICA - CONSELHEIRO LAFAIETE</t>
  </si>
  <si>
    <t>PRESÍDIO DE CORINTO (GLOBALIZADA COPASA)</t>
  </si>
  <si>
    <t>(MAT 6290965) R ANGELICA MAGALHAES 119 - CENTRO - CORINTO</t>
  </si>
  <si>
    <t>PRESÍDIO DE COROMANDEL (GLOBALIZADA COPASA)</t>
  </si>
  <si>
    <t>(MAT 5940389) R EGIDIO MACHADO 866 - CENTRO - COROMANDEL / (MAT 5940168) R DOMINGOS LACERDA 662 - CENTRO - COROMANDEL</t>
  </si>
  <si>
    <t>PRESÍDIO DE CORONEL FABRICIANO (GLOBALIZADA COPASA)</t>
  </si>
  <si>
    <t>(MAT 114745943) R TRES GROTAS 319 CA A - TODOS OS SANTOS - CORONEL FABRICIANO</t>
  </si>
  <si>
    <t>PRESÍDIO DE CURVELO (GLOBALIZADA COPASA)</t>
  </si>
  <si>
    <t>(MAT 6365027) AV BIAS FORTES 3450 - VILA SAO JOSÉ - CURVELO</t>
  </si>
  <si>
    <t>PRESÍDIO DE DIAMANTINA (GLOBALIZADA COPASA)</t>
  </si>
  <si>
    <t>(MAT 23190744)  R RAMIRO ROQUE S/N - CIDADE NOVA - DIAMANTINA</t>
  </si>
  <si>
    <t>PRESÍDIO DE DIVINO (GLOBALIZADA COPASA)</t>
  </si>
  <si>
    <t>(MAT 12144959) R MARINHO CARLOS DE SOUZA 435 - CENTRO - DIVINO</t>
  </si>
  <si>
    <t>PRESÍDIO DE ERVÁLIA (GLOBALIZADA COPASA)</t>
  </si>
  <si>
    <t>(MAT 10821031) R OSCAR DA CUNHA 369 SAO PEDRO - ERVALIA / (MAT 168816261) R OSCAR DA CUNHA 369 BL 02 - SAO PEDRO - ERVALIA</t>
  </si>
  <si>
    <t>PRESÍDIO DE EUGENOPOLIS (GLOBALIZADA COPASA)</t>
  </si>
  <si>
    <t>(MAT 22368400) R CORONEL MIRANDA 710 - CATETE - EUGENOPOLIS</t>
  </si>
  <si>
    <t>PRESÍDIO DE EXTREMA (GLOBALIZADA COPASA)</t>
  </si>
  <si>
    <t>(MAT 18643850) R DAS CIRIEMAS 280 - JARDIM BELA VISTA - EXTREMA</t>
  </si>
  <si>
    <t>PRESÍDIO DE FRUTAL (GLOBALIZADA COPASA)</t>
  </si>
  <si>
    <t>(MAT 6017495) R CASTRO ALVES 233 - XV DE NOVEMBRO - FRUTAL   NOVO PRESÍDIO DE FRUTAL:   (31) 97325-1448 - SAMANTA  /  (34) 99693-9122 - RODRIGO - DIRETOR       COPASA FRUTAL: (34) 99944-5783 - RICARDO</t>
  </si>
  <si>
    <t>PRESÍDIO DE GUARANÉSIA (GLOBALIZADA COPASA)</t>
  </si>
  <si>
    <t>(MAT 102996261) R CARDEAL CARMELO 488 LG A - CENTRO - GUARANESIA / (MAT 127698710) RD BR 491 S/N KM 74,5 - ZONA RURAL - GUARANESIA / (MAT 4554574) R CARDEAL CARMELO 488 - CENTRO - GUARANESIA</t>
  </si>
  <si>
    <t>PRESÍDIO DE GUAXUPE (GLOBALIZADA COPASA)</t>
  </si>
  <si>
    <t>(MAT 4628101) R LUIZ COSTA MONTEIRO 89 - CENTRO - GUAXUPE</t>
  </si>
  <si>
    <t>PRESÍDIO DE IBIRITÉ (GLOBALIZADA COPASA)</t>
  </si>
  <si>
    <t>(MAT 14472830) AV SAO PAULO 20 LG A - VILA PINHEIROS - IBIRITE</t>
  </si>
  <si>
    <t>PRESÍDIO DE INHAPIM (GLOBALIZADA COPASA)</t>
  </si>
  <si>
    <t>(MAT 7828837) R VEREADOR JOSE VIANA SILVA S/N - CENTRO - INHAPIM / (MAT 14749963) - O MESMO ENDEREÇO</t>
  </si>
  <si>
    <t>PRESÍDIO DE ITACARAMBI (GLOBALIZADA COPASA)</t>
  </si>
  <si>
    <t>(MAT 103496386) R CORONEL FULGENCIO 295 CA FS -NOSSA SENHORA DE FATIMA - ITACARAMBI / (MAT 17561612) AV FRUTAL 249 - NOSSA SENHORA DE FATIMA - ITACARAMBI / (MAT 142869163) AV FRUTAL 490 - NOSSA SENHORA DE FATIMA - ITACARAMBI</t>
  </si>
  <si>
    <t>PRESÍDIO DE ITAJUBÁ (GLOBALIZADA COPASA)</t>
  </si>
  <si>
    <t>(MAT 115038248) R COMISSARIO BENEDITO VILAS BOAS 1700 - IPE - ITAJUBA</t>
  </si>
  <si>
    <t>PRESÍDIO DE ITAMARANDIBA (GLOBALIZADA COPASA)</t>
  </si>
  <si>
    <t>(MAT 6448640) R SANTA LUZIA 168 - CENTRO - ITAMARANDIBA</t>
  </si>
  <si>
    <t>PRESÍDIO DE ITAOBIM  (GLOBALIZADA COPASA)</t>
  </si>
  <si>
    <t>(MAT 106427288) R SENADOR LUCIO GUTTENCOURT 660 ALTA VISTA - ITAOBIM</t>
  </si>
  <si>
    <t>PRESÍDIO DE ITAPAGIPE (GLOBALIZADA COPASA)</t>
  </si>
  <si>
    <t>(MAT 6087787) AV DEZESSETE 755 CENTRO - ITAPAGIPE</t>
  </si>
  <si>
    <t>PRESÍDIO DE JABOTICATUBAS (GLOBALIZADA COPASA)</t>
  </si>
  <si>
    <t>(MAT 7185821) R SANTA LUZIA 288 CENTRO - JABOTICATUBAS</t>
  </si>
  <si>
    <t>PRESÍDIO DE JACINTO (GLOBALIZADA COPASA)</t>
  </si>
  <si>
    <t>(MAT 7255411) R JOSE LUCIO 22 CENTRO - JACINTO</t>
  </si>
  <si>
    <t>PRESÍDIO DE JANAÚBA (GLOBALIZADA COPASA)</t>
  </si>
  <si>
    <t xml:space="preserve">(MAT 24091626) R ANTONIO LUIZ DE FRANCA 412 VEREDAS - JANAUBA / (MAT 108248721)  R ANTONIO LUIZ DE FRANCA 412 LG 1 VEREDAS  - JANAUBA / (MAT 20483406) R MANOEL BANDEIRA 350 VEREDAS - JANAUBA / (MAT 108248747) </t>
  </si>
  <si>
    <t>PRESÍDIO DE JANUÁRIA (GLOBALIZADA COPASA)</t>
  </si>
  <si>
    <t>(MAT 123022835) E (MAT 20671997) PR DOS PESCADORES S/N VILA PAULA - JANUARIA</t>
  </si>
  <si>
    <t>PRESÍDIO DE JEQUITINHONHA (GLOBALIZADA COPASA)</t>
  </si>
  <si>
    <t xml:space="preserve">(MAT 152120220) </t>
  </si>
  <si>
    <t>PRESÍDIO DE JOÃO PINHEIRO (GLOBALIZADA COPASA)</t>
  </si>
  <si>
    <t>PRESÍDIO DE JUATUBA (GLOBALIZADA COPASA)</t>
  </si>
  <si>
    <t>PRESÍDIO DE LAGOA SANTA (GLOBALIZADA COPASA)</t>
  </si>
  <si>
    <t>PRESÍDIO DE LAVRAS (GLOBALIZADA COPASA)</t>
  </si>
  <si>
    <t>PRESÍDIO DE LEOPOLDINA (GLOBALIZADA COPASA)</t>
  </si>
  <si>
    <t>PRESIDIO DE LUZ (GLOBALIZADA COPASA)</t>
  </si>
  <si>
    <t>PRESÍDIO DE MALACACHETA (GLOBALIZADA COPASA)</t>
  </si>
  <si>
    <t>PRESÍDIO DE MANGA (GLOBALIZADA COPASA)</t>
  </si>
  <si>
    <t>PRESÍDIO DE MATOZINHOS (GLOBALIZADA COPASA)</t>
  </si>
  <si>
    <t>PRESÍDIO DE MONTE AZUL (11ª RISP) (GLOBALIZADA COPASA)</t>
  </si>
  <si>
    <t>(MAT 8673951)  (38) 38111980 - ROSICLEIA</t>
  </si>
  <si>
    <t>NÃO ESTÁ MAIS NA DETALHADA</t>
  </si>
  <si>
    <t>PRESÍDIO DE MONTE SANTO DE MINAS (GLOBALIZADA COPASA)</t>
  </si>
  <si>
    <t>PRESÍDIO DE MONTES CLAROS (GLOBALIZADA COPASA)</t>
  </si>
  <si>
    <t>PRESÍDIO DE NOVA LIMA (GLOBALIZADA COPASA)</t>
  </si>
  <si>
    <t>PRESÍDIO DE NOVA SERRANA (GLOBALIZADA COPASA)</t>
  </si>
  <si>
    <t>PRESÍDIO DE NOVO CRUZEIRO (GLOBALIZADA COPASA)</t>
  </si>
  <si>
    <t>PRESÍDIO DE PARACATU  (GLOBALIZADA COPASA)</t>
  </si>
  <si>
    <t>PRESÍDIO DE PEÇANHA (GLOBALIZADA COPASA)</t>
  </si>
  <si>
    <t>PRESÍDIO DE PEDRA AZUL (GLOBALIZADA COPASA)</t>
  </si>
  <si>
    <t>PRESÍDIO DE PEDRO LEOPOLDO (GLOBALIZADA COPASA)</t>
  </si>
  <si>
    <t>PRESÍDIO DE PERDIZES (GLOBALIZADA COPASA)</t>
  </si>
  <si>
    <t>PRESÍDIO DE PORTEIRINHA (GLOBALIZADA COPASA)</t>
  </si>
  <si>
    <t>PRESÍDIO DE POUSO ALEGRE I (GLOBALIZADA COPASA)</t>
  </si>
  <si>
    <t>PRESÍDIO DE PRATA (GLOBALIZADA COPASA)</t>
  </si>
  <si>
    <t>PRESÍDIO DE PRESIDENTE OLEGÁRIO (GLOBALIZADA COPASA)</t>
  </si>
  <si>
    <t>PRESÍDIO DE RESENDE COSTA (GLOBALIZADA COPASA)</t>
  </si>
  <si>
    <t>PRESÍDIO DE RESPLENDOR (GLOBALIZADA COPASA)</t>
  </si>
  <si>
    <t>PRESÍDIO DE RIO POMBA (GLOBALIZADA COPASA)</t>
  </si>
  <si>
    <t>PRESÍDIO DE SABARÁ (GLOBALIZADA COPASA)</t>
  </si>
  <si>
    <t>PRESÍDIO DE SALINAS (GLOBALIZADA COPASA)</t>
  </si>
  <si>
    <t>PRESÍDIO DE SANTA LUZIA (GLOBALIZADA COPASA)</t>
  </si>
  <si>
    <t>PRESÍDIO DE SANTA RITA DO SAPUCAÍ (GLOBALIZADA COPASA)</t>
  </si>
  <si>
    <t>PRESÍDIO DE SANTA VITÓRIA (GLOBALIZADA COPASA)</t>
  </si>
  <si>
    <t>PRESÍDIO DE SANTOS DUMONT (GLOBALIZADA COPASA)</t>
  </si>
  <si>
    <t>PRESÍDIO DE SÃO FRANCISCO (GLOBALIZADA COPASA)</t>
  </si>
  <si>
    <t>PRESÍDIO DE SÃO JOÃO DA PONTE (GLOBALIZADA COPASA)</t>
  </si>
  <si>
    <t>PRESÍDIO DE SÃO JOÃO EVANGELISTA (GLOBALIZADA COPASA)</t>
  </si>
  <si>
    <t>PRESÍDIO DE SÃO JOAQUIM DE BICAS (GLOBALIZADA COPASA)</t>
  </si>
  <si>
    <t>PRESÍDIO DE SÃO JOAQUIM DE BICAS I (GLOBALIZADA COPASA)</t>
  </si>
  <si>
    <t>PRESÍDIO DE SÃO SEBASTIÃO DO MARANHÃO (GLOBALIZADA COPASA)</t>
  </si>
  <si>
    <t>PRESÍDIO DE SÃO SEBASTIÃO DO PARAÍSO (GLOBALIZADA COPASA)</t>
  </si>
  <si>
    <t>PRESÍDIO DE SERRO (GLOBALIZADA COPASA)</t>
  </si>
  <si>
    <t>PRESÍDIO DE TAIOBEIRAS (GLOBALIZADA COPASA)</t>
  </si>
  <si>
    <t>PRESÍDIO DE TARUMIRIM (GLOBALIZADA COPASA)</t>
  </si>
  <si>
    <t>PRESÍDIO DE TEOFILO OTONI (GLOBALIZADA COPASA)</t>
  </si>
  <si>
    <t>PRESÍDIO DE TIMÓTEO (GLOBALIZADA COPASA)</t>
  </si>
  <si>
    <t>PRESÍDIO DE TRÊS MARIAS (GLOBALIZADA COPASA)</t>
  </si>
  <si>
    <t>PRESÍDIO DE TURMALINA (GLOBALIZADA COPASA)</t>
  </si>
  <si>
    <t>PRESÍDIO DE VARGINHA (GLOBALIZADA COPASA)</t>
  </si>
  <si>
    <t>PRESÍDIO DE VARZEA DA PALMA (GLOBALIZADA COPASA)</t>
  </si>
  <si>
    <t>PRESÍDIO DE VESPASIANO (GLOBALIZADA COPASA)</t>
  </si>
  <si>
    <t>PRESÍDIO DE VISCONDE DO RIO BRANCO (GLOBALIZADA COPASA)</t>
  </si>
  <si>
    <t>PRESÍDIO FEM. JOSÉ ABRANCHES GONÇALVES (RIB. DAS NEVES) (GLOBALIZADA COPASA)</t>
  </si>
  <si>
    <t>PRESÍDIO FLORAMAR (DIVINÓPOLIS) (GLOBALIZADA COPASA)</t>
  </si>
  <si>
    <t>PRESÍDIO INSP. JOSÉ MARTINHO DRUMOND (GLOBALIZADA COPASA)</t>
  </si>
  <si>
    <t xml:space="preserve">RISP 10 PATOS DE MINAS (GLOBALIZADA COPASA  180300857) (PLANILHA AGUA DEPEN) </t>
  </si>
  <si>
    <t>(34) 3814-9600 LUIZ EDUARDO - AV. VER. JOSEPH BORGES DE QUEIROZ, 1000 -  GRAMADO - PATOS DE MINAS - MG
(MAT 25894595) R OURO BRANCO 355 DISTRITO INDUSTRIAL II - PATOS DE MINAS  (34) 996617453  ADRIANA  presidiopatosrh@gmail.com</t>
  </si>
  <si>
    <t xml:space="preserve">PRESÍDIO SEBASTIÃO SATIRO (GLOBALIZADA COPASA  180300857) (PLANILHA AGUA DEPEN) </t>
  </si>
  <si>
    <t>CRGPL  (CONSUMO ATÉ ABRIL/25: PLANILHA GLOB. COPASA DEPEN)  NOVA GLOBALIZADA: 0 018 126 502 8 (PLANILHA AGUA DEPEN)</t>
  </si>
  <si>
    <t>(matricula 115919775) - RD PAPA JOAO PAULO II S/N BL ED MINAS SERRA VERDE - VESPASIANO</t>
  </si>
  <si>
    <t>CAMP (CONSUMO ATÉ ABRIL/25: PLANILHA GLOB. COPASA DEPEN) NOVA GLOBALIZADA: 0 018 126 502 8 (PLANILHA AGUA DEPEN)</t>
  </si>
  <si>
    <t>(matricula 114314365) -  RD PAPA JOAO PAULO II S/N BL ED MINAS SERRA VERDE  - RIB. DAS NEVES</t>
  </si>
  <si>
    <t>CSE SÃO COSME - TEOFILO OTONI (GLOBALIZADA COPASA 106180801) (PLANILHA AGUA SUASE)</t>
  </si>
  <si>
    <t>(33) 3523-1566  JOÃO PEDRO - R. GUSTAVO LEONARDO, 1240 - SÃO JACINTO - TEÓFILO OTONI - MG</t>
  </si>
  <si>
    <t>CSE MONTES CLAROS (ANTIGO NOSSA SENHORA APARECIDA) (GLOBALIZADA COPASA 106180801) (PLANILHA AGUA SUASE)</t>
  </si>
  <si>
    <t>(38) 3214-9836 - Adm: 3855, 3854, 3859 / (31) 99737-0596 / (38) 99150-2261- Giulleano Balbino Bassan   giubassan@hotmail.com
Rua Agente Denniel Silva Marinho, 199 - Bairro Industrial - Montes Claros - MG</t>
  </si>
  <si>
    <t>CEIP DOM BOSCO (GLOBALIZADA COPASA 106180801) (PLANILHA AGUA SUASE)</t>
  </si>
  <si>
    <t>(31) 2129-9338 / 2129-9341 - Adm: 4005, 4006, 4011, 4012 / (31) 98802-8955 - Albert Braz (Diretor Geral)  ceipdbrh@seguranca.mg.gov. ; bralbert.brazcse@gmail.com 
Avenida dos Andradas, nº 4015, Horto, Belo Horizonte</t>
  </si>
  <si>
    <t>CSE JUSTINOPOLIS (GLOBALIZADA COPASA 106180801) (PLANILHA AGUA SUASE)</t>
  </si>
  <si>
    <t>(31) 2129-9355  VINICIUS - R. MILTON ASSUNÇÃO, 240 - JUSTINÓPOLIS - RIB. NEVES - MG</t>
  </si>
  <si>
    <t>CSE HORTO (GLOBALIZADA COPASA 106180801) (PLANILHA AGUA SUASE)</t>
  </si>
  <si>
    <t>(31) 3019-8338 JOSÉ DUARTE - R. JOÃO ALFREDO, 3792 - HORTO - BH - MG</t>
  </si>
  <si>
    <t>CSE DIVINÓPOLIS (GLOBALIZADA COPASA 106180801) (PLANILHA AGUA SUASE)</t>
  </si>
  <si>
    <t>(37) 3212-6503 / 2026  JOSIANE / RICARDO (37) 99962-5034
Avenida Conde Kelidônia, 111 - Jardim Floramar - Divinópolis - MG</t>
  </si>
  <si>
    <t>CIA BH (GLOBALIZADA COPASA 106180801) (PLANILHA AGUA SUASE)</t>
  </si>
  <si>
    <t>Roberto Ferreira Campos (Diretor Geral) - (31) 98915-6241   redsroberto8@gmail.com
Av. Afonso Pena nº 2300, Funcionários - BH</t>
  </si>
  <si>
    <t>1ª RISP - BELO HORIZONTE (GLOBALIZADA COPASA 118087452)  (PLANILHA AGUA SUINT)</t>
  </si>
  <si>
    <t xml:space="preserve">* Juliana solicitou a remissão de encargos no valor de </t>
  </si>
  <si>
    <t>11ª RISP - MONTES CLAROS (GLOBALIZADA COPASA 118087452) (PLANILHA AGUA SUINT)</t>
  </si>
  <si>
    <t xml:space="preserve">R$601,50 ref. ao consumo de 01/2024, matrícula </t>
  </si>
  <si>
    <t>AISP 9 Venda Nova (GLOBALIZADA COPASA 118087452)  (PLANILHA AGUA SUINT)</t>
  </si>
  <si>
    <t xml:space="preserve">centralizada (SUINT) nº 0 011 808 745 2, no valor de </t>
  </si>
  <si>
    <t>AISP 25 Eldorado (GLOBALIZADA COPASA 118087452)  (PLANILHA AGUA SUINT)</t>
  </si>
  <si>
    <t>43721,07  com vencimento em 10/03/2024</t>
  </si>
  <si>
    <t>AISP 26 Nova Contagem (GLOBALIZADA COPASA 118087452)  (PLANILHA AGUA SUINT)</t>
  </si>
  <si>
    <t>Foi concedido o desconto em 15/01 que virá na fatura de jan/25</t>
  </si>
  <si>
    <t>AISP 23 Ouro Preto (GLOBALIZADA COPASA 118087452)  (PLANILHA AGUA SUINT)</t>
  </si>
  <si>
    <t>com vencimento em 10/03/25</t>
  </si>
  <si>
    <t>AISP 56 Palmital (GLOBALIZADA COPASA 118087452)  (PLANILHA AGUA SUINT)</t>
  </si>
  <si>
    <t>AISP 68 Vespasiano (GLOBALIZADA COPASA 118087452)  (PLANILHA AGUA SUINT)</t>
  </si>
  <si>
    <t>AISP 103 Dom Silvério (GLOBALIZADA COPASA 118087452)  (PLANILHA AGUA SUINT)</t>
  </si>
  <si>
    <t>SUPID  CICC - NOVA GAMELEIRA (GLOBALIZADA COPASA 118087452) (PLANILHA AGUA SUINT)</t>
  </si>
  <si>
    <t>ESCOLA DE FORMAÇÃO (Físico) (GLOBALIZADA COPASA 118087452) (PLANILHA AGUA SUINT)</t>
  </si>
  <si>
    <t>RISP 4 POLICIA CIVIL (GLOBALIZADA CESAMA) (PLANILHA SUINT)</t>
  </si>
  <si>
    <t>28/02/2026
(DEZ/25)</t>
  </si>
  <si>
    <t>(matricula 150973667) * A fatura chega por e-mail mensalmente por volta do dia 1 ou 2</t>
  </si>
  <si>
    <t>AISP 107 -  ÁREA INTEG. SEG. PÚB. JUIZ DE FORA (GLOBALIZADA CESAMA)  (PLANILHA SUINT)</t>
  </si>
  <si>
    <t>(matricula 401901378)</t>
  </si>
  <si>
    <t>PROCESSOS QUE MONTAMOS</t>
  </si>
  <si>
    <t>6 GLOBALIZADAS</t>
  </si>
  <si>
    <t xml:space="preserve">RISP 1 - BH - DIR. REG.: RENATO RABELO   - (31) 98497-7398  ppmg1risp@gmail.com / renato.rabelo@seguranca.mg.gov.br / </t>
  </si>
  <si>
    <t>RISP 2 - RIB. NEVES - DIR. REG.: ELVES FABIANO GOMES DE ALMEIDA   - (31) 98657-0378 / 98210-4344  VOIP: 1786  fabianoelves@gmail.com / elves.almeida@seguranca.mg.gov.br</t>
  </si>
  <si>
    <t>RISP 3 - VESPASIANO - DIR. REG.: PAULO ALEXANDRE DUARTE  - (31) 3621-1639 / 99202-3450  3risp@seguranca.mg.gov.br / paulo.duarte@seguranca.mg.gov.br / 3rispmg@gmail.com</t>
  </si>
  <si>
    <t>RISP 4 - JUIZ DE FORA - DIR. REG.: ALEXANDRE DA CUNHA SILVA  - (32) 99175-7976 / (32) 3223-1690 / (34) 3851-0202 / (31) 98105-9491  4rispseap@gmail.com / alexandre.cunha@seguranca.mg.gov.br / 4risp@seguranca.mg.gov.br</t>
  </si>
  <si>
    <t xml:space="preserve">RISP 5 - UBERABA - DIR. REG.: JOSILEY HENRIQUE BORGES SILVA - (31) 98477-9547 / (34) 99687-3149 / VOIP: 3510   5rispdepen@gmail.com / josiley.silva@seguranca.mg.gov.br </t>
  </si>
  <si>
    <t>RISP 6 - LAVRAS - DIR. REG.: ANAMARIA BORGES PEREIRA - (35) 99249-5356    6regionalpoliciapenal@gmail.com / anamaria.pereira@seguranca.mg.gov.br / anamaria_bpl@yahoo.com.br</t>
  </si>
  <si>
    <t>RISP 7 - DIVINÓPOLIS - DIR. REG.: SÉRGIO EVARISTO DE SOUZA - (31) 99654-7783 / (37) 99860-2104 / 3214-1213    7arispdepen@gmail.com / sergio.souza@seguranca.mg.gov.br</t>
  </si>
  <si>
    <t>VENCIMENTO DA ÚTIMA FATURA LANÇADA</t>
  </si>
  <si>
    <t>LOGIN</t>
  </si>
  <si>
    <t>LINK PARA 2ª VIA</t>
  </si>
  <si>
    <t>CONTATO</t>
  </si>
  <si>
    <t>RISP</t>
  </si>
  <si>
    <t xml:space="preserve">16ª REGIÃO INTEGRADA DE SEGURANÇA PÚBLICA (UNAÍ)
EMPENHO: 17
EMPENHO DE ENCARGOS: </t>
  </si>
  <si>
    <t> 05/04/2026
(MAR/26)</t>
  </si>
  <si>
    <t>E-mail: sandra.reno@seguranca.mg.gov.br
Senha: 054876</t>
  </si>
  <si>
    <t>https://autoatendimento.contaseconsumo.com.br/login/index.php?id=9UXUAX</t>
  </si>
  <si>
    <r>
      <rPr>
        <b/>
        <i/>
        <sz val="10"/>
        <color rgb="FF000000"/>
        <rFont val="Calibri"/>
      </rPr>
      <t xml:space="preserve">SAAE UNAÍ 
</t>
    </r>
    <r>
      <rPr>
        <sz val="10"/>
        <color rgb="FF000000"/>
        <rFont val="Calibri"/>
      </rPr>
      <t xml:space="preserve">(38) 3676-1521 | 4435
08000311521
(38) 98816-1299 (WhatsApp)
saae@saaeunai.mg.gov.br  </t>
    </r>
  </si>
  <si>
    <t>Rua Filadelfo Souza Pinto, 141 - Nova Divineia - Unaí
(38) 3676-1132 - Adrielle ou Lucimeia
(38) 99919-1251 | (31) 98479-5463 - Silvio (diretor)
16risp@seguranca.mg.gov.br, drap16risp@gmail.com
silvio.cardoso.junior@hotmail.com
silvio.cardoso@seguranca.mg.gov.br</t>
  </si>
  <si>
    <r>
      <rPr>
        <b/>
        <i/>
        <sz val="10"/>
        <color rgb="FF000000"/>
        <rFont val="Calibri"/>
      </rPr>
      <t xml:space="preserve">16ª RISP - REGIONAL: </t>
    </r>
    <r>
      <rPr>
        <sz val="10"/>
        <color rgb="FF000000"/>
        <rFont val="Calibri"/>
      </rPr>
      <t xml:space="preserve">Reginaldo Inácio da Silva
</t>
    </r>
    <r>
      <rPr>
        <i/>
        <sz val="10"/>
        <color rgb="FF000000"/>
        <rFont val="Calibri"/>
      </rPr>
      <t xml:space="preserve">
</t>
    </r>
    <r>
      <rPr>
        <sz val="10"/>
        <color rgb="FF000000"/>
        <rFont val="Calibri"/>
      </rPr>
      <t>(32) 98834-1306
16risp@seguranca.mg.gov.br
drap16risp@gmail.com</t>
    </r>
  </si>
  <si>
    <t>A unidade informou em nov/2024 que a tarifa A/E - (AVULSO) que estava vindo nas faturas refere-se a água fornecida pelo SAAE para a Penitenciária Agostinho de Oliveira Junior, em acordo firmado através do Processo SEI nº (1450.01.0029605/2023-04). Na fatura ref. a dez/2024 não veio a cobrança
ATESTE ASSINADO POR: LUCIMEIA/ SILVIO (DIRETOR)</t>
  </si>
  <si>
    <t>IMUNE. NÃO PRECISA COLOCAR OFICIO E MEMORANDO I.R. NO PROCESSO</t>
  </si>
  <si>
    <t>Data da leitura: 04</t>
  </si>
  <si>
    <t xml:space="preserve">5ª RISP PCMG - UBERABA (PLANILHA AGUA SUINT)
EMPENHO: 20
EMPENHO DE ENCARGOS: </t>
  </si>
  <si>
    <t>Identificador (sem dígito verificador): 94601</t>
  </si>
  <si>
    <t>https://codau-agv.eossystems.com.br/Publico/SegundaVia</t>
  </si>
  <si>
    <r>
      <rPr>
        <b/>
        <i/>
        <sz val="10"/>
        <color rgb="FF000000"/>
        <rFont val="Calibri"/>
      </rPr>
      <t xml:space="preserve">CODAU UBERABA 
</t>
    </r>
    <r>
      <rPr>
        <sz val="10"/>
        <color rgb="FF000000"/>
        <rFont val="Calibri"/>
      </rPr>
      <t>(34) 3318-6000 | 3318-6050 | 3318-6051 | 0800 941 0115 - Adriana (financeiro), Gisele (SAC), Solange (SAC), Marcio (assessor executivo), Tallita (gerente comercial, Cristiane (diretora comercial)
(34) 99908-2290 WHATSAPP
sac@codau.com.br
julia.silva@codau.com.br
solange.vitalino@codau.com.br
tallita.oliveira@codau.com.br
cristiane.fernandes@codau.com.br
marcio.fernandes@codau.com.br</t>
    </r>
  </si>
  <si>
    <t>Praça Magalhães Pinto, 604 - Fabrício - Uberaba
(34) 3322-5334</t>
  </si>
  <si>
    <r>
      <rPr>
        <b/>
        <i/>
        <sz val="10"/>
        <color rgb="FF000000"/>
        <rFont val="Calibri"/>
      </rPr>
      <t>5ª RISP - REGIONAL:</t>
    </r>
    <r>
      <rPr>
        <b/>
        <sz val="10"/>
        <color rgb="FF000000"/>
        <rFont val="Calibri"/>
      </rPr>
      <t xml:space="preserve"> </t>
    </r>
    <r>
      <rPr>
        <sz val="10"/>
        <color rgb="FF000000"/>
        <rFont val="Calibri"/>
      </rPr>
      <t>Josiley Henrique Borges Silva
(31) 98477-9547 | (34) 99687-3149
VOIP: 3510
5rispdepen@gmail.com
josiley.silva@seguranca.mg.gov.br</t>
    </r>
  </si>
  <si>
    <t>COLOCAR OFICIO E MEMORANDO I.R. NO PROCESSO</t>
  </si>
  <si>
    <t>Data da Leitura: 30</t>
  </si>
  <si>
    <t xml:space="preserve">8ª RISP - GOVERNADOR VALADARES (PLANILHA AGUA SUINT)
EMPENHO: 19
EMPENHO DE ENCARGO: </t>
  </si>
  <si>
    <t>23/02/2026
(FEV/26)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</si>
  <si>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>CPF/CNPJ: 26245509000198
Matrícula: 847399</t>
    </r>
  </si>
  <si>
    <t>https://cliente.aguasdevaladares.com.br/entrar</t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</si>
  <si>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 (setor de faturamento)
(66) 99942-0791 - Marcelo Rêgo (coordenador) 
 juliane.ferraz@aegea.com.br
 thaissa.almeida@aguasdevaladares.com.br
 marcelo.roliveira@aegea.com.br</t>
    </r>
  </si>
  <si>
    <t>Av Minas Gerais, 2100-A - Maria Eugenia - Governador Valadares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</si>
  <si>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Cleyton Reges Cardoso
</t>
    </r>
    <r>
      <rPr>
        <i/>
        <sz val="10"/>
        <color rgb="FF000000"/>
        <rFont val="Calibri"/>
      </rPr>
      <t xml:space="preserve">
</t>
    </r>
    <r>
      <rPr>
        <sz val="10"/>
        <color rgb="FF000000"/>
        <rFont val="Calibri"/>
      </rPr>
      <t>(33) 99963-8018
VOIP: 1853
8risp@seguranca.mg.gov.br
8rispgv@gmail.com
clayton.reges@seguranca.mg.gov.br
claytonreges@hotmail.com</t>
    </r>
  </si>
  <si>
    <t>Para acessar a fatura no site da concessionária clicar em: ou entre como "imobiliária".  Escolha o usuário SEJUSP.  Todas as faturas estarão disponíveis no site. (COD. LIGAÇÃO: 847399). Se a fatura estiver com encargos, solicitar a Juliane para retirar, pois são indevidos.</t>
  </si>
  <si>
    <t>CONSTA INFORMAÇÃO DO I.R. NA FATURA. NÃO PRECISA COLOCAR OFICIO E MEMORANDO I.R. NO PROCESSO</t>
  </si>
  <si>
    <t>Data da leitura: 09</t>
  </si>
  <si>
    <t>código de verificação irá chegar no e-mail: sandra.reno@seguranca.mg.gov.br</t>
  </si>
  <si>
    <t>9ª RISP - UBERLÂNDIA (PLANILHA AGUA SUINT)
EMPENHO: 22
EMPENHO DE ENCARGO:</t>
  </si>
  <si>
    <t>28/04/2026
(FEV/26)</t>
  </si>
  <si>
    <t xml:space="preserve">Cod. Identificador (sem o dígito verificador): </t>
  </si>
  <si>
    <t>https://plataforma.uberlandia.mg.gov.br/plataforma/f/t/segundaviaiptusel?tipoDivida=dmae</t>
  </si>
  <si>
    <r>
      <rPr>
        <b/>
        <i/>
        <sz val="10"/>
        <color rgb="FF000000"/>
        <rFont val="Calibri"/>
      </rPr>
      <t xml:space="preserve">DMAE UBERLÂNDIA
</t>
    </r>
    <r>
      <rPr>
        <sz val="10"/>
        <color rgb="FF000000"/>
        <rFont val="Calibri"/>
      </rPr>
      <t xml:space="preserve">
(34) 3233-2532 - Ábia, Diones, Willian (departamento de cobrança)
3233-4300 | 3233-2590 - Vanessa (Gerente Comercial) 
3233-0815 - Nazareth (REFIM) 
3233-0896 (Expediente)   
nucleodecobranca@uberlandia.mg.gov.br
gerenciacomercialdmae@gmail.com</t>
    </r>
  </si>
  <si>
    <t xml:space="preserve">Avenida Gabriela Junqueira de Freitas, 125 - P.Artesi - Moinho de Vento - Uberlândia
Avenida Gabriela Junqueira de Freitas, 125 - Jardim Patricia - Uberlândia
 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</si>
  <si>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 xml:space="preserve"> Marcus Vinicius de Oliveira Silva
(31) 99791-9622 (34) 99241-7910
VOIP:
9risp@seguranca.mg.gov.br
assessoria.nonarisp@gmail.com 
marcus.vinicius@seguranca.mg.gov.br</t>
    </r>
  </si>
  <si>
    <t>IMUNE. NÃO PRECISA COLOCAR OFICIO E MEMORANDO I.R. NO PROCESSO  (DESDE MAIO/25)</t>
  </si>
  <si>
    <t xml:space="preserve">CENTRO DE ATENÇÃO BIOPSICOSSOCIAL DE UBERLÂNDIA (9ª RISP)
EMPENHO: 175
EMPENHO DE ENCARGO:   </t>
  </si>
  <si>
    <t>20/03/2026
(FEV/26)</t>
  </si>
  <si>
    <t>Rua Doutor Luiz Antônio Waack, 1662 - Umuarama - Uberlândia
(34) 3229-3652 | 99159-9385 - Sara, Vilene, Elen
sara.gomes.oliveira@seguranca.mg.gov.br
vilene.maglhaes@seguranca.mg.gov.br
elen.jesus@seguranca.mg.gov.br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</si>
  <si>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 xml:space="preserve"> Marcus Vinicius de Oliveira Silva
(31) 99791-9622 (34) 99241-7910
VOIP:
9risp@seguranca.mg.gov.br
assessoria.nonarisp@gmail.com 
marcus.vinicius@seguranca.mg.gov.br</t>
    </r>
  </si>
  <si>
    <t>Fatura fica disponivel por volta do dia 05. Enviar e-mail p/ a unidade se eles não enviarem o processo até o dia 10
DATA LEITURA: 04
ATESTE ASSINADO POR: VILENE (DIRETORA)</t>
  </si>
  <si>
    <t xml:space="preserve">COMPLEXO PENITENCIÁRIO DOUTOR PIO CANEDO (PARÁ DE MINAS)
EMPENHO: 15
EMPENHO DE ENCARGO: </t>
  </si>
  <si>
    <t>06/04/2026
(MAR/26)</t>
  </si>
  <si>
    <t>E-mail: sandra.reno@seguranca.mg.gov.br
Senha: Sejusp05487</t>
  </si>
  <si>
    <t>https://agenciavirtual.grupoaguasdobrasil.com.br/</t>
  </si>
  <si>
    <r>
      <rPr>
        <b/>
        <i/>
        <sz val="10"/>
        <color rgb="FF000000"/>
        <rFont val="Calibri"/>
      </rPr>
      <t xml:space="preserve">ÁGUAS DE PARÁ DE MINAS
</t>
    </r>
    <r>
      <rPr>
        <sz val="10"/>
        <color rgb="FF000000"/>
        <rFont val="Calibri"/>
      </rPr>
      <t xml:space="preserve">(21) 97211-8064 (WhatsApp)
(37) 99956-3093 - Daniela Rezende </t>
    </r>
  </si>
  <si>
    <t>Estrada dos Costas, 0 - João Paulo II - Pará de Minas
(31) 2129-9798
(31) 99795-7451 | (37) 99814-1157 | VOIP: 251 - Marcelo (diretor)
(37) 99924-2683 | VOIP: 2514 - Lucilene (direotora de atencimento)
cpdpc@seguranca.mg.gov.br
marcelo.barbosa@seguranca.mg.gov.br
lucilene.moreira@seguranca.mg.gov.br</t>
  </si>
  <si>
    <r>
      <rPr>
        <b/>
        <i/>
        <sz val="10"/>
        <color rgb="FF000000"/>
        <rFont val="Calibri"/>
      </rPr>
      <t>7ª RISP - REGIONAL:</t>
    </r>
    <r>
      <rPr>
        <sz val="10"/>
        <color rgb="FF000000"/>
        <rFont val="Calibri"/>
      </rPr>
      <t xml:space="preserve"> Sergio Evaristo de Souza
(31) 99654-7783 (37) 99860-2104
VOIP: (37) 3214-1213
7risp@seguranca.mg.gov.br
7rispdepen@gmail.com
sergio.souza@seguranca.mg.gov.br</t>
    </r>
  </si>
  <si>
    <t>No site pede e-mail e senha. Cadastrei: sandra.reno@seguranca.mg.gov.br    senha: Sejusp05487
Necessário informar o nº da ligação (COD. LIGAÇÃO: 0900008831-9) e o CNPJ (05487631000109)
ATESTE ASSINADO POR: RODRIGO/ MARCELO (DIRETOR)</t>
  </si>
  <si>
    <t>Data da leitura: 14</t>
  </si>
  <si>
    <t xml:space="preserve">CSE GOVERNADOR VALADARES - CIA DO ADOLESCENTE GOVERNADOR VALADARES (CIA SÃO FRANCISCO) (PLANILHA AGUA SUASE)
EMPENHO: 76
EMPENHO DE ENCARGO: </t>
  </si>
  <si>
    <t>27/02/2026
(FEV/26)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</si>
  <si>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 xml:space="preserve">
CPF/CNPJ: 05487631000109
Matrícula: 690996</t>
    </r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</si>
  <si>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 (faturamento)
(66) 99942-0791 - Marcelo Rêgo (coordenador)
juliane.ferraz@aegea.com.br
thaissa.almeida@aguasdevaladares.com.br
marcelo.roliveira@aegea.com.br</t>
    </r>
  </si>
  <si>
    <t>Rua Soldado Edson Veloso, 700 - Santos Dumont - Governador Valadares
(33) 3271-4269 | VOIP: 2605, 2606, 2609 - Jacqueline
(31) 98878-8497 | 99963-3003 - Mônica Cristina da Silva
(33) 98891-0692 | VOIP: 2605 - Renato (diretor geral)
monica.cristina@seguranca.mg.gov.br
csegv.gv@gmail.com
ciasfa@defesasocial.mg.gov.br
jacqueline.faria@seguranca.mg.gov.br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</si>
  <si>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Danilo Marcos Almeida Silva Gomes
(33) 3225-1908 | (33) 99827-7354
VOIP: 1853
8risp@seguranca.mg.gov.br
8rispgv@gmail.com
danilo.gomes@seguranca.mg.gov.br</t>
    </r>
  </si>
  <si>
    <t xml:space="preserve">
Para acessar a fatura no site da concessionária clicar em: ou entre como "imobiliária".  Usuário: SEJUSP.  Todas as faturas estarão disponíveis no site. Se a fatura estiver com encargos, solicitar para retirarem, pois são indevidos.
ATESTE ASSINADO POR: JACQUELINE/ MONICA (DIRETORA)</t>
  </si>
  <si>
    <t>Data da leitura: 30</t>
  </si>
  <si>
    <t xml:space="preserve">CSE JUIZ DE FORA (PLANILHA AGUA SUASE)
EMPENHO: 86
EMPENHO DE ENCARGO: </t>
  </si>
  <si>
    <t>31/03/2026
(JAN/25)</t>
  </si>
  <si>
    <t>Fatura chega por e-mail</t>
  </si>
  <si>
    <t>https://cesama.strategos.com.br:8443/AgenciaVirtualNovo/</t>
  </si>
  <si>
    <r>
      <rPr>
        <b/>
        <i/>
        <sz val="10"/>
        <color rgb="FF000000"/>
        <rFont val="Calibri"/>
      </rPr>
      <t xml:space="preserve">CESAMA
</t>
    </r>
    <r>
      <rPr>
        <sz val="10"/>
        <color rgb="FF000000"/>
        <rFont val="Calibri"/>
      </rPr>
      <t>(32) 98420-5399 | (32) 3692-9217 | 98420-5512 - José Ricardo
delf@cesama.com.br</t>
    </r>
  </si>
  <si>
    <t>Av Presidente Juscelino Kubitschek, 1 - Barbosa Lage - Juiz de Fora
(32) 3221-9610 | VOIP: 5008-9610
VOIP: 5014 - Osnério (diretir geral)
VOIP: 5016 - Jean
centrosocioeducativojf@gmail.com;
osneriodg@gmail.com
jeanks9804@gmail.com</t>
  </si>
  <si>
    <r>
      <rPr>
        <b/>
        <i/>
        <sz val="10"/>
        <color rgb="FF000000"/>
        <rFont val="Calibri"/>
      </rPr>
      <t xml:space="preserve">4ª RISP - REGIONAL: </t>
    </r>
    <r>
      <rPr>
        <sz val="10"/>
        <color rgb="FF000000"/>
        <rFont val="Calibri"/>
      </rPr>
      <t>Alexandre da Cunha Silva
(32) 99175-7976 | (34) 3851-0202 | (31) 98105-9491
VOIP: (32) 3223-1690
4risp@seguranca.mg.gov.br 
4risp.seap@gmail.com 
alexandre.cunha@seguranca.mg.gov.br</t>
    </r>
  </si>
  <si>
    <t>Fatura chega por e-mail
ATESTE ASSINADO POR: ALEXANDRE/ EMERSON (DIRETOR)</t>
  </si>
  <si>
    <t>Data da leitura: 23</t>
  </si>
  <si>
    <t>CSE PIRAPORA (PLANILHA AGUA SUASE)
EMPENHO: 73
EMPENHO DE ENCARGO:</t>
  </si>
  <si>
    <t> 30/03/2026
(FEV/26)</t>
  </si>
  <si>
    <t xml:space="preserve">E-mail:
Senha: </t>
  </si>
  <si>
    <t>https://autoatendimento.contaseconsumo.com.br/login/index.php?id=9E366X</t>
  </si>
  <si>
    <r>
      <rPr>
        <b/>
        <i/>
        <sz val="10"/>
        <color rgb="FF000000"/>
        <rFont val="Calibri"/>
      </rPr>
      <t xml:space="preserve">SAAE PIRAPORA
</t>
    </r>
    <r>
      <rPr>
        <sz val="10"/>
        <color rgb="FF000000"/>
        <rFont val="Calibri"/>
      </rPr>
      <t xml:space="preserve">(38) 3741-1530 | (38) 98823-1137  </t>
    </r>
  </si>
  <si>
    <t>Rua N, 365 - Primavera - Pirapora
(38) 98405-2478
(38) 99950-6877 - Laíse (Diretora Geral) 
csepiraporaatendimento@defesasocial.mg.gov.br</t>
  </si>
  <si>
    <r>
      <rPr>
        <b/>
        <i/>
        <sz val="10"/>
        <color rgb="FF000000"/>
        <rFont val="Calibri"/>
      </rPr>
      <t xml:space="preserve">14ª RISP - REGIONAL: </t>
    </r>
    <r>
      <rPr>
        <sz val="10"/>
        <color rgb="FF000000"/>
        <rFont val="Calibri"/>
      </rPr>
      <t>Charleson Michel Pinto da Silva
(31) 98819-4333 | (31) 98405-7408
VOIP:
14risp@seguranca.mg.gov.br
14ppmg@gmail.com
charleson.silva@seguranca.mg.gov.br</t>
    </r>
  </si>
  <si>
    <t>Necessita de e-mail e senha p/ retirar 2ª via). A fatura vai chegar por e-mail. Caso não chegue até o final do mês, enviar e-mail solicitando: contato@saaepirapora.com.br</t>
  </si>
  <si>
    <t>Data da leitura: 22</t>
  </si>
  <si>
    <t>CSE UBERLÂNDIA (PLANILHA AGUA SUASE)
EMPENHO: 85
EMPENHO DE ENCARGO</t>
  </si>
  <si>
    <t>20/03/2026
(JAN/26)</t>
  </si>
  <si>
    <t>Cod. Identificador (sem o dígito verificador): 141370</t>
  </si>
  <si>
    <t>Rua da Pureza, 101 - São Francisco - Uberlândia
(34) 3212-6894 | 3918 | (34) 99819-6246
(34) 99145-4506 | VOIP: 3921 - Gilson G. Rodrigues (Diretor Geral)
gilson.goncalves@seguranca.mg.gov.br</t>
  </si>
  <si>
    <t xml:space="preserve">
ATESTE ASSINADO POR: CRISTIANE/GILSON (DIRETOR GERAL)</t>
  </si>
  <si>
    <t>IMUNE. NÃO PRECISA COLOCAR OFICIO E MEMORANDO I.R. NO PROCESSO  (DESDE NOV/2025)</t>
  </si>
  <si>
    <t>Data da leitura: 10</t>
  </si>
  <si>
    <t xml:space="preserve">HOSPITAL PSIQUIÁTRICO E JUDICIÁRIO JORGE VAZ (BARBACENA)
EMPENHO: 67
EMPENHO DE ENCARGO: </t>
  </si>
  <si>
    <t> 28/03/2026
(FEV/26)</t>
  </si>
  <si>
    <t>CNPJ: 05.487.631/0001-09</t>
  </si>
  <si>
    <t>https://sasbarbacenamg.com.br/#/agencia/inicio</t>
  </si>
  <si>
    <r>
      <rPr>
        <b/>
        <i/>
        <sz val="10"/>
        <color rgb="FF000000"/>
        <rFont val="Calibri"/>
      </rPr>
      <t>SAS BARBACENA</t>
    </r>
    <r>
      <rPr>
        <sz val="10"/>
        <color rgb="FF000000"/>
        <rFont val="Calibri"/>
      </rPr>
      <t xml:space="preserve"> 
(32) 3339-6800 | 6831 | 
(32) 99954-5020 - Paula Cimino (chefe de divisão de faturamento)
faturamento.sas@gmail.com</t>
    </r>
  </si>
  <si>
    <t>Rua Dr Pena, 0 - Setor 1.02 - Barbacena
(31) 2129-9322 / (32) 3332-3307 | VOIP: 5200 (GERAL), 5214 (RH), 5213 (NSI)
(32) 98852-4983 | VOIP: 5208 - Weberton (diretor geral)
(32) 99965-7867 | VOIP: 5214 - Leone (diretor administrativo)
(32) 98875-0579 | VOIP: 5217 - Monique (diretora de atendimento)
hpjj@seguranca.mg.gov.br
hpjjv@seguranca.mg.gov.br
weberton.lima@seguranca.mg.gov.br
leone.mateus@seguranca.mg.gov.br</t>
  </si>
  <si>
    <r>
      <rPr>
        <b/>
        <i/>
        <sz val="10"/>
        <color rgb="FF000000"/>
        <rFont val="Calibri"/>
      </rPr>
      <t>13ª RISP - REGIONAL:</t>
    </r>
    <r>
      <rPr>
        <sz val="10"/>
        <color rgb="FF000000"/>
        <rFont val="Calibri"/>
      </rPr>
      <t xml:space="preserve"> Reginaldo Inácio da Silva
(32) 98834-1306
VOIP:
sede13risp@gmail.com</t>
    </r>
  </si>
  <si>
    <t>Data da Leitura: 03</t>
  </si>
  <si>
    <t>PENITENCIÁRIA DE FORMIGA
EMPENHO: 29
EMPENHO DE ENCARGO</t>
  </si>
  <si>
    <t>30/03/2026
(FEV/26)</t>
  </si>
  <si>
    <t>Id. Eletrônico: 71628185@03</t>
  </si>
  <si>
    <t>https://formiga.contaseconsumo.com.br/</t>
  </si>
  <si>
    <r>
      <rPr>
        <b/>
        <i/>
        <sz val="10"/>
        <color rgb="FF000000"/>
        <rFont val="Calibri"/>
      </rPr>
      <t xml:space="preserve">SAAE FORMIGA
</t>
    </r>
    <r>
      <rPr>
        <sz val="10"/>
        <color rgb="FF000000"/>
        <rFont val="Calibri"/>
      </rPr>
      <t xml:space="preserve">(37) 3329-2750 | (37) 99988-3050 (WHATSAPP)  
(37) 99939-8099 - Heyton (diretor), Aline, Derli, Michele, Carmelita (contas)
(7:30 as 11:00 / 12:00 as 16:00)
formiga.saae@gmail.com
heytorsaae@gmail.com  </t>
    </r>
  </si>
  <si>
    <t>Rua Alto do Pequi, 350 (A) - Nossa Sra Aaparecida - Formiga
(37) 3322-6392 | 3322-4940 | 99864-8424 - Fabio
(35) 99958-5014 | VOIP: 3211 - Ulisses (diretor geral interino)
(37) 99808-5562 | VOIP: 3203 - Martinelli (diretor administrativo)
pfor@seguranca.mg.gov.br
fabio.simao@seguranca.mg.gov.br
fabio.daniel.costa@seguranca.mg.gov.br
martinelli.silva@seguranca.mg.gov.br</t>
  </si>
  <si>
    <r>
      <rPr>
        <b/>
        <i/>
        <sz val="10"/>
        <color rgb="FF000000"/>
        <rFont val="Calibri"/>
      </rPr>
      <t xml:space="preserve">7ª RISP - REGIONAL: </t>
    </r>
    <r>
      <rPr>
        <sz val="10"/>
        <color rgb="FF000000"/>
        <rFont val="Calibri"/>
      </rPr>
      <t>Sergio Evaristo de Souza
(31) 99654-7783 | (37) 99860-2104
VOIP: (37) 3214-1213
7risp@seguranca.mg.gov.br
7rispdepen@gmail.com
sergio.souza@seguranca.mg.gov.br</t>
    </r>
  </si>
  <si>
    <t xml:space="preserve">
ATESTE ASSINADO POR: DANIEL / ULISSES / MARTINELLI</t>
  </si>
  <si>
    <t>Data da leitura: 08</t>
  </si>
  <si>
    <t xml:space="preserve">PENITENCIÁRIA DE MURIAÉ - PENITENCIÁRIA MANOEL MARTINS LISBOA
EMPENHO: 117
EMPENHO DE ENCARGO: </t>
  </si>
  <si>
    <t> 06/04/2026
(FEV/26)</t>
  </si>
  <si>
    <t>https://autoatendimento.contaseconsumo.com.br/v5.1/index.php?id=F9LX6L</t>
  </si>
  <si>
    <r>
      <rPr>
        <b/>
        <i/>
        <sz val="10"/>
        <color rgb="FF000000"/>
        <rFont val="Calibri"/>
      </rPr>
      <t xml:space="preserve">DEMSUR
</t>
    </r>
    <r>
      <rPr>
        <sz val="10"/>
        <color rgb="FF000000"/>
        <rFont val="Calibri"/>
      </rPr>
      <t>(32) 9888-4731 | 3728-2491 - Henrique La Gatta
(32) 98832-5017 - Mario
(32) 99195-9627 | 3728-2491- Bruno Daier (já trabalhou na Penit. de Muriaé)
(32) 3696-3477 | 3475 - Centro de Processamento 
cpd@demsur.com.br
ouvidoria@demsur.com.br
tesouraria@demsur.com.br
mario@demsur.com.br
gladson.rodrigues@demsur.com.br</t>
    </r>
  </si>
  <si>
    <t>Av Luciano Rodrigues de Paula, 600 - Chácara Leblon - Muriaé
(32) 2129-9335 | (32) 3728-5555 | (32) 98474-5671 | 32) 98474-5322
(32) 99128-2882 | VOIP: 3737 - Luis Carlos (diretor)
(32) 99827-0761 | VOIP: 3719 - Rafael (diretor administrativo)
(32) 98887-7585 | VOIP: 3732 - Eduardo (diretor de atendimento)
pmmlj@seguranca.mg.gov.br
eduardo.nonato@seguranca.mg.gov.br</t>
  </si>
  <si>
    <r>
      <rPr>
        <b/>
        <i/>
        <sz val="10"/>
        <color rgb="FF000000"/>
        <rFont val="Calibri"/>
      </rPr>
      <t>4ª RISP - REGIONAL:</t>
    </r>
    <r>
      <rPr>
        <sz val="10"/>
        <color rgb="FF000000"/>
        <rFont val="Calibri"/>
      </rPr>
      <t xml:space="preserve"> Alexandre da Cunha Silva
(32) 99175-7976 | (34) 3851-0202 | (31) 98105-9491
VOIP: (32) 3223-1690
4risp@seguranca.mg.gov.br
4risp.seap@gmail.com
alexandre.cunha@seguranca.mg.gov.br</t>
    </r>
  </si>
  <si>
    <t>ATESTE ASSINADO POR: REGIANE / RAFAEL
 VER C/ O YAN SOBRE AS FATURAS QUE ESTÃO EM ABERTO NO SITE DA DEMSUR REF. A COLETA DEST. GR. GERADORES A  (MESES  02 A 10/25) - VALOR TOTAL: R$10.792,80</t>
  </si>
  <si>
    <t>Data da leitura: 02</t>
  </si>
  <si>
    <t xml:space="preserve">PENITENCIÁRIA DE PONTE NOVA
EMPENHO: 126
EMPENHO DE ENCARGO: </t>
  </si>
  <si>
    <t>10/04/2026
(FEV/26)</t>
  </si>
  <si>
    <t>Id. Eletrônico:
CNPJ: 05.487.631/0001-09</t>
  </si>
  <si>
    <t>https://autoatendimento.contaseconsumo.com.br/v5.1/index.php?id=9E3336</t>
  </si>
  <si>
    <r>
      <rPr>
        <b/>
        <i/>
        <sz val="10"/>
        <color rgb="FF000000"/>
        <rFont val="Calibri"/>
      </rPr>
      <t xml:space="preserve">DMAES 
</t>
    </r>
    <r>
      <rPr>
        <sz val="10"/>
        <color rgb="FF000000"/>
        <rFont val="Calibri"/>
      </rPr>
      <t>(31) 3819-5350 (geral e WhatsApp) 
(31) 99864-3862 (WhatsApp da recepção)
(31) 99585-5187 - Bruno Mello(diretor) | Nádia Amora (chefe de contas e consumo)
atendimento@dmaespontenova.mg.gov.b</t>
    </r>
  </si>
  <si>
    <t>Av Antônio Constantino Trivellato, 3000 - Cidade Nova - Ponte Nova
(31) 2129-9429 | 9431 | 9439 | (31) 2129-9438 | (31) 3881-1653
(31) 98673-5924 | VOIP: 3361 - Euler (diretor geral) OBS: RODRIGO - DIRETOR GERAL INTERINO A PARTIR DE 28/11/25)
(31) 99816-1057 | VOIP: 3362 - Rodrigo (diretor administrativo)
(31) 98920-6925 | VOIP: 3364 (diretor de atendimento)
cppn@seguranca.mg.gov.br
rodrigo.martins@seguranca.mg.gov.br</t>
  </si>
  <si>
    <r>
      <rPr>
        <b/>
        <i/>
        <sz val="10"/>
        <color rgb="FF000000"/>
        <rFont val="Calibri"/>
      </rPr>
      <t xml:space="preserve">12ª RISP - REGIONAL: </t>
    </r>
    <r>
      <rPr>
        <sz val="10"/>
        <color rgb="FF000000"/>
        <rFont val="Calibri"/>
      </rPr>
      <t>Marcelo Marshal Junior
(31) 98551-6240
VOIP: 1054
12risp@seguranca.mg.gov.br
marcelo.junior@seguranca.mg.gov.br</t>
    </r>
  </si>
  <si>
    <t>ATESTE ASSINADO POR: RODRIGO</t>
  </si>
  <si>
    <t xml:space="preserve">IMUNE. NÃO PRECISA COLOCAR OFICIO E MEMORANDO I.R. NO PROCESSO  </t>
  </si>
  <si>
    <t>Data da leitura: 03</t>
  </si>
  <si>
    <t>PENITENCIÁRIA DEPUTADO EXPEDITO DE FARIA TAVARES (PATROCINIO)
EMPENHO: 28
EMPENHO DE ENCARGO:</t>
  </si>
  <si>
    <t> 11/04/2026
(MAR/26)</t>
  </si>
  <si>
    <t>CNPJ: 05.487.631/0001-09
Cod. Identificação: 5000001</t>
  </si>
  <si>
    <t>http://daepa.ddns.net:8070/</t>
  </si>
  <si>
    <r>
      <rPr>
        <b/>
        <i/>
        <sz val="10"/>
        <color rgb="FF000000"/>
        <rFont val="Calibri"/>
      </rPr>
      <t xml:space="preserve">DAEPA
</t>
    </r>
    <r>
      <rPr>
        <sz val="10"/>
        <color rgb="FF000000"/>
        <rFont val="Calibri"/>
      </rPr>
      <t>(34) 3515-2600
daepa@daepa.com.br</t>
    </r>
  </si>
  <si>
    <t>Estrada Corrego Feio, 0 - Penitenciária Zona Rural - Patrocínio
(31) 2129-9757 | (34) 98437-1565 | (34) 98437-1573 | (34) 98437-1829
(34) 99111-0129 | VOIP: 7116 - Plínio (diretor geral)
(34) 98805-3818 | VOIP: 7106 - Flávio (diretor administrativo)
pdeft@seguranca.mg.gov.br
plinio.rodrigues@seguranca.mg.gov.br
flaviocabralalmeida@gmail.ocm</t>
  </si>
  <si>
    <r>
      <rPr>
        <b/>
        <i/>
        <sz val="10"/>
        <color rgb="FF000000"/>
        <rFont val="Calibri"/>
      </rPr>
      <t xml:space="preserve">10ª RISP - REGIONAL: </t>
    </r>
    <r>
      <rPr>
        <sz val="10"/>
        <color rgb="FF000000"/>
        <rFont val="Calibri"/>
      </rPr>
      <t>Marcos Lopes Brandão
(31) 99795-9451 | (34) 99672-5751
VOIP: 3302
decimadrap@gmail.com 
marcos.brandao@seguranca.mg.gov.br</t>
    </r>
  </si>
  <si>
    <t>ATESTE ASSINADO POR: FLAVIO/SANDRO</t>
  </si>
  <si>
    <t>Data da leitura: 12</t>
  </si>
  <si>
    <t>2ª via rápida de fatura 
CPF/CNPJ: 
Matrícula: 923193</t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</si>
  <si>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Thaissa, faturamento
(66) 99942-0791 - Marcelo Rêgo, coordenador
juliane.ferraz@aegea.com.br
thaissa.almeida@aguasdevaladares.com.br
marcelo.roliveira@aegea.com.br</t>
    </r>
  </si>
  <si>
    <t>Rua Principal, s/n - Vila Nova Floresta - Governador Valadares
(33) 3215-5079 | 5080 | 5120 | 5123 | 8895-7667 | (33) 3215-5080 | (33) 3215-5123 | (33) 3215-5120 - Camila
(33) 99949-7011 | VOIP: 1853  - Carlos (diretor geral interino)
(33) 98813-6154 | VOIP: 1858 - Djalma (diretor administrativo)
pffp@seguranca.mg.gov.br
camilla.souza@seguranca.mg.gov.br
carlos.freitas@seguranca.mg.gov.br</t>
  </si>
  <si>
    <r>
      <rPr>
        <b/>
        <i/>
        <sz val="10"/>
        <color rgb="FF000000"/>
        <rFont val="Calibri"/>
      </rPr>
      <t>8ª RISP - REGIONAL:</t>
    </r>
    <r>
      <rPr>
        <sz val="10"/>
        <color rgb="FF000000"/>
        <rFont val="Calibri"/>
      </rPr>
      <t xml:space="preserve"> Danilo Marcos Almeida Silva Gomes
(33) 3225-1908 (33) 99827-7354
VOIP: 1853
8risp@seguranca.mg.gov.br
8rispgv@gmail.com
danilo.gomes@seguranca.mg.gov.br</t>
    </r>
  </si>
  <si>
    <t>Para acessar esta fatura pelo site da concessionária tem que colocar o CNPJ da SEJUSP: 05.487.631/0001-09 (COD. LIGAÇÃO: 923193-5). Se a fatura estiver com encargos, solicitar a Juliane para retirar, pois são indevidos.
* Caminhão Pipa (eles conferem o quantitativo fornecido antes de enviar a fatura através do processo SEI). Como é a unidade que envia, insistir nas ligações para eles: 
ATESTE ASSINADO POR: CAMILLA/CARLOS (DIRETOR)</t>
  </si>
  <si>
    <t xml:space="preserve">PENITENCIÁRIA PROFESSOR ALUÍZIO IGNÁCIO DE OLIVEIRA
EMPENHO: 45
EMPENHO DE ENCARGOS: </t>
  </si>
  <si>
    <t> 27/04/2026
(MAR/26)</t>
  </si>
  <si>
    <t xml:space="preserve">Identificador (sem dígito verificador): 82375 e 101490 </t>
  </si>
  <si>
    <t>Avenida Decio Moreira, 400 - Zona Rural - Uberaba
(34) 3322-5334 | 99989-5391 | 9989-5302 | VOIP: 3519, 3503, 3517
(34) 99139-0284 | VOIP: 3510 - Jean (diretor)
(34) 99718-4596 | (34) 99990-3173 | VOIP: 3504 - Eber (diretor de atendimento)
ppaiodg@seguranca.mg.gov.br
ppaiogaseg@seguranca.mg.gov.br
ppaiofinancas@seguranca.mg.gov.br
jean.paulo.reis@seguranca.mg.gov.br
m12134292@seguranca.mg.gov.br</t>
  </si>
  <si>
    <r>
      <rPr>
        <b/>
        <i/>
        <sz val="10"/>
        <color rgb="FF000000"/>
        <rFont val="Calibri"/>
      </rPr>
      <t>5ª RISP - REGIONAL:</t>
    </r>
    <r>
      <rPr>
        <sz val="10"/>
        <color rgb="FF000000"/>
        <rFont val="Calibri"/>
      </rPr>
      <t xml:space="preserve"> Josiley Henrique Borges Silva
(31) 98477-9547 | (34) 99687-3149
VOIP: 3510
5rispdepen@gmail.com 
josiley.silva@seguranca.mg.gov.br</t>
    </r>
  </si>
  <si>
    <t>Data da leitura: 18</t>
  </si>
  <si>
    <t>PENITENCIÁRIA PROFESSOR ARIOSVALDO CAMPOS PIRES (JUIZ DE FORA) (GLOBALIZADA CESAMA)
EMPENHO:
EMPENHO DE ENCARGO:</t>
  </si>
  <si>
    <t>26/04/2026
(FEV/26)</t>
  </si>
  <si>
    <r>
      <rPr>
        <b/>
        <i/>
        <sz val="10"/>
        <color rgb="FF000000"/>
        <rFont val="Calibri"/>
      </rPr>
      <t xml:space="preserve">CESAMA 
</t>
    </r>
    <r>
      <rPr>
        <sz val="10"/>
        <color rgb="FF000000"/>
        <rFont val="Calibri"/>
      </rPr>
      <t xml:space="preserve">
(32) 3692-9217 | 98420-5512 - José Ricardo
delf@cesama.com.br</t>
    </r>
  </si>
  <si>
    <t>R. Diva Garcia, 3351 - Linhares - Juiz de Fora/MG
VOIP: 5901 + 2909 - Hadad
(32) 3214-9197 | 3215-0873
(32) 99125-1704 - Carlos Augusto (diretor geral) 
(31) 97503-9525
ppacp.direcao@gmail.com
ppacp@seguranca.mg.gov.br
seguranca.ppacp@gmail.com
seguranca.ppacp@seguranca.mg.gov.br
dappacp@gmail.com
carlos.cunha@seguranca.mg.gov.br
wallace.hadade@seguranca.mg.gov.br</t>
  </si>
  <si>
    <r>
      <rPr>
        <b/>
        <i/>
        <sz val="10"/>
        <color rgb="FF000000"/>
        <rFont val="Calibri"/>
      </rPr>
      <t>4ª RISP - REGIONAL:</t>
    </r>
    <r>
      <rPr>
        <sz val="10"/>
        <color rgb="FF000000"/>
        <rFont val="Calibri"/>
      </rPr>
      <t xml:space="preserve"> Alexandre da Cunha Silva
(32) 99175-7976 | (34) 3851-0202 | (31) 98105-9491
VOIP: (32) 3223-1690
4risp@seguranca.mg.gov.br
4risp.seap@gmail.com
alexandre.cunha@seguranca.mg.gov.br</t>
    </r>
  </si>
  <si>
    <t>ATESTE ASSINADO POR: Raphael e Wallace</t>
  </si>
  <si>
    <t>NÃO PRECISA COLOCAR OFÍCIO E MEMORANDO I.R. NO PROCESSO</t>
  </si>
  <si>
    <t>Data da leitura: 13</t>
  </si>
  <si>
    <t xml:space="preserve">PENITENCIÁRIA PROFESSOR JOÃO PIMENTA DA VEIGA (UBERLÂNDIA)
EMPENHO: 127
EMPENHO DE ENCARGOS: </t>
  </si>
  <si>
    <t>Cod. Identificador (sem o dígito verificador): 133351</t>
  </si>
  <si>
    <t>Estrada Sucupira,5000 - Glebas - Uberlândia
(34) 3214-5633
(31) 98104-1142 | (34) 99253-9559 | VOIP: 7204 - Carlos Humberto (diretor geral)
(34) 99979-2005 | VOIP: 7217 - Renê (diretor administrativo)
(34) 99276-1070 | VOIP: 7208 - Lidiane (diretora de atendimento)
ppjpvgeral@seguranca.mg.gov.br
carlos.humberto@seguranca.mg.gov.br
rene.oliveira@seguranca.mg.gov.br
lidianne.moura@seguranca.mg.gov.br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</si>
  <si>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 Marcus Vinicius de Oliveira Silva
(31) 99791-9622 (34) 99241-7910
VOIP:
9risp@seguranca.mg.gov.br 
assessoria.nonarisp@gmail.com
marcus.vinicius@seguranca.mg.gov.br</t>
    </r>
  </si>
  <si>
    <t> 10/04/2026
(MAR/26)</t>
  </si>
  <si>
    <t>Id. Eletrônico: 2043074@A</t>
  </si>
  <si>
    <t>https://autoatendimento.contaseconsumo.com.br/v5.1/index.php?id=9F6EQ</t>
  </si>
  <si>
    <r>
      <rPr>
        <b/>
        <i/>
        <sz val="10"/>
        <color rgb="FF000000"/>
        <rFont val="Calibri"/>
      </rPr>
      <t>SAAE ABRE CAMPO</t>
    </r>
    <r>
      <rPr>
        <sz val="10"/>
        <color rgb="FF000000"/>
        <rFont val="Calibri"/>
      </rPr>
      <t xml:space="preserve">  
(31) 3872-1338 | 3872-1527 | 99730-2622
contaseconsumo@outlook.com </t>
    </r>
  </si>
  <si>
    <t>Rua José Barbosa da Silva, 91 - Ferraria - Abre Campo
(31) 3872-1307 | 3872-1104
(31) 99878-4451 | (31) 99203-9883 - Leandro (diretor geral)
(31) 99750-7211 | (31) 98220-8848 - Isabelle (diretora adjunto)
prac@seguranca.mg.gov.br
leandro.freitas.silveira@seguranca.mg.gov.br
isabelle.paula@seguranca.mg.gov.br</t>
  </si>
  <si>
    <r>
      <rPr>
        <b/>
        <i/>
        <sz val="10"/>
        <color rgb="FF000000"/>
        <rFont val="Calibri"/>
      </rPr>
      <t>12ª RISP - REGIONAL:</t>
    </r>
    <r>
      <rPr>
        <sz val="10"/>
        <color rgb="FF000000"/>
        <rFont val="Calibri"/>
      </rPr>
      <t xml:space="preserve"> Marcelo Marshal Junior
(31) 98551-6240
VOIP: 1054
12risp@seguranca.mg.gov.br
marcelo.junior@seguranca.mg.gov.br</t>
    </r>
  </si>
  <si>
    <t>DATA LEITURA: 10</t>
  </si>
  <si>
    <t xml:space="preserve"> IMUNE. NÃO PRECISA COLOCAR OFICIO E MEMORANDO I.R. NO PROCESSO</t>
  </si>
  <si>
    <t xml:space="preserve">Data da leitura: </t>
  </si>
  <si>
    <t>PRESÍDIO DE AIMORÉS
EMPENHO: 14
EMPENHO DE ENCARGO:</t>
  </si>
  <si>
    <t>30/03/2026
(MAR/26)</t>
  </si>
  <si>
    <t>Incrição: 223
Dígito: 8
Chave: #00005417</t>
  </si>
  <si>
    <t>https://aimores.agv.portalcwcsistemas.com.br/</t>
  </si>
  <si>
    <r>
      <rPr>
        <b/>
        <i/>
        <sz val="10"/>
        <color rgb="FF000000"/>
        <rFont val="Calibri"/>
      </rPr>
      <t xml:space="preserve">SAAE AIMORÉS
</t>
    </r>
    <r>
      <rPr>
        <sz val="10"/>
        <color rgb="FF000000"/>
        <rFont val="Calibri"/>
      </rPr>
      <t xml:space="preserve">
(33) 3267-1119
faturamento@saaeaimores.mg.gov.br 
diretoria@saaeaimores.mg.gov.br
</t>
    </r>
  </si>
  <si>
    <t>R. do Camilão, 82 - Centro - Aimorés
(33) 3267-2264 | (33) 3267-2267
(31) 98499-9944 | (33) 99910-5670 - José Carlos (diretor geral)
(27) 99909-1245 - Douglas (diretor adjunto)
praim@seguranca.mg.gov.br
jose.fernandes.oliveira@seguranca.mg.gov.br
sheila.tetzner@seguranca.mg.gov.br</t>
  </si>
  <si>
    <t xml:space="preserve">ATESTE ASSINADO POR: SHEILA/JOSÉ CARLOS (DIRETOR)
* A fatura c/ vencimento em 28/01 foi prorrogada p/ o dia 15/02.  </t>
  </si>
  <si>
    <t>PRESÍDIO DE ARAGUARI (CADEIA PUBLICA ESTADUAL)
EMPENHO: 128
EMPENHO DE ENCARGO:</t>
  </si>
  <si>
    <t>02/03/2026
(JAN/26)</t>
  </si>
  <si>
    <t>Id. Eletrônico: 30543869@230 e 00532499@230</t>
  </si>
  <si>
    <t>https://araguari.contaseconsumo.com.br/</t>
  </si>
  <si>
    <r>
      <rPr>
        <b/>
        <i/>
        <sz val="10"/>
        <color rgb="FF000000"/>
        <rFont val="Calibri"/>
      </rPr>
      <t xml:space="preserve">SAE ARAGUARI
</t>
    </r>
    <r>
      <rPr>
        <sz val="10"/>
        <color rgb="FF000000"/>
        <rFont val="Calibri"/>
      </rPr>
      <t xml:space="preserve">
(34) 3242-3579 - Nésio
(34) 3246-7900 (WHATSAPP)
contato@saearaguari.com.br
superintendente@saearaguari.com.br</t>
    </r>
  </si>
  <si>
    <t>Rua João Rodrigues da Cunha, 1 - Parque dos Verdes - Araguari
(31) 2129-9440 | (34) 3242-8615 | 8566 | 99186-5253 | VOIP: 7300
(31) 99791-8522 | (34) 98877-5780 | VOIP: 7301 - Aleksandro (diretor geral)
(34) 98855-5372 | VOIP: 7303 - Ilda (diretora administrativa)
(34) 99129-6263 | VOIP: 7314 - Dênia (diretora de atendimento)
pra@seguranca.mg.gov.br
aleksandro.monteiro.souza@seguranca.mg.gov.br
ilda.pereira@seguranca.mg.gov.br
denia.borges@seguranca.mg.gov.br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</si>
  <si>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>Marcus Vinicius de Oliveira Silva
(31) 99791-9622 (34) 99241-7910
VOIP:
9risp@seguranca.mg.gov.br
assessoria.nonarisp@gmail.com marcus.vinicius@seguranca.mg.gov.br</t>
    </r>
  </si>
  <si>
    <t xml:space="preserve">
ATESTE ASSINADO POR: ALEKSANDRO (DIRETOR)/ ILDA</t>
  </si>
  <si>
    <t>Data da leitura: 07</t>
  </si>
  <si>
    <t> 23/04/2026
(MAR/26)</t>
  </si>
  <si>
    <r>
      <rPr>
        <b/>
        <i/>
        <sz val="10"/>
        <color rgb="FF000000"/>
        <rFont val="Calibri"/>
      </rPr>
      <t xml:space="preserve">SAS BARBACENA
</t>
    </r>
    <r>
      <rPr>
        <sz val="10"/>
        <color rgb="FF000000"/>
        <rFont val="Calibri"/>
      </rPr>
      <t xml:space="preserve">
(32) 3339-6800 | 6831 | (32) 99954-5020 - Paula Cimino (chefe de divisão de faturamento)
faturamento.sas@gmail.com</t>
    </r>
  </si>
  <si>
    <t>Rua General Câmara, 20 - Centro - Barbacena
(32) 3333-0371
(32) 99993-9850 | VOIP: 5233 - Geovane (diretor geral)
(32) 98818-8371 - Leonardo (diretor adjunto)
prbar@seguranca.mg.gov.br
prbassin@seguranca.mg.gov.br
geovane.silva@seguranca.mg.gov.br</t>
  </si>
  <si>
    <t>ATESTE ASSINADO POR: GEOVANE (DIRETOR)/ LEANDRO</t>
  </si>
  <si>
    <t xml:space="preserve">IMUNE. NÃO PRECISA COLOCAR OFICIO E MEMORANDO I.R. NO PROCESSO </t>
  </si>
  <si>
    <t>Data da leitura: 16</t>
  </si>
  <si>
    <r>
      <rPr>
        <sz val="10"/>
        <color rgb="FF000000"/>
        <rFont val="Calibri"/>
      </rPr>
      <t xml:space="preserve">E-mail:
Senha: 
</t>
    </r>
    <r>
      <rPr>
        <i/>
        <sz val="10"/>
        <color rgb="FF00B0F0"/>
        <rFont val="Calibri"/>
      </rPr>
      <t>Solicitar 2ª via da fatura no whatsapp (35) 9225-0081 ou enviar e-mail para contaseconsumo@saae.boaesperanca.mg.gov.br</t>
    </r>
  </si>
  <si>
    <t>https://autoatendimento.contaseconsumo.com.br/login/index.php?id=AQAFUF</t>
  </si>
  <si>
    <r>
      <rPr>
        <b/>
        <i/>
        <sz val="10"/>
        <color rgb="FF000000"/>
        <rFont val="Calibri"/>
      </rPr>
      <t xml:space="preserve">SAAE BOA ESPERANÇA
</t>
    </r>
    <r>
      <rPr>
        <sz val="10"/>
        <color rgb="FF000000"/>
        <rFont val="Calibri"/>
      </rPr>
      <t xml:space="preserve">
0800 001 0550 
(35) 3851-0550 | (35) 99225-0081 - Christian (Whatsapp) </t>
    </r>
  </si>
  <si>
    <t>Rua Marquinha Gomes, 215 - Nova Era - Boa Esperança
(35) 3851-2230 | 1877 | 1795
(35) 98867-3587 - Sandra (diretora geral)
(35) 98836-2515 - Rafael (diretor adjunto)
prbe@seguranca.mg.gov.br
ribeiro.rafael@seguranca.mg.gov.br</t>
  </si>
  <si>
    <r>
      <rPr>
        <b/>
        <i/>
        <sz val="10"/>
        <color rgb="FF000000"/>
        <rFont val="Calibri"/>
      </rPr>
      <t xml:space="preserve">6ª RISP - REGIONAL: </t>
    </r>
    <r>
      <rPr>
        <sz val="10"/>
        <color rgb="FF000000"/>
        <rFont val="Calibri"/>
      </rPr>
      <t>Anamaria Borges Pereira
(35) 9249-5356
VOIP:
6regionalpoliciapenal@gmail.com
anamaria.pereira@seguranca.mg.gov.br</t>
    </r>
  </si>
  <si>
    <t xml:space="preserve">Necessita de e-mail e senha p/ retirar 2ª via (COD. LIGAÇÃO: 2104771@D). Chega por e-mail. Caso não chegue até o final do mês, enviar e-mail solicitando: contaseconsumo@saae.boaesperanca.mg.gov.br
</t>
  </si>
  <si>
    <t>Data da leitura: 11</t>
  </si>
  <si>
    <t>31/03/2026
(FEV/26)</t>
  </si>
  <si>
    <t>Id. Eletrônico: 10115685@L e 9014348@L</t>
  </si>
  <si>
    <t>https://autoatendimento.contaseconsumo.com.br/v5.1/index.php?id=AUAAAQ</t>
  </si>
  <si>
    <r>
      <rPr>
        <b/>
        <i/>
        <sz val="10"/>
        <color rgb="FF000000"/>
        <rFont val="Calibri"/>
      </rPr>
      <t xml:space="preserve">SAAE BOCAIÚVA
</t>
    </r>
    <r>
      <rPr>
        <sz val="10"/>
        <color rgb="FF000000"/>
        <rFont val="Calibri"/>
      </rPr>
      <t xml:space="preserve">
(38) 3251-1581 
0800 033 1201 
contaseconsumoboc@hotmail.com
saaebocaiuva@hotmail.com</t>
    </r>
  </si>
  <si>
    <t>Av. Luis Antônio Monteiro, 1378 - Esplanada - Bocaiúva
(38) 3251-3879 - Livia
(38) 99212-4543 - Flaubert (diretor)
(38) 99976-9294 - José Edmilson
bocaiuva@seguranca.mg.gov.br
flaubert.souza@seguranca.mg.gov.br</t>
  </si>
  <si>
    <r>
      <rPr>
        <b/>
        <i/>
        <sz val="10"/>
        <color rgb="FF000000"/>
        <rFont val="Calibri"/>
      </rPr>
      <t xml:space="preserve">11ª RISP - REGIONAL: </t>
    </r>
    <r>
      <rPr>
        <sz val="10"/>
        <color rgb="FF000000"/>
        <rFont val="Calibri"/>
      </rPr>
      <t xml:space="preserve">Antônio José Costa Neto
(31) 99803-5335 | (38) 99864-9759 | (38) 3212-1330
VOIP:
drap11moc@gmail.com 
antonio.costa@seguranca.mg.gov.br
</t>
    </r>
  </si>
  <si>
    <t>ATESTE ASSINADO POR: JANAINA</t>
  </si>
  <si>
    <t>Data da leitura: 21</t>
  </si>
  <si>
    <t xml:space="preserve">PRESÍDIO DE CAETÉ
EMPENHO: 22
EMPENHO DE ENCARGO: </t>
  </si>
  <si>
    <t>Id. Eletrônico: 70414490@J</t>
  </si>
  <si>
    <t>https://autoatendimento.contaseconsumo.com.br/v5.1/index.php?id=AUA6L6</t>
  </si>
  <si>
    <r>
      <rPr>
        <b/>
        <i/>
        <sz val="10"/>
        <color rgb="FF000000"/>
        <rFont val="Calibri"/>
      </rPr>
      <t xml:space="preserve">SAAE CAETÉ
</t>
    </r>
    <r>
      <rPr>
        <sz val="10"/>
        <color rgb="FF000000"/>
        <rFont val="Calibri"/>
      </rPr>
      <t xml:space="preserve">
(31) 3651-5100 (WHATSAPP) | 3651-3611 | 3651-4800 </t>
    </r>
  </si>
  <si>
    <t>Rua Barão do Rio Branco, 668 - Centro - Caeté
(31) 3651-3398 | 3651-4735 | VOIP: 7191 - Nilson
(33) 98407-8899 | VOIP: 7191 - Celso (diretor)
(31) 98931-7718 | VOIP: 7192 - Ederson (diretor adjunto)
prcae@seguranca.mg.gov.br
edersonandrefs@hotmail.com</t>
  </si>
  <si>
    <r>
      <rPr>
        <b/>
        <i/>
        <sz val="10"/>
        <color rgb="FF000000"/>
        <rFont val="Calibri"/>
      </rPr>
      <t>3ª RISP - REGIONAL:</t>
    </r>
    <r>
      <rPr>
        <sz val="10"/>
        <color rgb="FF000000"/>
        <rFont val="Calibri"/>
      </rPr>
      <t xml:space="preserve"> Paulo Alexandre Duarte
(31) 3621-1639 | (31) 99202-3450 | (31) 99202-3450
VOIP:
3risp@seguranca.mg.gov.br
3rispmg@gmail.com
paulo.duarte@seguranca.mg.gov.br</t>
    </r>
  </si>
  <si>
    <t>Setor de contas: Ingrid  (disse em 28/01 que se gerar multa ou encargo, podemos solicitar pelo whatsapp p/ que ela retire os encargos)
ATESTE ASSINADO POR: FABIANA/DIEGO/EDERSON</t>
  </si>
  <si>
    <t xml:space="preserve">PRESÍDIO DE CAMPO BELO
EMPENHO: 110
EMPENHO DE ENCARGO: </t>
  </si>
  <si>
    <t>Ligação: 50800037</t>
  </si>
  <si>
    <t>https://campobelo.atende.net/autoatendimento/servicos/emissao-de-guias-tarifa-de-agua/detalhar/1</t>
  </si>
  <si>
    <r>
      <rPr>
        <b/>
        <i/>
        <sz val="10"/>
        <color rgb="FF000000"/>
        <rFont val="Calibri"/>
      </rPr>
      <t xml:space="preserve">DEMAE CAMPO BELO
</t>
    </r>
    <r>
      <rPr>
        <sz val="10"/>
        <color rgb="FF000000"/>
        <rFont val="Calibri"/>
      </rPr>
      <t xml:space="preserve">
0800 030 0073 
(35) 99716-8898 (WHATSAPP)
demae@demaecb.com.br</t>
    </r>
  </si>
  <si>
    <t>Rua Aeroporto, 405 - Passatempo - Campo Belo
(35) 3832-4363 | 3831-6300 | (31) 2129-9331 | (35) 99181-9203 | (35) 98464-8570 | VOIP: 2634 - Eliane
(31) 98208-4215 | (35) 99168-1859 - Valceque (diretor geral interino)
valceque.reis@seguranca.mg.gov.br
danielle.cristino@seguranca.mg.gov.br
eliane.pimenta@seguranca.mg.gov.br</t>
  </si>
  <si>
    <r>
      <rPr>
        <b/>
        <i/>
        <sz val="10"/>
        <color rgb="FF000000"/>
        <rFont val="Calibri"/>
      </rPr>
      <t>6ª RISP - REGIONAL:</t>
    </r>
    <r>
      <rPr>
        <sz val="10"/>
        <color rgb="FF000000"/>
        <rFont val="Calibri"/>
      </rPr>
      <t xml:space="preserve"> Anamaria Borges Pereira
(35) 9249-5356
VOIP:
6regionalpoliciapenal@gmail.com
anamaria.pereira@seguranca.mg.gov.br</t>
    </r>
  </si>
  <si>
    <t>ATESTE ASSINADO POR: ELIANE / DANIELLE / BRUNO</t>
  </si>
  <si>
    <t xml:space="preserve">PRESÍDIO DE CARANGOLA
EMPENHO: 24
EMPENHO DE ENCARGO: </t>
  </si>
  <si>
    <t>Cod. Ligação: 02106-3</t>
  </si>
  <si>
    <t>https://autoatendimento.contaseconsumo.com.br/v5.1/index.php?id=AXA3UL</t>
  </si>
  <si>
    <r>
      <rPr>
        <b/>
        <i/>
        <sz val="10"/>
        <color rgb="FF000000"/>
        <rFont val="Calibri"/>
      </rPr>
      <t xml:space="preserve">SEMASA CARANGOLA
</t>
    </r>
    <r>
      <rPr>
        <sz val="10"/>
        <color rgb="FF000000"/>
        <rFont val="Calibri"/>
      </rPr>
      <t xml:space="preserve">
(32) 3741-5609
contaseconsumo@semasacarangola.com.br </t>
    </r>
  </si>
  <si>
    <t>Rua Archimedes Menicucci, 30 - Caixa D'água - Carangola/MG
(32) 3741-6505 | 2874 | 3549 | (32) 8474-4880 - Maraísa (diretora administrativa)
(32) 99919-9915 - Fernando (diretor geral)
prcara@seguranca.mg.gov.br
fernando.franco@seguranca.mg.gov.br</t>
  </si>
  <si>
    <r>
      <rPr>
        <b/>
        <i/>
        <sz val="10"/>
        <color rgb="FF000000"/>
        <rFont val="Calibri"/>
      </rPr>
      <t xml:space="preserve">4ª RISP - REGIONAL: </t>
    </r>
    <r>
      <rPr>
        <sz val="10"/>
        <color rgb="FF000000"/>
        <rFont val="Calibri"/>
      </rPr>
      <t>Alexandre da Cunha Silva
(32) 99175-7976 | (34) 3851-0202 | (31) 98105-9491
VOIP: (32) 3223-1690
4risp@seguranca.mg.gov.br
4risp.seap@gmail.com
alexandre.cunha@seguranca.mg.gov.br</t>
    </r>
  </si>
  <si>
    <r>
      <rPr>
        <sz val="10"/>
        <color rgb="FF000000"/>
        <rFont val="Calibri"/>
      </rPr>
      <t xml:space="preserve">ATESTE ASSINADO POR: MARAIZA / FERNANDO (DIRETOR)
</t>
    </r>
    <r>
      <rPr>
        <b/>
        <sz val="10"/>
        <color rgb="FF0070C0"/>
        <rFont val="Calibri"/>
      </rPr>
      <t xml:space="preserve">
</t>
    </r>
    <r>
      <rPr>
        <sz val="10"/>
        <color rgb="FF000000"/>
        <rFont val="Calibri"/>
      </rPr>
      <t>* A UNIDADE INFORMOU ATRAVÉS DO PROCESSO 1450.01.0139101/2024-72 QUE A PARTIR DO MÊS DE AGOSTO/24 PODE HAVER AUMENTO NAS FATURAS DE AGUA DEVIDO À OBRAS NA CAIXA D'ÁGUA</t>
    </r>
  </si>
  <si>
    <t xml:space="preserve">PRESÍDIO DE CONSELHEIRO PENA
EMPENHO: 23
EMPENHO DE ENCARGO: </t>
  </si>
  <si>
    <t>Id. Eletrônico: 5072233@D</t>
  </si>
  <si>
    <t>https://autoatendimento.contaseconsumo.com.br/v5.1/index.php?id=AU9EQX</t>
  </si>
  <si>
    <r>
      <rPr>
        <b/>
        <i/>
        <sz val="10"/>
        <color rgb="FF000000"/>
        <rFont val="Calibri"/>
      </rPr>
      <t xml:space="preserve">SAAE CONSELHEIRO PENA 
</t>
    </r>
    <r>
      <rPr>
        <sz val="10"/>
        <color rgb="FF000000"/>
        <rFont val="Calibri"/>
      </rPr>
      <t xml:space="preserve">
(33) 3261-2481 | 3261-4789 | 99111-8555 - Sr. Alcenir Germano (diretor)
diretoria@saaeconselheiropena.com.br 
</t>
    </r>
  </si>
  <si>
    <t>Rua Antônio Aprigio, 0 - Centro - Conselheiro Pena/MG
(33) 3261-1511 | (33) 98454-2099
(33) 99129-1932 - Gilson (diretor geral)
(33) 98841-3292 - Igor (diretor adjunto)
prcsp@seguranca.mg.gov.br
presidioconselheiropena@gmail.com
gilsonagapito2012@gmail.com
aspigorsilva@gmail.com</t>
  </si>
  <si>
    <r>
      <rPr>
        <b/>
        <i/>
        <sz val="10"/>
        <color rgb="FF000000"/>
        <rFont val="Calibri"/>
      </rPr>
      <t>8ª RISP - REGIONAL:</t>
    </r>
    <r>
      <rPr>
        <i/>
        <sz val="10"/>
        <color rgb="FF000000"/>
        <rFont val="Calibri"/>
      </rPr>
      <t xml:space="preserve"> </t>
    </r>
    <r>
      <rPr>
        <sz val="10"/>
        <color rgb="FF000000"/>
        <rFont val="Calibri"/>
      </rPr>
      <t>Danilo Marcos Almeida Silva Gomes
(33) 3225-1908 | (33) 99827-7354
VOIP: 1853
8risp@seguranca.mg.gov.br 
8rispgv@gmail.com
danilo.gomes@seguranca.mg.gov.br</t>
    </r>
  </si>
  <si>
    <t>ATESTE ASSINADO POR: ALEXANDER / GILSON (DIRETOR) / DYENE / HUGO</t>
  </si>
  <si>
    <t xml:space="preserve">PRESÍDIO DE GOVERNADOR VALADARES
EMPENHO: 36
EMPENHO DE ENCARGO:  </t>
  </si>
  <si>
    <t> 17/03/2026
(MAR/25)</t>
  </si>
  <si>
    <r>
      <rPr>
        <i/>
        <sz val="10"/>
        <color rgb="FF000000"/>
        <rFont val="Calibri"/>
      </rPr>
      <t xml:space="preserve">2ª via rápida de fatura 
</t>
    </r>
    <r>
      <rPr>
        <sz val="10"/>
        <color rgb="FF000000"/>
        <rFont val="Calibri"/>
      </rPr>
      <t xml:space="preserve">
CPF/CNPJ: 05487631000109
Matrícula: 664103 e 663999
</t>
    </r>
  </si>
  <si>
    <r>
      <rPr>
        <b/>
        <i/>
        <sz val="10"/>
        <color rgb="FF000000"/>
        <rFont val="Calibri"/>
      </rPr>
      <t xml:space="preserve">ÁGUAS DE VALADARES
</t>
    </r>
    <r>
      <rPr>
        <sz val="10"/>
        <color rgb="FF000000"/>
        <rFont val="Calibri"/>
      </rPr>
      <t>(33) 99864-1625 - Juliane
(33) 99732-7279 - Thaissa, faturamento
(66) 99942-0791 - Marcelo Rêgo, coordenador
juliane.ferraz@aegea.com.br
thaissa.almeida@aguasdevaladares.com.br
marcelo.roliveira@aegea.com.br</t>
    </r>
  </si>
  <si>
    <t>(33) 3275-0649 | 0874
(33) 3261-1511 | (33) 98454-2099
(33) 99852-9588 | VOIP: 2751 - Gleidson (diretor geral)
(33) 99956-6783 | VOIP: 2763 - Ramon (diretor administrativo)
(33)99918-1500 | VOIP: 2756 - Bruna (diretora de atendimento)
pgvdirecao@seguranca.mg.gov.br
pgvpessoal@seguranca.mg.gov.br
bruna.juridico@live.com</t>
  </si>
  <si>
    <t>ATESTE ASSINADO POR: GLEIDSON (DIRETOR)/ WILLIAN</t>
  </si>
  <si>
    <t xml:space="preserve">PRESÍDIO DE GUANHÃES
EMPENHO: 8
EMPENHO DE ENCARGO: </t>
  </si>
  <si>
    <t>16/04/2026
(ABR/26)</t>
  </si>
  <si>
    <t>Id. Eletrônico: 4031026@B</t>
  </si>
  <si>
    <t>https://autoatendimento.contaseconsumo.com.br/v5.1/index.php?id=9AEE9Q</t>
  </si>
  <si>
    <r>
      <rPr>
        <b/>
        <i/>
        <sz val="10"/>
        <color rgb="FF000000"/>
        <rFont val="Calibri"/>
      </rPr>
      <t xml:space="preserve">SAAE GUANHÃES
</t>
    </r>
    <r>
      <rPr>
        <sz val="10"/>
        <color rgb="FF000000"/>
        <rFont val="Calibri"/>
      </rPr>
      <t xml:space="preserve">
(33) 3421-1531 
contas@saaeguanhaes.com.br </t>
    </r>
  </si>
  <si>
    <t>R. Belo Horizonte, 10 - Novo Cruzeiro - Guanhães 
(33) 3421-5935 | 5594 - Julio Cesar e Valéria
(31) 98475-1540 | (33) 98722-4666 - Daniel (diretor geral)
(33) 98848-7481 | (33) 99905-0995 - Flavio (diretor adjunto)
prgnh@seguranca.mg.gov.br
prguanhaes@gmail.com
daniel.camargos@seguranca.mg.gov.br
flavio.leal@seguranca.mg.gov.br</t>
  </si>
  <si>
    <t>ATESTE ASSINADO POR: VALÉRIA / FLAVIO
*OBS: A FATURA DE JAN/25 FOI PRORROGADA P/ 30/01
SOLICITAMOS EM 20/01 NOVA PRORROGAÇÃO P/ 15/02
COMO NÃO TIVERMOS RETORNO DA CONCESSIONÁRIA, LIGUEI EM 30/01 E FALEI C/ GLEIDSON. ENVIARAM UM OFICIO INDEFERINDO O PEDIDO. COLOQUEI NO PROCESSO JUNTAMENTE C/ A JUSTIFICATIVA PQ PROVAVELMENTE HAVERÁ ENCARGOS.  OBS: ASSIM QUE A FATURA FOR PAGA, ENVIAR A OP P/ A CONCESSIONÁRIA RESPONDENDO ESTE E-MAIL DO INDEFERIMENTO, SOLICITANDO A RETIRADA DOS ENCARGOS NA PROXIMA FATURA</t>
  </si>
  <si>
    <t xml:space="preserve">PRESÍDIO DE ITAMBACURI
EMPENHO: 38
EMPENHO DE ENCARGOS: </t>
  </si>
  <si>
    <t> 20/04/2026
(MAR/26)</t>
  </si>
  <si>
    <t>Id. Eletrônico: 305254@A</t>
  </si>
  <si>
    <t>https://autoatendimento.contaseconsumo.com.br/v5.1/index.php?id=9A6AE3</t>
  </si>
  <si>
    <r>
      <rPr>
        <b/>
        <i/>
        <sz val="10"/>
        <color rgb="FF000000"/>
        <rFont val="Calibri"/>
      </rPr>
      <t xml:space="preserve">SAAE ITAMBACURI
</t>
    </r>
    <r>
      <rPr>
        <sz val="10"/>
        <color rgb="FF000000"/>
        <rFont val="Calibri"/>
      </rPr>
      <t xml:space="preserve">
(33) 3511-1405 | 98449-1611 | 98449-1788 | 
98452-8087 - Maria e Elisangela (WhatsApp financeiro)
saae.contaseconsumo@gmail.com</t>
    </r>
  </si>
  <si>
    <t>Rua São José, 1719 - Centro - Itambacuri
(33) 3511-1848 | 3511-1893 | 9109-5480
(33) 99837-1881 - Ramon (diretor geral)
pritam@seguranca.mg.gov.br
ramon.souza@seguranca.mg.gov.br</t>
  </si>
  <si>
    <r>
      <rPr>
        <b/>
        <i/>
        <sz val="10"/>
        <color rgb="FF000000"/>
        <rFont val="Calibri"/>
      </rPr>
      <t>15ª RISP - REGIONAL:</t>
    </r>
    <r>
      <rPr>
        <sz val="10"/>
        <color rgb="FF000000"/>
        <rFont val="Calibri"/>
      </rPr>
      <t xml:space="preserve">  Bruno Santos
(31) 98476-2839 | (33) 3523-6379 | (33) 99138-7253
VOIP:
15drap.risp@gmail.com
bruno.santos@seguranca.mg.gov.br</t>
    </r>
  </si>
  <si>
    <t xml:space="preserve">PRESÍDIO DE ITAÚNA
EMPENHO: 20
EMPENHO DE ENCARGO: </t>
  </si>
  <si>
    <t>Id. Eletrônico: 80227128@7 e 00227580@7</t>
  </si>
  <si>
    <t>https://autoatendimento.contaseconsumo.com.br/v5.1/index.php?id=9AAXUUA</t>
  </si>
  <si>
    <r>
      <rPr>
        <b/>
        <i/>
        <sz val="10"/>
        <color rgb="FF000000"/>
        <rFont val="Calibri"/>
      </rPr>
      <t xml:space="preserve">SAAE ITAÚNA
</t>
    </r>
    <r>
      <rPr>
        <sz val="10"/>
        <color rgb="FF000000"/>
        <rFont val="Calibri"/>
      </rPr>
      <t xml:space="preserve">
(37) 3249-5800 | 3249-5822 | 5852 - Luiz e Ana Luisa (financeiro)
3249-5868 - Denise (gerente)
(37) 98410-0491 (WhatsApp)
faturamento@saaeitauna.com.br
contabil@saaeitauna.com.br</t>
    </r>
  </si>
  <si>
    <t>Rua Santana, 0 - Graças - Itaúna/MG
(37) 3242-1352 | 2129-9357
(37) 98835-4607 | VOIP: 9135 - André (diretor geral)
pritau@seguranca.mg.gov.br
andre.luiz.felix@seguranca.mg.gov.br
tania.silva@seguranca.mg.gov.br</t>
  </si>
  <si>
    <r>
      <rPr>
        <b/>
        <i/>
        <sz val="10"/>
        <color rgb="FF000000"/>
        <rFont val="Calibri"/>
      </rPr>
      <t>7ª RISP - REGIONAL:</t>
    </r>
    <r>
      <rPr>
        <sz val="10"/>
        <color rgb="FF000000"/>
        <rFont val="Calibri"/>
      </rPr>
      <t xml:space="preserve"> Sergio Evaristo de Souza
(31) 99654-7783 | (37) 99860-2104
VOIP: (37) 3214-1213
7risp@seguranca.mg.gov.br
7rispdepen@gmail.com
sergio.souza@seguranca.mg.gov.br</t>
    </r>
  </si>
  <si>
    <t xml:space="preserve">
* A fatura é gerada após o dia 20
ATESTE ASSINADO POR: ANDRE LUIZ / TÂNIA</t>
  </si>
  <si>
    <t>Dia da leitura: 14</t>
  </si>
  <si>
    <t>PRESÍDIO DE ITUIUTABA
EMPENHO: 46
EMPENHO DE ENCARGO:</t>
  </si>
  <si>
    <t>28/04/2026
(MAR/26)</t>
  </si>
  <si>
    <t>CNPJ:
Senha:</t>
  </si>
  <si>
    <t>https://saeituiutaba.hydrus.pro/inicio?callbackUrl=https%3A%2F%2Fsaeituiutaba.hydrus.pro%2F</t>
  </si>
  <si>
    <r>
      <rPr>
        <b/>
        <i/>
        <sz val="10"/>
        <color rgb="FF000000"/>
        <rFont val="Calibri"/>
      </rPr>
      <t xml:space="preserve">SAE ITUIUTABA
</t>
    </r>
    <r>
      <rPr>
        <sz val="10"/>
        <color rgb="FF000000"/>
        <rFont val="Calibri"/>
      </rPr>
      <t xml:space="preserve">
(34) 3268-0400 | 0448 
0800348195   
contato@sae.com.br</t>
    </r>
  </si>
  <si>
    <t>Av Prof. José V. Mendonça, 650 - Setor Norte - Ituiutaba
(34) 3268-7083 | (31) 2129-9390
(31) 99254-2779 | (34) 99965-9662 | VOIP: 3540 - Abilio (diretor geral)
(34) 99832-6171 | VOIP: 3532 - Thiago (diretor administrativo)
(34) 99838-4539 | VOIP: 3535 - Daniel (diretor de atendimento)
pritu@seguranca.mg.gov.br
abilio.neto@seguranca.mg.gov.br
abilio1231@gmail.com
thiago.magalhaes@seguranca.mg.gov.br
daniel.plazzi@seguranca.mg.gov.br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</si>
  <si>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Marcus Vinicius de Oliveira Silva
(31) 99791-9622 | (34) 99241-7910
VOIP:
9risp@seguranca.mg.gov.br
assessoria.nonarisp@gmail.com
marcus.vinicius@seguranca.mg.gov.br</t>
    </r>
  </si>
  <si>
    <t>ATESTE ASSINADO POR: THIAGO / DAMIÃO / ABÍLIO</t>
  </si>
  <si>
    <t xml:space="preserve">PRESÍDIO DE JOÃO MONLEVADE
EMPENHO: 129
EMPENHO DE ENCARGOS: </t>
  </si>
  <si>
    <t>Id. Eletrônico: 70135082@20</t>
  </si>
  <si>
    <t>https://autoatendimento.contaseconsumo.com.br/v5.1/index.php?id=AX9ALEQ</t>
  </si>
  <si>
    <r>
      <rPr>
        <b/>
        <i/>
        <sz val="10"/>
        <color rgb="FF000000"/>
        <rFont val="Calibri"/>
      </rPr>
      <t xml:space="preserve">DAE JOÃO MONLEVADE
</t>
    </r>
    <r>
      <rPr>
        <sz val="10"/>
        <color rgb="FF000000"/>
        <rFont val="Calibri"/>
      </rPr>
      <t xml:space="preserve">
(31) 3851-6288 - Flávia Karine da Silva (setor de contas e cadastros) 
0800 0260115 - Luiza (Financeiro) 
cadastros@daejoaomonlevade.com.br</t>
    </r>
  </si>
  <si>
    <t>Rua Laranjeiras, 17 - Metalurgico - João Monlevade/MG
(31) 3851-0631 | VOIP: 1470
(31) 98475-5231 | (31) 98600-1056 | VOIP: 1475 - Melquides (diretor geral)
(31) 97148-2008 | VOIP: 1474 - Giordane (diretor adjunto)
prjm@seguranca.mg.gov.br
melquiades.junior@seguranca.mg.gov.br
giordanesilva@gmail.com</t>
  </si>
  <si>
    <t>Data da leitura: 15</t>
  </si>
  <si>
    <t>Id. Eletrônico: 00113724@L, 5018145@L e 00121917@L</t>
  </si>
  <si>
    <t>https://autoatendimento.contaseconsumo.com.br/v5.1/index.php?id=AQ63Q6</t>
  </si>
  <si>
    <r>
      <rPr>
        <b/>
        <i/>
        <sz val="10"/>
        <color rgb="FF000000"/>
        <rFont val="Calibri"/>
      </rPr>
      <t xml:space="preserve">SAAE LAGOA DA PRATA
</t>
    </r>
    <r>
      <rPr>
        <sz val="10"/>
        <color rgb="FF000000"/>
        <rFont val="Calibri"/>
      </rPr>
      <t xml:space="preserve">
(37) 3261-3400 - Sandra (WhatsApp)    
contas@saaelp.mg.gov.br   
</t>
    </r>
  </si>
  <si>
    <t>R. Joaquim Gomes Pereira, 222 - Americo Silva - Lagoa da Prata
(37) 3261-2210 | 3231 - Alison 
(37) 99191-0540 | 6912 - Wellington
(37) 99125-3803 | VOIP: 9726 - Pedro (diretor geral)
prlp@seguranca.mg.gov.br</t>
  </si>
  <si>
    <t>ATESTE ASSINADO POR: NATHAN / ALISON / PEDRO HENRIQUE</t>
  </si>
  <si>
    <t>Data da leitura: 01</t>
  </si>
  <si>
    <t xml:space="preserve">PRESÍDIO DE LUZ
EMPENHO: 109
EMPENHO DE ENCARGO: </t>
  </si>
  <si>
    <t>Id. Eletrônico: 7125546@01</t>
  </si>
  <si>
    <t>https://autoatendimento.contaseconsumo.com.br/v5.1/index.php?id=A9UAF9</t>
  </si>
  <si>
    <r>
      <rPr>
        <b/>
        <i/>
        <sz val="10"/>
        <color rgb="FF000000"/>
        <rFont val="Calibri"/>
      </rPr>
      <t xml:space="preserve">SAAE LUZ
</t>
    </r>
    <r>
      <rPr>
        <sz val="10"/>
        <color rgb="FF000000"/>
        <rFont val="Calibri"/>
      </rPr>
      <t xml:space="preserve">
(37) 3421-2019
(37) 99977-5562 - Paula Mara (WhatsApp)
contasconsumosaae01@gmail.com</t>
    </r>
  </si>
  <si>
    <t>Rua Vigario Parreiras, 1007 - Centro - Luz
(37) 3421-3235 | 9229 | 9361
(31) 98480-1794 | (37) 99816-5501 - Marcio (diretor geral)
(37) 98816-1107 - Luiz Henrique (diretor adjunto)
presidiodeluz@gmail.com
marcio.oliveira.pereira@seguranca.mg.gov.br
luiz.hermones@seguranca.mg.gov.br</t>
  </si>
  <si>
    <t xml:space="preserve">
OBS: Fatura ref. aos serviços de esgoto. A fatura ref. ao consumo de água está na globalizada da COPASA.
O diretor informou que o SAAE envia a fatura no e-mail da unidade mensalmente. 
ATESTE ASSINADO POR: MARCIO (DIRETOR GERAL)/ LUIZ HENRIQUE</t>
  </si>
  <si>
    <t xml:space="preserve">PRESÍDIO DE MANHUAÇU
EMPENHO: 42
EMPENHO DE ENCARGOS: </t>
  </si>
  <si>
    <t>Id. Eletrônico: 8464810@F e 4466316@F</t>
  </si>
  <si>
    <t>https://autoatendimento.contaseconsumo.com.br/v5.1/index.php?id=99L6EQ</t>
  </si>
  <si>
    <r>
      <rPr>
        <b/>
        <i/>
        <sz val="10"/>
        <color rgb="FF000000"/>
        <rFont val="Calibri"/>
      </rPr>
      <t xml:space="preserve">SAAE MANHUAÇU
</t>
    </r>
    <r>
      <rPr>
        <sz val="10"/>
        <color rgb="FF000000"/>
        <rFont val="Calibri"/>
      </rPr>
      <t xml:space="preserve">
(33) 3339-3651 | 3650 | 3666  
administrativo@saaemanhuacu.mg.gov.br</t>
    </r>
  </si>
  <si>
    <t>Rua Melo Viana, 222 - Bom Pastor - Manhuaçu
(33) 3332-1986 | 3331-7754 | 3332-4404
(33) 98443-4318 - Carlos (diretor geral)
(33) 98424-4272 - Joseph (diretor adjunto)
prm@seguranca.mg.gov.br
carlos.paula@seguranca.mg.gov.br
joseph.ferreira@seguranca.mg.gov.br</t>
  </si>
  <si>
    <t>Data da leitura: 17</t>
  </si>
  <si>
    <t xml:space="preserve">PRESÍDIO DE MANHUMIRIM
EMPENHO: 134
EMPENHO DE ENCARGO: </t>
  </si>
  <si>
    <t>Id. Eletrônico: 3103342@01</t>
  </si>
  <si>
    <t>https://autoatendimento.contaseconsumo.com.br/v5.1/index.php?id=AAQQLU</t>
  </si>
  <si>
    <r>
      <rPr>
        <b/>
        <i/>
        <sz val="10"/>
        <color rgb="FF000000"/>
        <rFont val="Calibri"/>
      </rPr>
      <t xml:space="preserve">SAAE MANHUMIRIM
</t>
    </r>
    <r>
      <rPr>
        <sz val="10"/>
        <color rgb="FF000000"/>
        <rFont val="Calibri"/>
      </rPr>
      <t xml:space="preserve">
(33) 3341-1545   
atendimentosaaemanhumirim@gmail.com   </t>
    </r>
  </si>
  <si>
    <t>Av Teofilo Tostes, 143 - Centro - Manhumirim
(33) 3341-2982 | 3235 
(35) 3264-1379 
(31) 98272-6679 
(31) 98269-8135 - Casate ou Ane
(31) 98238-6871 | (33) 98421-1047 - Fabrício (diretor geral)
(33) 98441-2629 - Elaine (diretora adjunto)
prmirim@seguranca.mg.gov.br
fabriciovieirapaulino@gmail.com
elaine.amorim@seguranca.mg.gov.br / elaineamorim61@gmail.com</t>
  </si>
  <si>
    <t>ATESTE ASSINADO POR: FABRICIO (DIRETOR)/ LEONARDO</t>
  </si>
  <si>
    <t xml:space="preserve">PRESÍDIO DE MANTENA
EMPENHO: 145
EMPENHO DE ENCARGO: </t>
  </si>
  <si>
    <t>Id. Eletrônico: 2031782@D</t>
  </si>
  <si>
    <t>https://autoatendimento.contaseconsumo.com.br/v5.1/index.php?id=AQLLXL</t>
  </si>
  <si>
    <r>
      <rPr>
        <b/>
        <i/>
        <sz val="10"/>
        <color rgb="FF000000"/>
        <rFont val="Calibri"/>
      </rPr>
      <t xml:space="preserve">SAAE MANTENA
</t>
    </r>
    <r>
      <rPr>
        <sz val="10"/>
        <color rgb="FF000000"/>
        <rFont val="Calibri"/>
      </rPr>
      <t xml:space="preserve">
(33) 3241-1299</t>
    </r>
  </si>
  <si>
    <t>Rua Roberto Jorio, 249 - Santo Antônio - Mantena
(33) 3241-1741 | 2068 
(33) 98454-2167 | (33) 99159-0016 - Iarla
(33) 99130-9490 - João Henrique (diretor geral)
prmant@seguranca.mg.gov.br</t>
  </si>
  <si>
    <t>ATESTE ASSINADO POR: IARLA/ JOÃO HENRIQUE</t>
  </si>
  <si>
    <t xml:space="preserve">PRESÍDIO DE MARIANA
EMPENHO: 165
EMPENHO DE ENCARGO: </t>
  </si>
  <si>
    <t xml:space="preserve">Id. Eletrônico: </t>
  </si>
  <si>
    <t>https://mariana.contaseconsumo.com.br/</t>
  </si>
  <si>
    <r>
      <rPr>
        <b/>
        <i/>
        <sz val="10"/>
        <color rgb="FF000000"/>
        <rFont val="Calibri"/>
      </rPr>
      <t xml:space="preserve">SAAE MARIANA
</t>
    </r>
    <r>
      <rPr>
        <sz val="10"/>
        <color rgb="FF000000"/>
        <rFont val="Calibri"/>
      </rPr>
      <t xml:space="preserve">
(31) 3557-9300 | 99514-1285 - Leandra (Gerente)
comercial@saaemariana.mg.gov.br
tesouraria@saaemariana.mg.gov.br</t>
    </r>
  </si>
  <si>
    <t>Rua 16 de Julho, 1 - Centro - Mariana
(31) 3557-1603
(31) 97203-4027 - Aline  (diretora geral)
(28) 99956-1437 - Wellington (diretor adjunto)
prmar@seguranca.mg.gov.br 
presidio.mariana@gmail.com
aline.mota@seguranca.mg.gov.br
wellington.junior@seguranca.mg.gov.br</t>
  </si>
  <si>
    <r>
      <rPr>
        <b/>
        <i/>
        <sz val="10"/>
        <color rgb="FF000000"/>
        <rFont val="Calibri"/>
      </rPr>
      <t>3ª RISP - REGIONAL:</t>
    </r>
    <r>
      <rPr>
        <sz val="10"/>
        <color rgb="FF000000"/>
        <rFont val="Calibri"/>
      </rPr>
      <t xml:space="preserve"> Paulo Alexandre Duarte
(31) 3621-1639 | (31) 99202-3450 | (31) 99202-3450
VOIP:
3risp@seguranca.mg.gov.br
3rispmg@gmail.com 
paulo.duarte@seguranca.mg.gov.br</t>
    </r>
  </si>
  <si>
    <t xml:space="preserve">
ATESTE ASSINADO POR: ALINE (DIRETORA)/ ALINA</t>
  </si>
  <si>
    <t xml:space="preserve">PRESÍDIO DE MONTE CARMELO
EMPENHO: 13
EMPENHO DE ENCARGOS: </t>
  </si>
  <si>
    <t>CNPJ: 05487631000109
Cód. Identificação: 19156 e 11168</t>
  </si>
  <si>
    <t>http://45.237.129.60:8822/</t>
  </si>
  <si>
    <r>
      <rPr>
        <b/>
        <i/>
        <sz val="10"/>
        <color rgb="FF000000"/>
        <rFont val="Calibri"/>
      </rPr>
      <t xml:space="preserve">DMAE MONTE CARMELO
</t>
    </r>
    <r>
      <rPr>
        <sz val="10"/>
        <color rgb="FF000000"/>
        <rFont val="Calibri"/>
      </rPr>
      <t xml:space="preserve"> 
(34)  3842-2595 - Junior
(34) 988020212 (WhatsApp)
atendimento@dmae.montecarmelo.mg.gov.br
comercial.dmae@hotmail.com
junior@dmae.montecarmelo.mg.gov.br</t>
    </r>
  </si>
  <si>
    <t>Av da Saudade, 380 - Belo Horizonte - Monte Carmelo
(34) 3842-4048
(34) 98889-1810 - Fernando (diretor geral)
(34) 99187-2506 - Sidney (diretor adjunto)
prmca@seguranca.mg.gov.br
m13870530@seguranca.mg.gov.br
m13442892@seguranca.mg.gov.br</t>
  </si>
  <si>
    <r>
      <rPr>
        <b/>
        <i/>
        <sz val="10"/>
        <color rgb="FF000000"/>
        <rFont val="Calibri"/>
      </rPr>
      <t xml:space="preserve">10ª RISP - REGIONAL: </t>
    </r>
    <r>
      <rPr>
        <sz val="10"/>
        <color rgb="FF000000"/>
        <rFont val="Calibri"/>
      </rPr>
      <t>Marcos Lopes Brandão
(31) 99795-9451 | (34) 99672-5751
VOIP: 3302
decimadrap@gmail.com
marcos.brandao@seguranca.mg.gov.br</t>
    </r>
  </si>
  <si>
    <t>As faturas ficam disponiveis somente a partir do dia 11 (vencimento: dia 28 de cada mês). Solicitação somente via e-mail (comercial.dmae@hotmail.com) ou whatsapp (34) 988020212</t>
  </si>
  <si>
    <t>PRESÍDIO DE MURIAÉ
EMPENHO: 33
EMPENHO DE ENCARGO:</t>
  </si>
  <si>
    <t>16/03/2026
(FEV/26)</t>
  </si>
  <si>
    <t>Id. Eletrônico: 80331385@14</t>
  </si>
  <si>
    <r>
      <rPr>
        <b/>
        <i/>
        <sz val="10"/>
        <color rgb="FF000000"/>
        <rFont val="Calibri"/>
      </rPr>
      <t xml:space="preserve">DEMSUR
</t>
    </r>
    <r>
      <rPr>
        <sz val="10"/>
        <color rgb="FF000000"/>
        <rFont val="Calibri"/>
      </rPr>
      <t>(32) 9888-4731 | 3728-2491 - Henrique La Gatta
(32) 98832-5017 - Mario
(32) 99195-9627 | 3728-2491- Bruno Daier (já trabalhou na Penit. de Muriaé)
(32) 3696-3477 | 3475 - Centro de Processamento 
cpd@demsur.com.br
ouvidoria@demsur.com.br
tesouraria@demsur.com.br
mario@demsur.com.br
gladson.rodrigues@demsur.com.br</t>
    </r>
  </si>
  <si>
    <t>Rua José Freitas Lima, 2 - Safira - Muriaé
(32) 3722-3942 | 3721-7217 | 2129-8107 | VOIP: 5430
(31) 99958-1834 | (32) 99957-6777 | 99827-0761 | VOIP: 5451 - Rafael (diretor geral)
(32) 98803-8691 | VOIP: 5453 - Wilson (diretor adjunto)
prmur@seguranca.mg.gov.br
rafael.braz@seguranca.mg.gov.br</t>
  </si>
  <si>
    <t>ATESTE ASSINADO POR: RAFAEL (DIRETOR)/ WILSON
 Foi solicitado o desmembramento das faturas devido ao fornecimento de caminhão pipa, pois este deverá ser pago via indenização.</t>
  </si>
  <si>
    <t>Data da leitura: 20</t>
  </si>
  <si>
    <t xml:space="preserve">PRESÍDIO DE NANUQUE
EMPENHO: 18
EMPENHO DE ENCARGOS: </t>
  </si>
  <si>
    <t>Código da ligação: 6892
Chave digital: #00167377</t>
  </si>
  <si>
    <t>https://nanuque.sfc.agenciavirtual.cwcsistemas.com.br/login</t>
  </si>
  <si>
    <r>
      <rPr>
        <b/>
        <i/>
        <sz val="10"/>
        <color rgb="FF000000"/>
        <rFont val="Calibri"/>
      </rPr>
      <t xml:space="preserve">ÁGUAS DE NANUQUE
</t>
    </r>
    <r>
      <rPr>
        <sz val="10"/>
        <color rgb="FF000000"/>
        <rFont val="Calibri"/>
      </rPr>
      <t xml:space="preserve">
(33) 99880-3852 | (33) 99856-6439 | (33) 99848-5839 - Henrique  
analista@aguasdenanuque.com.br
gerencial@aguasdenanuque.com.br</t>
    </r>
  </si>
  <si>
    <t>Rua Uberaba, 838 - Centro - Nanuque/MG
(33) 3621-2659 | (33) 3621-1852
(31) 99587-3006 - Aderbal (diretor geral)
(27) 99766-8590 - João (diretor adjunto)
prn@seguranca.mg.gov.br
aderbal.lopes@seguranca.mg.gov.br</t>
  </si>
  <si>
    <r>
      <rPr>
        <b/>
        <i/>
        <sz val="10"/>
        <color rgb="FF000000"/>
        <rFont val="Calibri"/>
      </rPr>
      <t xml:space="preserve">15ª RISP - REGIONAL: </t>
    </r>
    <r>
      <rPr>
        <sz val="10"/>
        <color rgb="FF000000"/>
        <rFont val="Calibri"/>
      </rPr>
      <t>Bruno Santos
(31) 98476-2839 | (33) 3523-6379 | (33) 99138-7253
VOIP:
15drap.risp@gmail.com
bruno.santos@seguranca.mg.gov.br</t>
    </r>
  </si>
  <si>
    <t xml:space="preserve">Colocar cod. ligação sem o dígito verificador: 6892-4 e a chave digital: #00167377
Fatura ref. aos serviços de esgoto. A fatura ref. ao consumo de água está na globalizada da COPASA.
</t>
  </si>
  <si>
    <t>Id. Eletrônico: 3075666@B</t>
  </si>
  <si>
    <t>https://autoatendimento.contaseconsumo.com.br/v5.1/index.php?id=A396L9F</t>
  </si>
  <si>
    <r>
      <rPr>
        <b/>
        <i/>
        <sz val="10"/>
        <color rgb="FF000000"/>
        <rFont val="Calibri"/>
      </rPr>
      <t xml:space="preserve">SEMAE NOVA ERA
</t>
    </r>
    <r>
      <rPr>
        <sz val="10"/>
        <color rgb="FF000000"/>
        <rFont val="Calibri"/>
      </rPr>
      <t xml:space="preserve">
(31) 3861-4213 (SHEILA) / 3861-1661/ 3861-1766
dae@novaera.mg.gov.br</t>
    </r>
  </si>
  <si>
    <t>Rua Gaspar de Morais, S/Nº - Centro - Nova Era
(31) 3861-1653 | 1660 - Nathalia ou Eliciane
(31) 98493-2032 | (31) 98700-4522 - Thiago (diretor geral)
(31) 98632-6840 - Alexandro (diretor adjunto)
prnegeral@seguranca.mg.gov.br
thiago.miranda@seguranca.mg.gov.br</t>
  </si>
  <si>
    <t>Conversei c/ Alessandro em 20/01 e ele disse que a fatura de JAN/2025 veio com consumo 0 e taxa minima porque lá são menos de 20 funcionários e no proximo mês vem um valor maior (cumulativo). Conversei novamente c/ ele em 19/11 devido ao consumo ter vindo apenas 19m³</t>
  </si>
  <si>
    <t xml:space="preserve">PRESÍDIO DE OLIVEIRA (DOUTOR NELSON PIRES)
EMPENHO: 66
EMPENHO DE ENCARGO: </t>
  </si>
  <si>
    <t xml:space="preserve">16/03/2026
(FEV/26)
</t>
  </si>
  <si>
    <t>Id. Eletrônico: 71210840@D</t>
  </si>
  <si>
    <t>https://www.oliveira.contaseconsumo.com.br/</t>
  </si>
  <si>
    <r>
      <rPr>
        <b/>
        <i/>
        <sz val="10"/>
        <color rgb="FF000000"/>
        <rFont val="Calibri"/>
      </rPr>
      <t xml:space="preserve">SAAE OLIVEIRA
</t>
    </r>
    <r>
      <rPr>
        <sz val="10"/>
        <color rgb="FF000000"/>
        <rFont val="Calibri"/>
      </rPr>
      <t xml:space="preserve">
(37) 3331-4333 - Ana Carla  
(37) 99863-0814 - Fabricia (gerente)
(37) 99838-8026 - Lucas (diretor)
atendimento_publico@saaeoliveira.com.br
</t>
    </r>
  </si>
  <si>
    <t>Rodovia BR 369 - KM 1, 4001 - Martins - Oliveira
(37) 99138-3572
(37) 99935-7201 | VOIP: 8630 - Tiago (diretor)
(37) 98842-1927 | VOIP: 8636 - Alexsander (diretor adjunto)
VOIP: 8630 | 8636  | 2129-8125 | 
(37) 99138-3572 - Karina
prdnp@seguranca.mg.gov.br
tiago.souza@seguranca.mg.gov.br</t>
  </si>
  <si>
    <t>ATESTE ASSINADO POR: KARINA / TIAGO (DIRETOR) / ALEXANDER / BRENO
Foi solicitado o desmembramento das faturas devido ao fornecimento de caminhão pipa, pois este deverá ser pago via indenização.</t>
  </si>
  <si>
    <t xml:space="preserve">PRESÍDIO DE OURO PRETO
EMPENHO: 26
EMPENHO DE ENCARGOS: </t>
  </si>
  <si>
    <t>30/04/2026
(MAR/26)</t>
  </si>
  <si>
    <t>CNPJ: 05.487.631/0001-09
Senha: Dsg@2026</t>
  </si>
  <si>
    <t>https://servicosonline-saneouro.gsinima.com.br/login</t>
  </si>
  <si>
    <r>
      <rPr>
        <b/>
        <i/>
        <sz val="10"/>
        <color rgb="FF000000"/>
        <rFont val="Calibri"/>
      </rPr>
      <t xml:space="preserve">SANEOURO
</t>
    </r>
    <r>
      <rPr>
        <sz val="10"/>
        <color rgb="FF000000"/>
        <rFont val="Calibri"/>
      </rPr>
      <t xml:space="preserve">
(11) 95020-6424 (WhatsApp)
0800-0021741 
(31) 97177-6885 - Vinicius Rodrigues
saneouro@gsinima.com.br</t>
    </r>
  </si>
  <si>
    <t>Rua da Saudade, SN - Jacuba - Ouro Preto
(31) 3551-6209 | 2129-9360 | VOIP: 3630, 3638
(31) 99566-3993 | VOIP: 3636 - Antônio (diretor geral)
(27) 99979-0288 | VOIP: 3632  - Edvaldo (diretor adjunto)
prop@seguranca.mg.gov.br
edvaldo.dalmaschio@seguranca.mg.gov.br</t>
  </si>
  <si>
    <t>Solicitamos pelo whatsapp em 02/01/2025 a prorrogação das faturas do dia 18 para o dia 30 de cada mês)</t>
  </si>
  <si>
    <t>Data da leitura: 06</t>
  </si>
  <si>
    <t xml:space="preserve">PRESÍDIO DE PASSOS
EMPENHO: 65
EMPENHO DE ENCARGOS: </t>
  </si>
  <si>
    <t>Ligação: 17138, 17824, 28622 e 28757
CNPJ: 05487631000109</t>
  </si>
  <si>
    <t>https://saaepassos.com.br/</t>
  </si>
  <si>
    <r>
      <rPr>
        <b/>
        <i/>
        <sz val="10"/>
        <color rgb="FF000000"/>
        <rFont val="Calibri"/>
      </rPr>
      <t xml:space="preserve">SAAE PASSOS
</t>
    </r>
    <r>
      <rPr>
        <sz val="10"/>
        <color rgb="FF000000"/>
        <rFont val="Calibri"/>
      </rPr>
      <t xml:space="preserve">
(35) 3529-4250 | 3529-4265 - Luciano (setor de contratação de contas/guido)
guido@saaepassos.com.br
atendimento@saaepassos.com.br</t>
    </r>
  </si>
  <si>
    <t>Rua Turqueza, 0 - Jardim Aclimação - Passos
(35) 3526-9651 | VOIP: 3330
(35) 99827-0956 | VOIP: 3332 - Sérgio (diretor geral)
(35) 98816-9710 | VOIP: 3332 - Frank (diretor adjunto)
prpas@seguranca.mg.gov.br</t>
  </si>
  <si>
    <r>
      <rPr>
        <b/>
        <i/>
        <sz val="10"/>
        <color rgb="FF000000"/>
        <rFont val="Calibri"/>
      </rPr>
      <t xml:space="preserve">18ª RISP - REGIONAL: </t>
    </r>
    <r>
      <rPr>
        <sz val="10"/>
        <color rgb="FF000000"/>
        <rFont val="Calibri"/>
      </rPr>
      <t>Francisco Alves da Silva Neto
(31) 98278-2994 | (32) 99920-2431
VOIP: (35) 3712-1882
18o.drpp@gmail.com
francisco.neto@seguranca.mg.gov</t>
    </r>
  </si>
  <si>
    <t xml:space="preserve">Se não conseguir emitir as faturas pelo site (4 faturas) solicitar por e-mail: atendimento@saaepassos.com.br </t>
  </si>
  <si>
    <t>Data da leitura: 24</t>
  </si>
  <si>
    <t xml:space="preserve">PRESÍDIO DE PIRAPORA
EMPENHO: 35
EMPENHO DE ENCARGO: </t>
  </si>
  <si>
    <t>E-mail:
Senha:</t>
  </si>
  <si>
    <r>
      <rPr>
        <b/>
        <i/>
        <sz val="10"/>
        <color rgb="FF000000"/>
        <rFont val="Calibri"/>
      </rPr>
      <t xml:space="preserve">SAAE PIRAPORA
</t>
    </r>
    <r>
      <rPr>
        <sz val="10"/>
        <color rgb="FF000000"/>
        <rFont val="Calibri"/>
      </rPr>
      <t xml:space="preserve">
(38) 98823 1137 | (38) 3741 1530</t>
    </r>
  </si>
  <si>
    <t>Av Benjamin Constant, 185 - Santos Dumont - Pirapora
(38) 3741-1780 - Patricia
(38) 99967-2848 - Kelen
(31) 99651-2527 | VOIP: 5161 - Geraldo (diretor geral)
(38) 99215-8034 | VOIP: 5173 - Gabriel (diretor adjunto)
prpir@seguranca.mg.gov.br
geraldo.rangel.guedes@seguranca.mg.gov.br
gabrielmarvi@gmail.com</t>
  </si>
  <si>
    <r>
      <rPr>
        <b/>
        <i/>
        <sz val="10"/>
        <color rgb="FF000000"/>
        <rFont val="Calibri"/>
      </rPr>
      <t>14ª RISP - REGIONAL:</t>
    </r>
    <r>
      <rPr>
        <sz val="10"/>
        <color rgb="FF000000"/>
        <rFont val="Calibri"/>
      </rPr>
      <t xml:space="preserve"> Charleson Michel Pinto da Silva
(31) 98819-4333 (31) 98405-7408
VOIP:
14risp@seguranca.mg.gov.br
14ppmg@gmail.com
charleson.silva@seguranca.mg.gov.br</t>
    </r>
  </si>
  <si>
    <t>ATESTE ASSINADO POR: KELEN/ GERALDO (DIRETOR)</t>
  </si>
  <si>
    <t xml:space="preserve">PRESÍDIO DE PIUMHI
EMPENHO: 39
EMPENHO DE ENCARGO: </t>
  </si>
  <si>
    <t>Id. Eletrônico: 3048716@C</t>
  </si>
  <si>
    <t>https://autoatendimento.contaseconsumo.com.br/v5.1/index.php?id=9E933AF</t>
  </si>
  <si>
    <r>
      <rPr>
        <b/>
        <i/>
        <sz val="10"/>
        <color rgb="FF000000"/>
        <rFont val="Calibri"/>
      </rPr>
      <t xml:space="preserve">SAAE PIUMHI
</t>
    </r>
    <r>
      <rPr>
        <sz val="10"/>
        <color rgb="FF000000"/>
        <rFont val="Calibri"/>
      </rPr>
      <t xml:space="preserve">
(37) 3371-1332 - Hyago
saae@saaepiumhi.mg.gov.br</t>
    </r>
  </si>
  <si>
    <t>Rua Liberdade, 240 - Colina - Piumhi/MG
(37) 3371-7721 | 2953
(37) 98418-4605 | VOIP: 4190, 4193
VOIP: 8431 - Patrick (diretor geral)
(37) 99981-8689 | VOIP: 8432 - Herbert (diretor adjunto) 
prpi@seguranca.mg.gov.br
herbert.nunes@seguranca.mg.gov.br</t>
  </si>
  <si>
    <r>
      <rPr>
        <b/>
        <i/>
        <sz val="10"/>
        <color rgb="FF000000"/>
        <rFont val="Calibri"/>
      </rPr>
      <t xml:space="preserve">18ª RISP - REGIONAL: </t>
    </r>
    <r>
      <rPr>
        <sz val="10"/>
        <color rgb="FF000000"/>
        <rFont val="Calibri"/>
      </rPr>
      <t>Francisco Alves da Silva Neto
(31) 98278-2994 (32) 99920-2431
VOIP: (35) 3712-1882
18o.drpp@gmail.com
francisco.neto@seguranca.mg.gov</t>
    </r>
  </si>
  <si>
    <t>ATESTE ASSINADO POR: JOSÉ/ HERBERT (DIRETOR)</t>
  </si>
  <si>
    <t>PRESÍDIO DE POÇOS DE CALDAS
EMPENHO: 135
EMPENHO DE ENCARGO:</t>
  </si>
  <si>
    <t> 10/04/2026
(FEV/26)</t>
  </si>
  <si>
    <t>Matrícula: 12843
Dígito: 30
CNPJ: 05487631000109</t>
  </si>
  <si>
    <t>https://pocosdecaldasdmae.eportal.net.br/agencia/#/login</t>
  </si>
  <si>
    <r>
      <rPr>
        <b/>
        <i/>
        <sz val="10"/>
        <color rgb="FF000000"/>
        <rFont val="Calibri"/>
      </rPr>
      <t xml:space="preserve">DMAE POÇOS DE CALDAS 
</t>
    </r>
    <r>
      <rPr>
        <sz val="10"/>
        <color rgb="FF000000"/>
        <rFont val="Calibri"/>
      </rPr>
      <t xml:space="preserve">
(35) 3697-0600 | (35) 99124-8077
atendimento@dmaepc.mg.gov.br</t>
    </r>
  </si>
  <si>
    <t>Rua da Saudade, 169 - Campo da Mogiana - Poços de Caldas
(35) 3722-1170 | 3712-2444 | VOIP: 9556
(31) 97135-7741 - Edson (diretor geral)
99720-8558 - Rafael
prpc@seguranca.mg.gov.br
rafael.sulino@seguranca.mg.gov.br</t>
  </si>
  <si>
    <t>ATESTE ASSINADO POR: RAFAEL/ WILLIAN (DIRETOR)</t>
  </si>
  <si>
    <t>PRESÍDIO DE PONTE NOVA
EMPENHO: 40
EMPENHO DE ENCARGO:</t>
  </si>
  <si>
    <t>20/04/2026
(MAR/26)</t>
  </si>
  <si>
    <t>Id. Eletrônico: 20115406@G
CNPJ: 05487631000109</t>
  </si>
  <si>
    <r>
      <rPr>
        <b/>
        <i/>
        <sz val="10"/>
        <color rgb="FF000000"/>
        <rFont val="Calibri"/>
      </rPr>
      <t xml:space="preserve">DMAES 
</t>
    </r>
    <r>
      <rPr>
        <sz val="10"/>
        <color rgb="FF000000"/>
        <rFont val="Calibri"/>
      </rPr>
      <t>(31) 3819-5350 (GERAL E WHATSAPP) 
(31) 99864-3862 WHATSAPP RECEPÇÃO
(31) 99585-5187 - Bruno Mello(diretor) | Nádia Amora (chefe de contas e consumo)
atendimento@dmaespontenova.mg.gov.b</t>
    </r>
  </si>
  <si>
    <t>Rua Felisberto Leopoldo, 252 - Santa Tereza - Ponte Nova
(31) 2129-9429 | 9431 | 9439 | 9438 
(31) 3881-1653 | VOIP: 3361 | 3365
(31) 98673-5924 | VOIP: 3361 - Euler (diretor geral)
(31) 99816-1057 | VOPI: 3362 - Rodrigo (diretor administrativo)
(31) 98920-6925 | VOIP: 3364 - Luiz (diretor de atendimento)
cppn@seguranca.mg.gov.br</t>
  </si>
  <si>
    <t>ATESTE ASSINADO POR: EULER/RODRIGO</t>
  </si>
  <si>
    <t xml:space="preserve">PRESÍDIO DE SACRAMENTO
EMPENHO: 19
EMPENHO DE ENCARGOS: </t>
  </si>
  <si>
    <t>Id. Eletrônico: 203363@A</t>
  </si>
  <si>
    <t>https://autoatendimento.contaseconsumo.com.br/v5.1/index.php?id=96XAL6</t>
  </si>
  <si>
    <r>
      <rPr>
        <b/>
        <i/>
        <sz val="10"/>
        <color rgb="FF000000"/>
        <rFont val="Calibri"/>
      </rPr>
      <t xml:space="preserve">SAAE SACRAMENTO
</t>
    </r>
    <r>
      <rPr>
        <sz val="10"/>
        <color rgb="FF000000"/>
        <rFont val="Calibri"/>
      </rPr>
      <t xml:space="preserve">
(34) 3351-1422
 saaesac@saaesac.mg.gov.br</t>
    </r>
  </si>
  <si>
    <t>Rua Aníbal Ferreira Candido, 444 - Maria Rosa - Sacramento/MG
(34) 3351-1931 | (34) 3351-1040 | VOIP: 4560
(34) 99166-4706 | VOIP: 4563 - Ricardo (diretor geral)   
(34) 98437-9126 | VOIP: 5472 - Edion
prsc@seguranca.mg.gov.br
prsc seap@gmail.com
ricardo.braz@seguranca.mg.gov.br
m14419261@seguranca.mg.gov.br</t>
  </si>
  <si>
    <r>
      <rPr>
        <b/>
        <i/>
        <sz val="10"/>
        <color rgb="FF000000"/>
        <rFont val="Calibri"/>
      </rPr>
      <t>5ª RISP - REGIONAL:</t>
    </r>
    <r>
      <rPr>
        <sz val="10"/>
        <color rgb="FF000000"/>
        <rFont val="Calibri"/>
      </rPr>
      <t xml:space="preserve"> Josiley Henrique Borges Silva
(31) 98477-9547 (34) 99687-3149
VOIP: 3510
5rispdepen@gmail.com
josiley.silva@seguranca.mg.gov.br</t>
    </r>
  </si>
  <si>
    <t>PRESÍDIO DE SÃO JOÃO DEL REI
EMPENHO: 44
EMPENHO DE ENCARGO:</t>
  </si>
  <si>
    <t>Código Eletrônico: 24312276@02 e 7408683@02</t>
  </si>
  <si>
    <t>https://segundavia.damaesjdr.mg.gov.br/</t>
  </si>
  <si>
    <r>
      <rPr>
        <b/>
        <i/>
        <sz val="10"/>
        <color rgb="FF000000"/>
        <rFont val="Calibri"/>
      </rPr>
      <t xml:space="preserve">DAMAE
</t>
    </r>
    <r>
      <rPr>
        <sz val="10"/>
        <color rgb="FF000000"/>
        <rFont val="Calibri"/>
      </rPr>
      <t xml:space="preserve">
(32) 3371-8080 | 3371-8365 - Raianna Alencar (diretora financeira) 
financeiro@damaesjdr.mg.gov.br
compras.damae@mgconecta.com.br
contabilidade.damae@mgconecta.com.br</t>
    </r>
  </si>
  <si>
    <t>Rua Sem Denominação, 0, (Mambengo), Bonfim - São João Del Rei
Rua Aureliano Raposo, 87, Centro - São João Del Rei
(32) 3371-7095 | (31) 2129-9317 | VOIP: 2711 - Paulo Alexandre ou Adriano
(32) 99945-7662 | VOIP: 2714 - Charles (diretor geral)
(37) 99907-4115 | VOIP: 2701 - Adriano (diretor de atendimento)
prsdr@seguranca.mg.gov.br
charles.nascimento@seguranca.mg.gov.br</t>
  </si>
  <si>
    <r>
      <rPr>
        <b/>
        <i/>
        <sz val="10"/>
        <color rgb="FF000000"/>
        <rFont val="Calibri"/>
      </rPr>
      <t xml:space="preserve">13ª RISP - REGIONAL: </t>
    </r>
    <r>
      <rPr>
        <sz val="10"/>
        <color rgb="FF000000"/>
        <rFont val="Calibri"/>
      </rPr>
      <t>Reginaldo Inácio da Silva
(32) 98834-1306
VOIP:
sede13risp@gmail.com</t>
    </r>
  </si>
  <si>
    <t>ATESTE ASSINADO POR: CRISTIANO/ CHARLES
 COLOCAMOS NO PROCESSO 1450.01.0155714/2024-49 A FOTO DO VERSO DA FATURA FISICA ONDE CONSTA QUE É IMUNE AO IRRF
solicitei por e-mail o envio do histórico de consumo de água dos últimos 12 meses porém informaram que O DAMAE não possui hidrômetro, que o sistema de cobrança é por tabela (cobram tarifa pela água e esgoto).</t>
  </si>
  <si>
    <r>
      <rPr>
        <b/>
        <i/>
        <sz val="10"/>
        <color rgb="FF000000"/>
        <rFont val="Calibri"/>
      </rPr>
      <t xml:space="preserve">SAAE SÃO LOURENÇO
</t>
    </r>
    <r>
      <rPr>
        <sz val="10"/>
        <color rgb="FF000000"/>
        <rFont val="Calibri"/>
      </rPr>
      <t xml:space="preserve">
(35) 3339-4500 | 3339-4506  - Felipe, Rose, Natalia ou Joseane
secretaria@saaesaolourenco.mg.gov.br</t>
    </r>
  </si>
  <si>
    <t>Rua Ipiranga, 170 - Centro - São Lourenço
(35) 3332-7689 | 3332-5041 | VOIP: 4415
(31) 99689-3027 | (35) 98441-5667 - Rafael (diretor geral)
(35) 98872-0190 - José (diretor administrativo)
(35) 98831-6587 - Rodrigo (diretor de atendimento)
prsaolourenco@seguranca.mg.gov.br
rafael.ribeiro@seguranca.mg.gov.br
jose.jacinto@seguranca.mg.gov.br
martins.rodrigo@seguranca.mg.gov.br</t>
  </si>
  <si>
    <r>
      <rPr>
        <b/>
        <i/>
        <sz val="10"/>
        <color rgb="FF000000"/>
        <rFont val="Calibri"/>
      </rPr>
      <t>17ª RISP - REGIONAL:</t>
    </r>
    <r>
      <rPr>
        <sz val="10"/>
        <color rgb="FF000000"/>
        <rFont val="Calibri"/>
      </rPr>
      <t xml:space="preserve"> Gilson Rafael Silva
(24) 99947-7165
VOIP: (35) 3423-5181
17risp@seguranca.mg.gov.br
gilson.silva@seguranca.mg.gov.br
</t>
    </r>
  </si>
  <si>
    <t>ATESTE ASSINADO POR: RAFAEL (DIRETOR)/ TATIANA</t>
  </si>
  <si>
    <t>Id. Eletrônico: 14267052@Z</t>
  </si>
  <si>
    <t>https://setelagoas.contaseconsumo.com.br/</t>
  </si>
  <si>
    <r>
      <rPr>
        <b/>
        <i/>
        <sz val="10"/>
        <color rgb="FF000000"/>
        <rFont val="Calibri"/>
      </rPr>
      <t xml:space="preserve">SAAE SETE LAGOAS
</t>
    </r>
    <r>
      <rPr>
        <sz val="10"/>
        <color rgb="FF000000"/>
        <rFont val="Calibri"/>
      </rPr>
      <t xml:space="preserve">
(31) 2106-0100 | (31)7115-2248 (WhatsApp)
tesouraria@saaesetelagoas.com.br</t>
    </r>
  </si>
  <si>
    <t>Rua Laurindo Souza de Deus, 0 - Santa Felicidade - Sete Lagoas
(31) 2129-9434 | VOIP: 2350
(31) 98567-4986 | VOIP: 2358 - Paulo Cesar (diretor geral)
(31) 99434-9535 - Eliene (diretora administrativa)
(31) 991214496 | VOIP: 2369 - Daniela (diretora de atendimento)
prslg@seguranca.mg.gov.br
paulo.anjos@seguranca.mg.gov.br
eliene.aparecida@seguranca.mg.gov.br
daniela.ubaldo@seguranca.mg.gov</t>
  </si>
  <si>
    <r>
      <rPr>
        <b/>
        <i/>
        <sz val="10"/>
        <color rgb="FF000000"/>
        <rFont val="Calibri"/>
      </rPr>
      <t>19ª RISP - REGIONAL:</t>
    </r>
    <r>
      <rPr>
        <sz val="10"/>
        <color rgb="FF000000"/>
        <rFont val="Calibri"/>
      </rPr>
      <t xml:space="preserve">  Edson Alves Peixoto
(31) 99297-1755
VOIP:
edson.peixoto@seguranca.mg.gov.br</t>
    </r>
  </si>
  <si>
    <t>ATESTE ASSINADO POR: ELIENE</t>
  </si>
  <si>
    <t>PRESÍDIO DE TRÊS PONTAS
EMPENHO: 47
EMPENHO DE ENCARGO:</t>
  </si>
  <si>
    <t>28/03/2026
(FEV/25)</t>
  </si>
  <si>
    <t>Id. Eletrônico: 61116692@E e 1119081@E</t>
  </si>
  <si>
    <t>https://autoatendimento.contaseconsumo.com.br/v5.1/index.php?id=9LAUA63</t>
  </si>
  <si>
    <r>
      <rPr>
        <b/>
        <i/>
        <sz val="10"/>
        <color rgb="FF000000"/>
        <rFont val="Calibri"/>
      </rPr>
      <t xml:space="preserve">SAAE TRÊS PONTAS
</t>
    </r>
    <r>
      <rPr>
        <sz val="10"/>
        <color rgb="FF000000"/>
        <rFont val="Calibri"/>
      </rPr>
      <t xml:space="preserve">
(35) 3265-9512 | 9500 | 9504 DENNIS 
(35) 98862-4102
atendimento@saaetpo.mg.gov.br</t>
    </r>
  </si>
  <si>
    <t>Rua Dr. Caio de Brito, 245 - Centro - Três Pontas
(35) 3265-1079 | 99127-9314 | 98465-1600 - Camila
(31) 98281-8028 | (35) 9998-5039 - Ricardo (diretor geral)
(35) 98825-6187 - Gilson (diretor adjunto)
prtp@seguranca.mg.gov.br
camila.correa@seguranca.mg.gov.br
ricardo.rosendo@seguranca.mg.gov.br
gilson.andrade@seguranca.mg.gov.br</t>
  </si>
  <si>
    <t>ATESTE ASSINADO POR: CAMILA/ RICARDO (DIRETOR)</t>
  </si>
  <si>
    <t>Data da leitura: 26</t>
  </si>
  <si>
    <t>PRESÍDIO DE TUPACIGUARA
EMPENHO: 32
EMPENHO DE ENCARGO:</t>
  </si>
  <si>
    <t> 15/04/2026
(MAR/26)</t>
  </si>
  <si>
    <r>
      <rPr>
        <i/>
        <sz val="10"/>
        <color rgb="FF000000"/>
        <rFont val="Calibri"/>
      </rPr>
      <t xml:space="preserve">*Selecionar Cód.Ligação/Inscrição
</t>
    </r>
    <r>
      <rPr>
        <sz val="10"/>
        <color rgb="FF000000"/>
        <rFont val="Calibri"/>
      </rPr>
      <t xml:space="preserve">
Setor: SETOR 4 - BRASIL
Cód. Ligação/Inscrição: 63328 e 63087</t>
    </r>
  </si>
  <si>
    <t>https://servicos.daetupaciguara.mg.gov.br/GuiaIndex.aspx</t>
  </si>
  <si>
    <r>
      <rPr>
        <b/>
        <i/>
        <sz val="10"/>
        <color rgb="FF000000"/>
        <rFont val="Calibri"/>
      </rPr>
      <t xml:space="preserve">DAE TUPACIGUARA
</t>
    </r>
    <r>
      <rPr>
        <sz val="10"/>
        <color rgb="FF000000"/>
        <rFont val="Calibri"/>
      </rPr>
      <t xml:space="preserve">
(34) 3281-3555 | 3281-3248 - Marcelo (Diretor)
(34) 99232-3018) - Dr. Kariston (Jurídico)
daetupaciguara@hotmail.com
tesouraria@daetupaciguara.mg.gov.br
atendimento@daetupaciguara.mg.gov.br
karistonaugusto@hotmail.com</t>
    </r>
  </si>
  <si>
    <t>Rua José Ferreira Marques, 137 - Brasil - Tupaciguara
(34) 3281-3517 | (34) 98437-0496 - Kênia
(64) 99665-4155 - Mário
(34) 98855-3088 - José Marcelo (diretor adjunto)
(31) 98318-7136 | (34) 99869-9444 - Nubes (diretor geral)
prtu@seguranca.mg.gov.br;
nubes.santana@seguranca.mg.gov.br
mario.silva@seguranca.mg.gov.br
jose.rettenmaier@seguranca.mg.gov.br</t>
  </si>
  <si>
    <r>
      <rPr>
        <b/>
        <i/>
        <sz val="10"/>
        <color rgb="FF000000"/>
        <rFont val="Calibri"/>
      </rPr>
      <t xml:space="preserve">9ª RISP - REGIONAL: </t>
    </r>
    <r>
      <rPr>
        <sz val="10"/>
        <color rgb="FF000000"/>
        <rFont val="Calibri"/>
      </rPr>
      <t>Marcus Vinicius de Oliveira Silva
(31) 99791-9622 (34) 99241-7910
VOIP:
9risp@seguranca.mg.gov.br
assessoria.nonarisp@gmail.com
marcus.vinicius@seguranca.mg.gov.br</t>
    </r>
  </si>
  <si>
    <t>ATESTE ASSINADO POR: MÁRIO / NUBES (DIRETOR)</t>
  </si>
  <si>
    <t xml:space="preserve">PRESÍDIO DE UNAÍ
EMPENHO: 41
EMPENHO DE ENCARGOS: </t>
  </si>
  <si>
    <t>E-mail: sandra.reno@seguranca.mg.gov.br
Senha: 05487</t>
  </si>
  <si>
    <r>
      <rPr>
        <b/>
        <i/>
        <sz val="10"/>
        <color rgb="FF000000"/>
        <rFont val="Calibri"/>
      </rPr>
      <t xml:space="preserve">SAAE UNAÍ 
</t>
    </r>
    <r>
      <rPr>
        <sz val="10"/>
        <color rgb="FF000000"/>
        <rFont val="Calibri"/>
      </rPr>
      <t xml:space="preserve">
(38) 3676-1521 | 4435 
0800 0311521 
(38) 98816-1299 (WhatsApp)   
saae@saaeunai.mg.gov.br  
saaeconta@hotmail.com</t>
    </r>
  </si>
  <si>
    <t>Rua Buritis, 0 - Centro - Unaí
(38) 3676-9732 | 3676-9412
(31) 98498-1753 | (38) 99916-3866 - José Estácio (diretor geral)
(38) 99971-2209 - (Gilcinei (diretor adjunto)
pru@seguranca.mg.gov.br
prutrabalhoeproducao@seguranca.mg.gov.br
jose.estacio@seguranca.mg.gov.br
gilcinei.silva@seguranca.mg.gov.br</t>
  </si>
  <si>
    <r>
      <rPr>
        <b/>
        <i/>
        <sz val="10"/>
        <color rgb="FF000000"/>
        <rFont val="Calibri"/>
      </rPr>
      <t>16ª RISP - REGIONAL:</t>
    </r>
    <r>
      <rPr>
        <sz val="10"/>
        <color rgb="FF000000"/>
        <rFont val="Calibri"/>
      </rPr>
      <t xml:space="preserve"> Sílvio Pereira Cardoso Júnior
(31) 98479-5463 (38) 99919-1251
VOIP: (38) 3676-1132
16risp@seguranca.mg.gov.br
drap16risp@gmail.com
silvio.cardoso@seguranca.mg.gov.br</t>
    </r>
  </si>
  <si>
    <t>AS FATURAS FISICAS COSTUMAM CHEGAR NA CID. ADMINISTRATIVA. VERIFICAR TODO MÊS</t>
  </si>
  <si>
    <t>IMUNE.  NÃO PRECISA COLOCAR OFICIO E MEMORANDO I.R. NO PROCESSO</t>
  </si>
  <si>
    <t>https://autoatendimento.contaseconsumo.com.br/login/index.php?id=9LALFF9</t>
  </si>
  <si>
    <r>
      <rPr>
        <b/>
        <i/>
        <sz val="10"/>
        <color rgb="FF000000"/>
        <rFont val="Calibri"/>
      </rPr>
      <t xml:space="preserve">SAAE VIÇOSA
</t>
    </r>
    <r>
      <rPr>
        <sz val="10"/>
        <color rgb="FF000000"/>
        <rFont val="Calibri"/>
      </rPr>
      <t xml:space="preserve">
0800 000 4109
(31) 3885-2800 (atendimento administrativo)  
atendimento@saaevicosa.mg.gov.br 
financeiro@saaevicosa.mg.gov.br 
secretaria@saaevicosa.mg.gov.br 
contabilidade@saaevicosa.mg.gov.br</t>
    </r>
  </si>
  <si>
    <t>Rua José Rigueira Filho, 105 - Bom Jesus - Viçosa
(31) 3885-2074 | 2407 | VOIP: 1950 - Lisangela ou Flaviana
(31) 99813-1223 | (31) 99913-7454 - Vinicius (diretor geral)
(31) 99802-9063 - Lindoval (diretor adjunto)
prvi@seguranca.mg.gov.br
vinicius.coutinho@seguranca.mg.gov.br
lindoval.freitas@seguranca.mg.gov.br</t>
  </si>
  <si>
    <t>ATESTE ASSINADO POR: LISANGELA / LINDOVAL</t>
  </si>
  <si>
    <t xml:space="preserve">PRESÍDIO PROFESSOR JACY DE ASSIS (UBERLÂNDIA)
EMPENHO: 137
EMPENHO DE ENCARGOS: </t>
  </si>
  <si>
    <t> 10/04/2026
(FEV/25)</t>
  </si>
  <si>
    <t>Código identificador (sem o dígito verificador): 133202-3, 140100-9, 133023-3, 133193-0, 160353-1 e 201007-0</t>
  </si>
  <si>
    <t>Rua Cirineu A Azevedo, 502 - Dom Almir - Uberlândia
(34) 3211-8307 | (34) 3257-3705 | VOIP:
(34) 99682-8441 | VOIP: 2203 - Julio César (diretor geral)
(34) 99138-9515 | VOIP: 2222 - Renato (direotor adjunto)
(34) 99181-9545 | VOIP: 2208 - Márcio (diretor administrativo)
prpja@seguranca.mg.gov.br
julio.ferreira@seguranca.mg.gov.br
marcio.santos@seguranca.mg.gov.br</t>
  </si>
  <si>
    <r>
      <rPr>
        <b/>
        <i/>
        <sz val="10"/>
        <color rgb="FF000000"/>
        <rFont val="Calibri"/>
      </rPr>
      <t>9ª RISP - REGIONAL:</t>
    </r>
    <r>
      <rPr>
        <sz val="10"/>
        <color rgb="FF000000"/>
        <rFont val="Calibri"/>
      </rPr>
      <t xml:space="preserve">  Marcus Vinicius de Oliveira Silva
(31) 99791-9622 | (34) 99241-7910
VOIP:
9risp@seguranca.mg.gov.br 
assessoria.nonarisp@gmail.com 
marcus.vinicius@seguranca.mg.gov.br</t>
    </r>
  </si>
  <si>
    <r>
      <rPr>
        <sz val="10"/>
        <color rgb="FF000000"/>
        <rFont val="Calibri"/>
      </rPr>
      <t xml:space="preserve"> (P/ Protocolar solicitações, entrar em "serviços" no site e preencher com o CNPJ e senha: Sejusp1234 . Baixar o requerimento, preencher no computador, imprimir e assinar. Digitalizar e enviar. Anotar o nº do protocolo e aguardar o retorno. OBS: Solicitamos o cancelamento do envio das faturas físicas em 21/10/2025
</t>
    </r>
    <r>
      <rPr>
        <u val="double"/>
        <sz val="10"/>
        <color rgb="FF000000"/>
        <rFont val="Calibri"/>
      </rPr>
      <t xml:space="preserve">201007-0 </t>
    </r>
    <r>
      <rPr>
        <sz val="10"/>
        <color rgb="FF000000"/>
        <rFont val="Calibri"/>
      </rPr>
      <t>(verificar a data de vencimento desta fatura pois sempre vem com a data diferente das outras)
cod. do imovel: 00020401122600019002
OBS: CONVERSEI C/ O DIRETOR JULIO CESAR EM 17.12 A RESPEITO DO AUMENTO DO VALOR DAS FATURAS E ELE INFORMOU QUE, DEVIDO AO CONSERTO DAS BOMBAS, O CONSUMO NORMALIZOU E QUE VIRÁ SEMPRE ESTES VALORES DAQUI PRA FRENTE
1 FATURA NO VALOR DE R$36.236,17 SERÁ FEITO PROCESSO DE DEA POIS O SALDO FOI INSUFICIENTE P/ QUITAR ESTA FATURA</t>
    </r>
  </si>
  <si>
    <t>IMUNE. NÃO PRECISA COLOCAR OFICIO E MEMORANDO I.R. NO PROCESSO (DESDE NOV/2025)</t>
  </si>
  <si>
    <t>GLOBALIZADAS</t>
  </si>
  <si>
    <t xml:space="preserve">CASA DO ALBERGADO JOSÉ ALENCAR ROGEDO (JUIZ DE FORA) </t>
  </si>
  <si>
    <t>-</t>
  </si>
  <si>
    <t>Rua Leopoldo Schimitz, 148 - Centro - Juiz de Fora
(32) 3215-7793 | (32) 3216-6596
(32) 99962-0149 - Bruno (diretor geral)
cajar@seguranca.mg.gov.br</t>
  </si>
  <si>
    <t>GLOBALIZADA CESAMA</t>
  </si>
  <si>
    <t xml:space="preserve">PENITENCIARIA JOSÉ EDSON CAVALIERI (JUIZ DE FORA) </t>
  </si>
  <si>
    <t>Rua Diva Garcia, 3351 - C - Linhares - Juiz de Fora
Rua Diva Garcia, 3351 - E - Linhares - Juiz de Fora 
Rua Diva Garcia, 3351 - B - Linhares - Juiz de Fora 
(32) 3218-5301 | (32) 3216-5508
VOIP: 3000 (Geral)
(31) 99723-9027 | (32) 98818-6716 | VOIP: 3118 - Thiago (Diretor Geral Interino)
(34) 99214-2873 | VOIP: 3021 - Ana Carolina (Diretora Adjunto) 
(32) 99864-7133 | VOIP: 3114 - Fabiano (Diretor Administrativo)
(32) 98827-7063 | VOIP: 3015 - Gleicy (Diretora de Atendimento) 
pjec@seguranca.mg.gov.br
pjec.seguranca@gmail.com
thiago.costa@seguranca.mg.gov
dappacp@gmail.com</t>
  </si>
  <si>
    <t xml:space="preserve">CERESP JUIZ DE FORA 
</t>
  </si>
  <si>
    <t>PS A-Linhares, 0 - Linhares - Juiz de Fora
(32) 3214-7723 | (32) 98498-3800
(32) 99185-8502 | VOIP: 3140 - Rogério (Diretor Geral) 
(32) 98809-8191 | VOIP: 3133 - Walter (Diretor de Atendimento) 
cerespjf@seguranca.mg.gov.br
cerespjfrh@seguranca.mg.gov.br</t>
  </si>
  <si>
    <t>HOSPITAL TOXICÔMANO PADRE WILSON VALE DA COSTA (JUIZ DE FORA)</t>
  </si>
  <si>
    <t xml:space="preserve">Rua Diva Garcia, 3351 - D - Linhares - Juiz de Fora 
Rua Diva Garcia, 0 - A - Linhares - Juiz de Fora </t>
  </si>
  <si>
    <t xml:space="preserve">12ª RISP IPATINGA </t>
  </si>
  <si>
    <t>Av Londrina, 1175 - Veneza - Ipatinga</t>
  </si>
  <si>
    <t>12ª RISP</t>
  </si>
  <si>
    <t>GLOBALIZADA COPASA</t>
  </si>
  <si>
    <t>Rua Coronel Teodoro Gomes de Araujo, 1195 - LG - A - Grogoto - Barbacena</t>
  </si>
  <si>
    <t>13ª RISP</t>
  </si>
  <si>
    <t xml:space="preserve">Rua Silvestre Ferraz, 362 - Centro - Pouso Alegre
Rua Alaide Chiarini, s/n° - Centro - Pouso Alegre </t>
  </si>
  <si>
    <t>Rua Imaculada Conceição, 488 - João Fazendeiro - Almenara
Rua Imaculada Conceição, 493 - João Fazendeiro - Almenara
Rua Bias Fortes, 23 - Centro - Almenara</t>
  </si>
  <si>
    <t>Av Um, 301 - Parque Norte - Vespasiano</t>
  </si>
  <si>
    <t>Rua João Alfredo, 3800 - LG - A - Santa Tereza - BH 
Rua João Alfredo, 3800 - Santa Tereza - BH</t>
  </si>
  <si>
    <t>Rua Além Paraíba, 31 - Lagoinha - BH</t>
  </si>
  <si>
    <t>Av Alcides Fernandes de Souza, s/n° - Pingo D'água - Betim</t>
  </si>
  <si>
    <t>PR Louis Ensch, s/n° - Cidade Industrial - Contagem</t>
  </si>
  <si>
    <t>Rua Cândido de Souza, 520 - Nova Gameleira - Belo Horizonte</t>
  </si>
  <si>
    <t>Rua Felipe dos Santos Freire, 1 - Cidade Nova - Santana do Paraiso
(31) 3821-7466 | 6459   
cerespip@seguranca.mg.gov.br</t>
  </si>
  <si>
    <t>Rua João Alfredo, 3792 - Horto - BH  
Av dos Andradas, 4071 - Santa Tereza - BH</t>
  </si>
  <si>
    <t>Av Santa Cruz, s/n° - Santa Cruz - Carmo do Paranaiba
Av Santa Cruz, 2150 - Santa Cruz - Carmo do Paranaiba</t>
  </si>
  <si>
    <t>Av VP Um, s/n° - Nova Contagem - Contagem</t>
  </si>
  <si>
    <t>Rua Professor José Vieira de Mendonça, 21 - Engenho Nogueira - BH</t>
  </si>
  <si>
    <t>Rua Gustavo Leonardo, 1095 - São Jacinto - Teofilo Otoni</t>
  </si>
  <si>
    <t>Av Nossa Senhora Monte Calvario, s/n° - BL 1 Vila Melo - Três Corações
Av Nossa Senhora Monte Calvario, s/n° - Vila Melo - Três Corações
(31) 2129-9632 | (35) 3234-2185
(35)  99726-5545 - Fredson (Diretor Geral)
(35) 99120-0550 - Adalton (Diretor Administrativo)
fredson.ferreira@seguranca.mg.gov.br
ptc@seguranca.mg.gov.br</t>
  </si>
  <si>
    <t>Rua Olivia Rodrigues Vieira, 1 - Centro - Ipaba</t>
  </si>
  <si>
    <t>Rua Esplanada, 14 - Vila Esplanada - Ribeirão das Neves 
Rua Esplanada, 16 - Vila Esplanada - Ribeirão das Neves 
Rua Esplanada, 17 - Vila Esplanada - Ribeirão das Neves 
Rua Doutor Francisco Adriano de Paula, 30 - Vila Esplanada - Ribeirão das Neves 
Rua Doutor Francisco Adriano de Paula, 29 - Vila Esplanada - Ribeirão das Neves 
Rua Esplanada, 22 - Casa A - Vila Esplanada - Ribeirão das Neves 
Rua Esplanada, 15 - Vila Esplanada - Ribeirão das Neves 
Rua Esplanada, 76 - Vila Esplanada - Ribeirão das Neves 
Rua Esplanada, 19 - Vila Esplanada - Ribeirão das Neves 
Rua Esplanada Um, s/n° - Vila Esplanada - Ribeirão das Neves 
Rua Esplanada, 10 - Vila Esplanada - Ribeirão das Neves</t>
  </si>
  <si>
    <t>Av C, 550 - Primavera - São Joaquim de Bicas
Av C, 550 - BL A - Primavera - São Joaquim de Bicas</t>
  </si>
  <si>
    <t>Av Engenheiro Rolando Trindade Bassi, 13 - LG Delegacia Nossa - Montes Claros</t>
  </si>
  <si>
    <t>Rodovia LMG 806, KM 5, s/n° - Fazenda das Lages - Ribeirão das Neves</t>
  </si>
  <si>
    <t>Rua Neide Ferreira de Lacerda, s/n° - Garcia II - Barão de Cocais</t>
  </si>
  <si>
    <t>Rua Treze de Maio, 1118 - Casa C - Santo Antônio - Abaete
Rua Treze de Maio, 1118 - Santo Antônio - Abaete 
Rua Treze de Maio, 1118 - LG A - Santo Antônio - Abaete</t>
  </si>
  <si>
    <t>Rua Pedro Gonçalves de Magalhães, s/n° - Centro - Açucena
(31) 98778-3915 - Adilson (Diretor)  
adilson.san0310@gmail.com</t>
  </si>
  <si>
    <t>Rua Deodoro de Almeida Pinto, 166 - Centro - Águas Formosas</t>
  </si>
  <si>
    <t>Rua Barão de Guararema, 112 - São José - Além Paraiba</t>
  </si>
  <si>
    <t>ET Estrada Alfenas Fama, s/n° - Chacara São Judas Tadeu - Alfenas</t>
  </si>
  <si>
    <t>T Vereador Antônio de Lima Valin, s/n° - Rodovia - Andradas</t>
  </si>
  <si>
    <t>Rua Joaquim Emerenciano, 155 - Centro - Andrelandia</t>
  </si>
  <si>
    <t>PR da Cadeia, s/n° - Centro - Araçuaí
Av Luiz Gonzaga Pereira, 931 - Renascença - Araçuaí</t>
  </si>
  <si>
    <t>Rua Tenente Coronel Hermenegildo Magalhães, 55 - Orozino Teixeira - Araxa
Rua Tenente Coronel Hermenegildo Magalhães, 55 - LG B - Orozino Teixeira - Araxa
Rua Tenente Coronel Hermenegildo Magalhães, 55 - LG A - Orozino Teixeira - Araxa</t>
  </si>
  <si>
    <t>Rua Boa Vista, 966 - LG A - Lava Pes - Bambui</t>
  </si>
  <si>
    <t>Rua Alameda Santa B, 15 - Gilson Lamha - Bicas
(31) 2129-9787 | 99413-2060 - Jaqueline (Diretor de Bicas II)</t>
  </si>
  <si>
    <t>Rua Alzira de Oliveira Santos Amaral, 33 - Jardim dos Anjos - Bom Despacho</t>
  </si>
  <si>
    <t>Rua Inalda Xavier Lopes, 900 - Monsenhor Faria de Castro - Botelhos
Rua Inalda Xavier Lopes, 920 - Monsenhor Faria de Castro - Botelhos</t>
  </si>
  <si>
    <t>Rua Itagua, 3400 - Grajau - Brumadinho</t>
  </si>
  <si>
    <t>Av Pedro Valadares Versiane, 767 - Israel Pinheiro - Buritis</t>
  </si>
  <si>
    <t>PR Moises Ponte de Oliveira, 122 - Centro - Campestre</t>
  </si>
  <si>
    <t>Rua Coronel Joaquim José Araujo, 393 - Baixão - Campos Gerais
Rua Joaquim Manoel Figueiredo, 44 - Baixão - Campos Gerais</t>
  </si>
  <si>
    <t>Rua Dois, 470 - Antônio Jovem Vasconcelos - Canapolis</t>
  </si>
  <si>
    <t>Rua José Prisco, 100 - BL B - Planalto - Capelinha
Rua José Prisco, 100 - Planalto - Capelinha</t>
  </si>
  <si>
    <t>AL Germano Nogueira, 405 - Santa Luzia - Carandai</t>
  </si>
  <si>
    <t>ET Serra dos Bias, s/n° - Zona Rural - Caratinga</t>
  </si>
  <si>
    <t>Rua Valmir Araujo de Souza, 80 - Centro - Carlos Chagas</t>
  </si>
  <si>
    <t>Rua Professora Maria Peres, 14 - Jardim America - Carmo do Rio Claro</t>
  </si>
  <si>
    <t>Rua Francisca Souza Peixoto, s/n° - Centenario - Cataguases</t>
  </si>
  <si>
    <t>Rua Guilherme Vilela Gouveia, s/n° - Santa Rita - Caxambu</t>
  </si>
  <si>
    <t>PR Irmã Suzana, 29 - Praia - Congonhas</t>
  </si>
  <si>
    <t>Rua Rodrigues Maia, 515 - Jardim America - Conselheiro Lafaiete</t>
  </si>
  <si>
    <t>Rua Angelica Maganhães, 119 - Centro - Corinto</t>
  </si>
  <si>
    <t>Rua Egidio Machado, 866 - Centro - Coromandel
Rua Domingos Lacerda, 662 - Centro - Coromandel</t>
  </si>
  <si>
    <t>Rua Três Grotas, 319 - Casa A - Todos os Santos - Coronel Fabriciano</t>
  </si>
  <si>
    <t>Av Bias Fortes, 3450 - Vila São José - Curvelo</t>
  </si>
  <si>
    <t>Rua Ramiro Roque, s/n° - Cidade Nova - Diamantina</t>
  </si>
  <si>
    <t>Rua Marinho Carlos de Souza, 435 - Centro - Divino</t>
  </si>
  <si>
    <t>Rua Oscar da Cunha, 369 - São Pedro - Ervalia
Rua Oscar da Cunha, 369 - BL 02 - São Pedro - Ervalia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</si>
</sst>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&quot;R$&quot;\ * #,##0.00_-;\-&quot;R$&quot;\ * #,##0.00_-;_-&quot;R$&quot;\ * &quot;-&quot;??_-;_-@"/>
    <numFmt numFmtId="166" formatCode="_-[$R$-416]\ * #,##0.00_-;\-[$R$-416]\ * #,##0.00_-;_-[$R$-416]\ * &quot;-&quot;??_-;_-@_-"/>
    <numFmt numFmtId="167" formatCode="_([$R$ -416]* #,##0.00_);_([$R$ -416]* \(#,##0.00\);_([$R$ -416]* &quot;-&quot;??_);_(@_)"/>
  </numFmts>
  <fonts count="93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rgb="FFFFFFFF"/>
      <name val="Aptos Narrow"/>
      <charset val="1"/>
    </font>
    <font>
      <b/>
      <sz val="11"/>
      <color theme="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scheme val="minor"/>
    </font>
    <font>
      <sz val="11"/>
      <color rgb="FFFF0000"/>
      <name val="Aptos Narrow"/>
      <family val="2"/>
      <scheme val="minor"/>
    </font>
    <font>
      <b/>
      <sz val="10"/>
      <color rgb="FFFFFFFF"/>
      <name val="Calibri"/>
      <scheme val="minor"/>
    </font>
    <font>
      <b/>
      <sz val="10"/>
      <color rgb="FFFF0000"/>
      <name val="Calibri"/>
      <scheme val="minor"/>
    </font>
    <font>
      <b/>
      <sz val="10"/>
      <name val="Calibri"/>
      <scheme val="minor"/>
    </font>
    <font>
      <b/>
      <sz val="10"/>
      <color rgb="FFFFFFFF"/>
      <name val="Calibri"/>
      <family val="2"/>
    </font>
    <font>
      <sz val="10"/>
      <color theme="1"/>
      <name val="Calibri"/>
      <scheme val="minor"/>
    </font>
    <font>
      <b/>
      <sz val="12"/>
      <color rgb="FFFF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</font>
    <font>
      <sz val="10"/>
      <color rgb="FFFF0000"/>
      <name val="Calibri"/>
      <scheme val="minor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scheme val="minor"/>
    </font>
    <font>
      <sz val="10"/>
      <color rgb="FF000000"/>
      <name val="Calibri"/>
      <family val="2"/>
    </font>
    <font>
      <b/>
      <sz val="10"/>
      <name val="Calibri"/>
    </font>
    <font>
      <sz val="10"/>
      <color theme="1"/>
      <name val="Calibri"/>
      <family val="2"/>
    </font>
    <font>
      <b/>
      <sz val="10"/>
      <color rgb="FFFF0000"/>
      <name val="Calibri"/>
    </font>
    <font>
      <b/>
      <sz val="12"/>
      <color rgb="FFFFFFFF"/>
      <name val="Calibri"/>
      <scheme val="minor"/>
    </font>
    <font>
      <sz val="10"/>
      <color rgb="FF000000"/>
      <name val="Calibri"/>
    </font>
    <font>
      <b/>
      <sz val="11"/>
      <color rgb="FF000000"/>
      <name val="Calibri"/>
      <family val="2"/>
    </font>
    <font>
      <b/>
      <sz val="12"/>
      <color theme="1"/>
      <name val="Calibri"/>
      <scheme val="minor"/>
    </font>
    <font>
      <b/>
      <sz val="10"/>
      <color theme="1"/>
      <name val="Calibri"/>
      <scheme val="minor"/>
    </font>
    <font>
      <sz val="12"/>
      <color theme="1"/>
      <name val="Calibri"/>
    </font>
    <font>
      <sz val="10"/>
      <color theme="1"/>
      <name val="Calibri"/>
      <charset val="1"/>
    </font>
    <font>
      <b/>
      <sz val="11"/>
      <color rgb="FF0070C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ptos Narrow"/>
    </font>
    <font>
      <sz val="10"/>
      <color rgb="FF0070C0"/>
      <name val="Calibri"/>
    </font>
    <font>
      <b/>
      <sz val="10"/>
      <color rgb="FF0070C0"/>
      <name val="Calibri"/>
    </font>
    <font>
      <sz val="10"/>
      <color rgb="FFFF0000"/>
      <name val="Calibri"/>
    </font>
    <font>
      <i/>
      <sz val="10"/>
      <color rgb="FF000000"/>
      <name val="Calibri"/>
    </font>
    <font>
      <sz val="10"/>
      <color rgb="FF4F81BD"/>
      <name val="Calibri"/>
    </font>
    <font>
      <sz val="11"/>
      <name val="Aptos Narrow"/>
      <scheme val="minor"/>
    </font>
    <font>
      <sz val="9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Calibri"/>
    </font>
    <font>
      <sz val="8"/>
      <color theme="1"/>
      <name val="Calibri"/>
    </font>
    <font>
      <sz val="11"/>
      <color rgb="FF000000"/>
      <name val="Calibri"/>
    </font>
    <font>
      <b/>
      <sz val="11"/>
      <color rgb="FFFF0000"/>
      <name val="Aptos Narrow"/>
      <family val="2"/>
      <scheme val="minor"/>
    </font>
    <font>
      <b/>
      <sz val="10"/>
      <color theme="0"/>
      <name val="Calibri"/>
      <scheme val="minor"/>
    </font>
    <font>
      <b/>
      <sz val="10"/>
      <color theme="1"/>
      <name val="Calibri"/>
    </font>
    <font>
      <sz val="10"/>
      <color rgb="FF00B0F0"/>
      <name val="Calibri"/>
    </font>
    <font>
      <b/>
      <sz val="10"/>
      <color rgb="FF00B0F0"/>
      <name val="Calibri"/>
    </font>
    <font>
      <b/>
      <sz val="10"/>
      <color rgb="FFE87331"/>
      <name val="Calibri"/>
    </font>
    <font>
      <u val="double"/>
      <sz val="10"/>
      <color rgb="FF000000"/>
      <name val="Calibri"/>
    </font>
    <font>
      <b/>
      <sz val="10"/>
      <color rgb="FF215C98"/>
      <name val="Calibri"/>
    </font>
    <font>
      <b/>
      <sz val="14"/>
      <color theme="1"/>
      <name val="Calibri"/>
      <scheme val="minor"/>
    </font>
    <font>
      <b/>
      <sz val="14"/>
      <color rgb="FF000000"/>
      <name val="Calibri"/>
      <charset val="1"/>
    </font>
    <font>
      <sz val="12"/>
      <color theme="1"/>
      <name val="Calibri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scheme val="minor"/>
    </font>
    <font>
      <sz val="11"/>
      <color rgb="FF000099"/>
      <name val="Calibri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charset val="1"/>
    </font>
    <font>
      <sz val="13.5"/>
      <color rgb="FF000000"/>
      <name val="Times New Roman"/>
      <charset val="1"/>
    </font>
    <font>
      <b/>
      <sz val="11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00B0F0"/>
      <name val="Calibri"/>
      <family val="2"/>
    </font>
    <font>
      <b/>
      <sz val="9"/>
      <color rgb="FF00B0F0"/>
      <name val="Calibri"/>
    </font>
    <font>
      <b/>
      <sz val="9"/>
      <color rgb="FF00B0F0"/>
      <name val="Calibri"/>
      <charset val="1"/>
    </font>
    <font>
      <b/>
      <sz val="10"/>
      <color rgb="FF00B0F0"/>
      <name val="Calibri"/>
      <family val="2"/>
    </font>
    <font>
      <b/>
      <sz val="11"/>
      <color rgb="FF000000"/>
      <name val="Aptos Narrow"/>
      <charset val="1"/>
    </font>
    <font>
      <b/>
      <i/>
      <sz val="10"/>
      <color rgb="FF000000"/>
      <name val="Calibri"/>
    </font>
    <font>
      <i/>
      <sz val="10"/>
      <color rgb="FF00B0F0"/>
      <name val="Calibri"/>
      <family val="2"/>
    </font>
    <font>
      <i/>
      <sz val="10"/>
      <color rgb="FF00B0F0"/>
      <name val="Calibri"/>
    </font>
    <font>
      <i/>
      <sz val="10"/>
      <color rgb="FF000000"/>
      <name val="Calibri"/>
      <family val="2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B0F0"/>
      <name val="Calibri"/>
      <scheme val="minor"/>
    </font>
    <font>
      <b/>
      <sz val="9"/>
      <color rgb="FF00B0F0"/>
      <name val="Calibri"/>
      <scheme val="minor"/>
    </font>
    <font>
      <b/>
      <sz val="11"/>
      <color theme="0"/>
      <name val="Calibri"/>
    </font>
    <font>
      <b/>
      <i/>
      <sz val="11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A2F41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0F1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bgColor theme="0" tint="-0.14999847407452621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FDFC8"/>
        <bgColor rgb="FF000000"/>
      </patternFill>
    </fill>
  </fills>
  <borders count="1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theme="0"/>
      </top>
      <bottom/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3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9" fontId="7" fillId="3" borderId="1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 vertical="center"/>
    </xf>
    <xf numFmtId="2" fontId="8" fillId="4" borderId="12" xfId="0" applyNumberFormat="1" applyFont="1" applyFill="1" applyBorder="1" applyAlignment="1">
      <alignment horizontal="center" vertical="center"/>
    </xf>
    <xf numFmtId="164" fontId="8" fillId="5" borderId="12" xfId="0" applyNumberFormat="1" applyFont="1" applyFill="1" applyBorder="1" applyAlignment="1">
      <alignment horizontal="center" vertical="center"/>
    </xf>
    <xf numFmtId="165" fontId="8" fillId="5" borderId="12" xfId="0" applyNumberFormat="1" applyFont="1" applyFill="1" applyBorder="1" applyAlignment="1">
      <alignment horizontal="center" vertical="center"/>
    </xf>
    <xf numFmtId="2" fontId="8" fillId="5" borderId="12" xfId="0" applyNumberFormat="1" applyFont="1" applyFill="1" applyBorder="1" applyAlignment="1">
      <alignment horizontal="center" vertical="center"/>
    </xf>
    <xf numFmtId="10" fontId="8" fillId="5" borderId="12" xfId="0" applyNumberFormat="1" applyFont="1" applyFill="1" applyBorder="1" applyAlignment="1">
      <alignment horizontal="center" vertical="center"/>
    </xf>
    <xf numFmtId="164" fontId="8" fillId="6" borderId="12" xfId="0" applyNumberFormat="1" applyFont="1" applyFill="1" applyBorder="1" applyAlignment="1">
      <alignment horizontal="center" vertical="center"/>
    </xf>
    <xf numFmtId="165" fontId="8" fillId="6" borderId="12" xfId="0" applyNumberFormat="1" applyFont="1" applyFill="1" applyBorder="1" applyAlignment="1">
      <alignment horizontal="center" vertical="center"/>
    </xf>
    <xf numFmtId="2" fontId="8" fillId="6" borderId="12" xfId="0" applyNumberFormat="1" applyFont="1" applyFill="1" applyBorder="1" applyAlignment="1">
      <alignment horizontal="center" vertical="center"/>
    </xf>
    <xf numFmtId="164" fontId="8" fillId="7" borderId="12" xfId="0" applyNumberFormat="1" applyFont="1" applyFill="1" applyBorder="1" applyAlignment="1">
      <alignment horizontal="center" vertical="center"/>
    </xf>
    <xf numFmtId="165" fontId="8" fillId="7" borderId="12" xfId="0" applyNumberFormat="1" applyFont="1" applyFill="1" applyBorder="1" applyAlignment="1">
      <alignment horizontal="center" vertical="center"/>
    </xf>
    <xf numFmtId="2" fontId="8" fillId="7" borderId="12" xfId="0" applyNumberFormat="1" applyFont="1" applyFill="1" applyBorder="1" applyAlignment="1">
      <alignment horizontal="center" vertical="center"/>
    </xf>
    <xf numFmtId="49" fontId="8" fillId="6" borderId="12" xfId="0" applyNumberFormat="1" applyFont="1" applyFill="1" applyBorder="1" applyAlignment="1">
      <alignment horizontal="center" vertical="center"/>
    </xf>
    <xf numFmtId="2" fontId="8" fillId="5" borderId="13" xfId="0" applyNumberFormat="1" applyFont="1" applyFill="1" applyBorder="1" applyAlignment="1">
      <alignment horizontal="center" vertical="center"/>
    </xf>
    <xf numFmtId="49" fontId="8" fillId="7" borderId="12" xfId="0" applyNumberFormat="1" applyFont="1" applyFill="1" applyBorder="1" applyAlignment="1">
      <alignment horizontal="center" vertical="center"/>
    </xf>
    <xf numFmtId="0" fontId="0" fillId="0" borderId="2" xfId="0" applyBorder="1"/>
    <xf numFmtId="166" fontId="0" fillId="0" borderId="0" xfId="0" applyNumberFormat="1"/>
    <xf numFmtId="10" fontId="8" fillId="6" borderId="12" xfId="0" applyNumberFormat="1" applyFont="1" applyFill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4" fontId="11" fillId="6" borderId="7" xfId="0" applyNumberFormat="1" applyFont="1" applyFill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8" fillId="4" borderId="7" xfId="0" applyNumberFormat="1" applyFont="1" applyFill="1" applyBorder="1" applyAlignment="1">
      <alignment horizontal="center" vertical="center"/>
    </xf>
    <xf numFmtId="2" fontId="8" fillId="5" borderId="19" xfId="0" applyNumberFormat="1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1" borderId="0" xfId="0" applyFill="1"/>
    <xf numFmtId="0" fontId="0" fillId="12" borderId="7" xfId="0" applyFill="1" applyBorder="1" applyAlignment="1">
      <alignment horizontal="center" vertical="center"/>
    </xf>
    <xf numFmtId="0" fontId="15" fillId="13" borderId="20" xfId="0" applyFont="1" applyFill="1" applyBorder="1" applyAlignment="1">
      <alignment vertical="center"/>
    </xf>
    <xf numFmtId="0" fontId="15" fillId="13" borderId="21" xfId="0" applyFont="1" applyFill="1" applyBorder="1" applyAlignment="1">
      <alignment vertical="center"/>
    </xf>
    <xf numFmtId="0" fontId="15" fillId="13" borderId="21" xfId="0" applyFont="1" applyFill="1" applyBorder="1" applyAlignment="1">
      <alignment horizontal="center" vertical="center"/>
    </xf>
    <xf numFmtId="0" fontId="16" fillId="13" borderId="0" xfId="0" applyFont="1" applyFill="1" applyAlignment="1">
      <alignment vertical="center"/>
    </xf>
    <xf numFmtId="0" fontId="15" fillId="13" borderId="25" xfId="0" applyFont="1" applyFill="1" applyBorder="1" applyAlignment="1">
      <alignment vertical="center"/>
    </xf>
    <xf numFmtId="0" fontId="15" fillId="13" borderId="26" xfId="0" applyFont="1" applyFill="1" applyBorder="1" applyAlignment="1">
      <alignment vertical="center" wrapText="1"/>
    </xf>
    <xf numFmtId="0" fontId="15" fillId="13" borderId="28" xfId="0" applyFont="1" applyFill="1" applyBorder="1" applyAlignment="1">
      <alignment vertical="center" wrapText="1"/>
    </xf>
    <xf numFmtId="0" fontId="17" fillId="14" borderId="21" xfId="0" applyFont="1" applyFill="1" applyBorder="1" applyAlignment="1">
      <alignment vertical="center"/>
    </xf>
    <xf numFmtId="0" fontId="18" fillId="15" borderId="22" xfId="0" applyFont="1" applyFill="1" applyBorder="1" applyAlignment="1">
      <alignment wrapText="1"/>
    </xf>
    <xf numFmtId="0" fontId="18" fillId="15" borderId="22" xfId="0" applyFont="1" applyFill="1" applyBorder="1"/>
    <xf numFmtId="0" fontId="19" fillId="0" borderId="0" xfId="0" applyFont="1"/>
    <xf numFmtId="0" fontId="15" fillId="15" borderId="29" xfId="0" applyFont="1" applyFill="1" applyBorder="1"/>
    <xf numFmtId="0" fontId="15" fillId="16" borderId="30" xfId="0" applyFont="1" applyFill="1" applyBorder="1" applyAlignment="1">
      <alignment wrapText="1"/>
    </xf>
    <xf numFmtId="0" fontId="15" fillId="15" borderId="30" xfId="0" applyFont="1" applyFill="1" applyBorder="1"/>
    <xf numFmtId="0" fontId="15" fillId="15" borderId="30" xfId="0" applyFont="1" applyFill="1" applyBorder="1" applyAlignment="1">
      <alignment horizontal="center"/>
    </xf>
    <xf numFmtId="0" fontId="15" fillId="15" borderId="28" xfId="0" applyFont="1" applyFill="1" applyBorder="1" applyAlignment="1">
      <alignment horizontal="center"/>
    </xf>
    <xf numFmtId="0" fontId="26" fillId="0" borderId="36" xfId="0" applyFont="1" applyBorder="1"/>
    <xf numFmtId="0" fontId="26" fillId="0" borderId="31" xfId="0" applyFont="1" applyBorder="1"/>
    <xf numFmtId="0" fontId="26" fillId="0" borderId="38" xfId="0" applyFont="1" applyBorder="1"/>
    <xf numFmtId="4" fontId="29" fillId="0" borderId="38" xfId="0" applyNumberFormat="1" applyFont="1" applyBorder="1"/>
    <xf numFmtId="0" fontId="15" fillId="19" borderId="30" xfId="0" applyFont="1" applyFill="1" applyBorder="1"/>
    <xf numFmtId="4" fontId="26" fillId="0" borderId="31" xfId="0" applyNumberFormat="1" applyFont="1" applyBorder="1"/>
    <xf numFmtId="0" fontId="15" fillId="16" borderId="30" xfId="0" applyFont="1" applyFill="1" applyBorder="1"/>
    <xf numFmtId="0" fontId="24" fillId="0" borderId="28" xfId="0" applyFont="1" applyBorder="1"/>
    <xf numFmtId="3" fontId="15" fillId="15" borderId="30" xfId="0" applyNumberFormat="1" applyFont="1" applyFill="1" applyBorder="1"/>
    <xf numFmtId="4" fontId="26" fillId="0" borderId="38" xfId="0" applyNumberFormat="1" applyFont="1" applyBorder="1"/>
    <xf numFmtId="0" fontId="15" fillId="15" borderId="29" xfId="0" applyFont="1" applyFill="1" applyBorder="1" applyAlignment="1">
      <alignment vertical="center"/>
    </xf>
    <xf numFmtId="0" fontId="15" fillId="15" borderId="30" xfId="0" applyFont="1" applyFill="1" applyBorder="1" applyAlignment="1">
      <alignment vertical="center"/>
    </xf>
    <xf numFmtId="0" fontId="15" fillId="15" borderId="30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19" borderId="30" xfId="0" applyFont="1" applyFill="1" applyBorder="1" applyAlignment="1">
      <alignment wrapText="1"/>
    </xf>
    <xf numFmtId="4" fontId="31" fillId="0" borderId="38" xfId="0" applyNumberFormat="1" applyFont="1" applyBorder="1"/>
    <xf numFmtId="0" fontId="16" fillId="0" borderId="0" xfId="0" applyFont="1"/>
    <xf numFmtId="0" fontId="26" fillId="0" borderId="31" xfId="0" applyFont="1" applyBorder="1" applyAlignment="1">
      <alignment vertical="center"/>
    </xf>
    <xf numFmtId="0" fontId="26" fillId="0" borderId="38" xfId="0" applyFont="1" applyBorder="1" applyAlignment="1">
      <alignment vertical="center"/>
    </xf>
    <xf numFmtId="4" fontId="26" fillId="0" borderId="42" xfId="0" applyNumberFormat="1" applyFont="1" applyBorder="1"/>
    <xf numFmtId="0" fontId="15" fillId="20" borderId="29" xfId="0" applyFont="1" applyFill="1" applyBorder="1"/>
    <xf numFmtId="0" fontId="15" fillId="20" borderId="30" xfId="0" applyFont="1" applyFill="1" applyBorder="1"/>
    <xf numFmtId="0" fontId="15" fillId="20" borderId="30" xfId="0" applyFont="1" applyFill="1" applyBorder="1" applyAlignment="1">
      <alignment horizontal="center"/>
    </xf>
    <xf numFmtId="0" fontId="32" fillId="20" borderId="28" xfId="0" applyFont="1" applyFill="1" applyBorder="1" applyAlignment="1">
      <alignment horizontal="center"/>
    </xf>
    <xf numFmtId="0" fontId="24" fillId="0" borderId="44" xfId="0" applyFont="1" applyBorder="1"/>
    <xf numFmtId="0" fontId="26" fillId="0" borderId="45" xfId="0" applyFont="1" applyBorder="1"/>
    <xf numFmtId="0" fontId="26" fillId="0" borderId="46" xfId="0" applyFont="1" applyBorder="1"/>
    <xf numFmtId="0" fontId="15" fillId="20" borderId="29" xfId="0" applyFont="1" applyFill="1" applyBorder="1" applyAlignment="1">
      <alignment vertical="center"/>
    </xf>
    <xf numFmtId="0" fontId="15" fillId="20" borderId="30" xfId="0" applyFont="1" applyFill="1" applyBorder="1" applyAlignment="1">
      <alignment vertical="center"/>
    </xf>
    <xf numFmtId="0" fontId="15" fillId="20" borderId="30" xfId="0" applyFont="1" applyFill="1" applyBorder="1" applyAlignment="1">
      <alignment horizontal="center" vertical="center"/>
    </xf>
    <xf numFmtId="0" fontId="32" fillId="20" borderId="28" xfId="0" applyFont="1" applyFill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15" fillId="22" borderId="29" xfId="0" applyFont="1" applyFill="1" applyBorder="1"/>
    <xf numFmtId="0" fontId="15" fillId="22" borderId="30" xfId="0" applyFont="1" applyFill="1" applyBorder="1"/>
    <xf numFmtId="0" fontId="15" fillId="22" borderId="30" xfId="0" applyFont="1" applyFill="1" applyBorder="1" applyAlignment="1">
      <alignment horizontal="center"/>
    </xf>
    <xf numFmtId="0" fontId="32" fillId="22" borderId="28" xfId="0" applyFont="1" applyFill="1" applyBorder="1" applyAlignment="1">
      <alignment horizontal="center"/>
    </xf>
    <xf numFmtId="43" fontId="26" fillId="0" borderId="31" xfId="0" applyNumberFormat="1" applyFont="1" applyBorder="1"/>
    <xf numFmtId="4" fontId="33" fillId="0" borderId="38" xfId="0" applyNumberFormat="1" applyFont="1" applyBorder="1"/>
    <xf numFmtId="0" fontId="21" fillId="0" borderId="0" xfId="0" applyFont="1"/>
    <xf numFmtId="0" fontId="26" fillId="0" borderId="47" xfId="0" applyFont="1" applyBorder="1"/>
    <xf numFmtId="0" fontId="15" fillId="22" borderId="29" xfId="0" applyFont="1" applyFill="1" applyBorder="1" applyAlignment="1">
      <alignment vertical="center"/>
    </xf>
    <xf numFmtId="0" fontId="15" fillId="22" borderId="30" xfId="0" applyFont="1" applyFill="1" applyBorder="1" applyAlignment="1">
      <alignment vertical="center"/>
    </xf>
    <xf numFmtId="0" fontId="15" fillId="22" borderId="30" xfId="0" applyFont="1" applyFill="1" applyBorder="1" applyAlignment="1">
      <alignment horizontal="center" vertical="center"/>
    </xf>
    <xf numFmtId="0" fontId="32" fillId="22" borderId="28" xfId="0" applyFont="1" applyFill="1" applyBorder="1" applyAlignment="1">
      <alignment horizontal="center" vertical="center"/>
    </xf>
    <xf numFmtId="0" fontId="26" fillId="0" borderId="42" xfId="0" applyFont="1" applyBorder="1"/>
    <xf numFmtId="0" fontId="15" fillId="24" borderId="29" xfId="0" applyFont="1" applyFill="1" applyBorder="1" applyAlignment="1">
      <alignment vertical="center"/>
    </xf>
    <xf numFmtId="0" fontId="15" fillId="24" borderId="30" xfId="0" applyFont="1" applyFill="1" applyBorder="1" applyAlignment="1">
      <alignment vertical="center"/>
    </xf>
    <xf numFmtId="0" fontId="15" fillId="24" borderId="30" xfId="0" applyFont="1" applyFill="1" applyBorder="1" applyAlignment="1">
      <alignment horizontal="center" vertical="center"/>
    </xf>
    <xf numFmtId="0" fontId="32" fillId="24" borderId="28" xfId="0" applyFont="1" applyFill="1" applyBorder="1" applyAlignment="1">
      <alignment horizontal="center" vertical="center"/>
    </xf>
    <xf numFmtId="4" fontId="26" fillId="0" borderId="27" xfId="0" applyNumberFormat="1" applyFont="1" applyBorder="1"/>
    <xf numFmtId="0" fontId="15" fillId="24" borderId="29" xfId="0" applyFont="1" applyFill="1" applyBorder="1"/>
    <xf numFmtId="0" fontId="15" fillId="24" borderId="30" xfId="0" applyFont="1" applyFill="1" applyBorder="1"/>
    <xf numFmtId="0" fontId="15" fillId="24" borderId="30" xfId="0" applyFont="1" applyFill="1" applyBorder="1" applyAlignment="1">
      <alignment horizontal="center"/>
    </xf>
    <xf numFmtId="0" fontId="24" fillId="0" borderId="0" xfId="0" applyFont="1"/>
    <xf numFmtId="0" fontId="15" fillId="26" borderId="50" xfId="0" applyFont="1" applyFill="1" applyBorder="1" applyAlignment="1">
      <alignment vertical="center"/>
    </xf>
    <xf numFmtId="0" fontId="15" fillId="27" borderId="22" xfId="0" applyFont="1" applyFill="1" applyBorder="1" applyAlignment="1">
      <alignment vertical="center" wrapText="1"/>
    </xf>
    <xf numFmtId="0" fontId="15" fillId="26" borderId="22" xfId="0" applyFont="1" applyFill="1" applyBorder="1" applyAlignment="1">
      <alignment vertical="center"/>
    </xf>
    <xf numFmtId="0" fontId="15" fillId="26" borderId="22" xfId="0" applyFont="1" applyFill="1" applyBorder="1" applyAlignment="1">
      <alignment horizontal="center" vertical="center"/>
    </xf>
    <xf numFmtId="0" fontId="32" fillId="26" borderId="0" xfId="0" applyFont="1" applyFill="1" applyAlignment="1">
      <alignment horizontal="center" vertical="center"/>
    </xf>
    <xf numFmtId="43" fontId="26" fillId="0" borderId="52" xfId="0" applyNumberFormat="1" applyFont="1" applyBorder="1"/>
    <xf numFmtId="0" fontId="27" fillId="28" borderId="53" xfId="0" applyFont="1" applyFill="1" applyBorder="1"/>
    <xf numFmtId="0" fontId="27" fillId="28" borderId="54" xfId="0" applyFont="1" applyFill="1" applyBorder="1" applyAlignment="1">
      <alignment horizontal="center"/>
    </xf>
    <xf numFmtId="0" fontId="27" fillId="28" borderId="56" xfId="0" applyFont="1" applyFill="1" applyBorder="1"/>
    <xf numFmtId="0" fontId="27" fillId="28" borderId="57" xfId="0" applyFont="1" applyFill="1" applyBorder="1" applyAlignment="1">
      <alignment horizontal="center"/>
    </xf>
    <xf numFmtId="0" fontId="27" fillId="28" borderId="57" xfId="0" applyFont="1" applyFill="1" applyBorder="1"/>
    <xf numFmtId="0" fontId="27" fillId="28" borderId="58" xfId="0" applyFont="1" applyFill="1" applyBorder="1" applyAlignment="1">
      <alignment horizontal="center"/>
    </xf>
    <xf numFmtId="0" fontId="23" fillId="28" borderId="55" xfId="0" applyFont="1" applyFill="1" applyBorder="1"/>
    <xf numFmtId="0" fontId="19" fillId="28" borderId="0" xfId="0" applyFont="1" applyFill="1"/>
    <xf numFmtId="0" fontId="21" fillId="0" borderId="0" xfId="0" applyFont="1" applyAlignment="1">
      <alignment horizontal="center"/>
    </xf>
    <xf numFmtId="0" fontId="34" fillId="0" borderId="0" xfId="0" applyFont="1"/>
    <xf numFmtId="4" fontId="27" fillId="0" borderId="0" xfId="0" applyNumberFormat="1" applyFont="1"/>
    <xf numFmtId="0" fontId="19" fillId="0" borderId="0" xfId="0" applyFont="1" applyAlignment="1">
      <alignment horizontal="center"/>
    </xf>
    <xf numFmtId="4" fontId="19" fillId="0" borderId="0" xfId="0" applyNumberFormat="1" applyFont="1"/>
    <xf numFmtId="0" fontId="36" fillId="0" borderId="0" xfId="0" applyFont="1" applyAlignment="1">
      <alignment horizontal="center"/>
    </xf>
    <xf numFmtId="43" fontId="19" fillId="0" borderId="0" xfId="0" applyNumberFormat="1" applyFont="1"/>
    <xf numFmtId="0" fontId="23" fillId="0" borderId="0" xfId="0" applyFont="1" applyAlignment="1">
      <alignment horizontal="center"/>
    </xf>
    <xf numFmtId="4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8" fillId="0" borderId="7" xfId="0" applyFont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38" fillId="10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0" borderId="1" xfId="0" applyNumberForma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0" borderId="1" xfId="0" applyFont="1" applyFill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2" borderId="7" xfId="0" applyNumberForma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38" fillId="12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10" borderId="7" xfId="0" applyNumberFormat="1" applyFill="1" applyBorder="1" applyAlignment="1">
      <alignment horizontal="center" vertical="center"/>
    </xf>
    <xf numFmtId="0" fontId="38" fillId="28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3" fontId="22" fillId="12" borderId="32" xfId="0" applyNumberFormat="1" applyFont="1" applyFill="1" applyBorder="1" applyAlignment="1">
      <alignment vertical="center"/>
    </xf>
    <xf numFmtId="4" fontId="33" fillId="12" borderId="33" xfId="0" applyNumberFormat="1" applyFont="1" applyFill="1" applyBorder="1"/>
    <xf numFmtId="4" fontId="33" fillId="0" borderId="33" xfId="0" applyNumberFormat="1" applyFont="1" applyBorder="1"/>
    <xf numFmtId="14" fontId="33" fillId="0" borderId="8" xfId="0" applyNumberFormat="1" applyFont="1" applyBorder="1" applyAlignment="1">
      <alignment vertical="center"/>
    </xf>
    <xf numFmtId="14" fontId="33" fillId="12" borderId="8" xfId="0" applyNumberFormat="1" applyFont="1" applyFill="1" applyBorder="1"/>
    <xf numFmtId="44" fontId="0" fillId="9" borderId="7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49" fontId="0" fillId="28" borderId="1" xfId="0" applyNumberForma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9" borderId="0" xfId="0" applyFill="1"/>
    <xf numFmtId="0" fontId="0" fillId="9" borderId="7" xfId="0" applyFill="1" applyBorder="1"/>
    <xf numFmtId="0" fontId="38" fillId="9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1" borderId="7" xfId="0" applyFill="1" applyBorder="1" applyAlignment="1">
      <alignment horizontal="center"/>
    </xf>
    <xf numFmtId="0" fontId="0" fillId="31" borderId="7" xfId="0" applyFill="1" applyBorder="1"/>
    <xf numFmtId="44" fontId="0" fillId="31" borderId="7" xfId="0" applyNumberFormat="1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4" fontId="0" fillId="31" borderId="7" xfId="0" applyNumberFormat="1" applyFill="1" applyBorder="1" applyAlignment="1">
      <alignment horizontal="center" vertical="center"/>
    </xf>
    <xf numFmtId="0" fontId="38" fillId="31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14" fontId="0" fillId="31" borderId="7" xfId="0" applyNumberFormat="1" applyFill="1" applyBorder="1"/>
    <xf numFmtId="14" fontId="0" fillId="9" borderId="7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67" fontId="13" fillId="6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9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31" borderId="6" xfId="0" applyFont="1" applyFill="1" applyBorder="1" applyAlignment="1">
      <alignment horizontal="center"/>
    </xf>
    <xf numFmtId="49" fontId="11" fillId="7" borderId="5" xfId="0" applyNumberFormat="1" applyFont="1" applyFill="1" applyBorder="1" applyAlignment="1">
      <alignment horizontal="center" vertical="center"/>
    </xf>
    <xf numFmtId="44" fontId="14" fillId="31" borderId="7" xfId="0" applyNumberFormat="1" applyFont="1" applyFill="1" applyBorder="1" applyAlignment="1">
      <alignment horizontal="center" vertical="center"/>
    </xf>
    <xf numFmtId="166" fontId="11" fillId="7" borderId="5" xfId="0" applyNumberFormat="1" applyFont="1" applyFill="1" applyBorder="1" applyAlignment="1">
      <alignment horizontal="center" vertical="center"/>
    </xf>
    <xf numFmtId="166" fontId="0" fillId="0" borderId="2" xfId="0" applyNumberFormat="1" applyBorder="1"/>
    <xf numFmtId="166" fontId="0" fillId="9" borderId="7" xfId="0" applyNumberFormat="1" applyFill="1" applyBorder="1"/>
    <xf numFmtId="166" fontId="0" fillId="31" borderId="7" xfId="0" applyNumberFormat="1" applyFill="1" applyBorder="1"/>
    <xf numFmtId="44" fontId="0" fillId="10" borderId="7" xfId="0" applyNumberFormat="1" applyFill="1" applyBorder="1" applyAlignment="1">
      <alignment horizontal="center" vertical="center"/>
    </xf>
    <xf numFmtId="49" fontId="0" fillId="9" borderId="0" xfId="0" applyNumberFormat="1" applyFill="1"/>
    <xf numFmtId="14" fontId="0" fillId="9" borderId="0" xfId="0" applyNumberFormat="1" applyFill="1"/>
    <xf numFmtId="0" fontId="0" fillId="9" borderId="0" xfId="0" applyFill="1" applyAlignment="1">
      <alignment horizontal="center" vertical="center" wrapText="1"/>
    </xf>
    <xf numFmtId="0" fontId="43" fillId="9" borderId="0" xfId="0" applyFont="1" applyFill="1"/>
    <xf numFmtId="0" fontId="0" fillId="10" borderId="7" xfId="0" applyFill="1" applyBorder="1" applyAlignment="1">
      <alignment horizontal="center"/>
    </xf>
    <xf numFmtId="49" fontId="0" fillId="10" borderId="7" xfId="0" applyNumberFormat="1" applyFill="1" applyBorder="1" applyAlignment="1">
      <alignment horizontal="center"/>
    </xf>
    <xf numFmtId="14" fontId="0" fillId="10" borderId="7" xfId="0" applyNumberFormat="1" applyFill="1" applyBorder="1" applyAlignment="1">
      <alignment horizontal="center"/>
    </xf>
    <xf numFmtId="0" fontId="41" fillId="10" borderId="7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41" fillId="9" borderId="7" xfId="0" applyFont="1" applyFill="1" applyBorder="1" applyAlignment="1">
      <alignment horizontal="center"/>
    </xf>
    <xf numFmtId="49" fontId="0" fillId="0" borderId="7" xfId="0" applyNumberFormat="1" applyBorder="1"/>
    <xf numFmtId="14" fontId="0" fillId="0" borderId="7" xfId="0" applyNumberFormat="1" applyBorder="1"/>
    <xf numFmtId="0" fontId="0" fillId="10" borderId="7" xfId="0" applyFill="1" applyBorder="1"/>
    <xf numFmtId="49" fontId="0" fillId="10" borderId="7" xfId="0" applyNumberFormat="1" applyFill="1" applyBorder="1"/>
    <xf numFmtId="14" fontId="0" fillId="10" borderId="7" xfId="0" applyNumberFormat="1" applyFill="1" applyBorder="1"/>
    <xf numFmtId="49" fontId="0" fillId="9" borderId="7" xfId="0" applyNumberFormat="1" applyFill="1" applyBorder="1"/>
    <xf numFmtId="14" fontId="0" fillId="0" borderId="2" xfId="0" applyNumberFormat="1" applyBorder="1"/>
    <xf numFmtId="0" fontId="0" fillId="10" borderId="2" xfId="0" applyFill="1" applyBorder="1" applyAlignment="1">
      <alignment horizontal="center"/>
    </xf>
    <xf numFmtId="49" fontId="0" fillId="10" borderId="2" xfId="0" applyNumberFormat="1" applyFill="1" applyBorder="1" applyAlignment="1">
      <alignment horizontal="center"/>
    </xf>
    <xf numFmtId="14" fontId="0" fillId="10" borderId="2" xfId="0" applyNumberFormat="1" applyFill="1" applyBorder="1" applyAlignment="1">
      <alignment horizontal="center"/>
    </xf>
    <xf numFmtId="0" fontId="41" fillId="10" borderId="2" xfId="0" applyFont="1" applyFill="1" applyBorder="1" applyAlignment="1">
      <alignment horizontal="center"/>
    </xf>
    <xf numFmtId="0" fontId="40" fillId="32" borderId="61" xfId="0" applyFont="1" applyFill="1" applyBorder="1" applyAlignment="1">
      <alignment horizontal="center" vertical="center" wrapText="1"/>
    </xf>
    <xf numFmtId="49" fontId="40" fillId="32" borderId="61" xfId="0" applyNumberFormat="1" applyFont="1" applyFill="1" applyBorder="1" applyAlignment="1">
      <alignment horizontal="center" vertical="center" wrapText="1"/>
    </xf>
    <xf numFmtId="14" fontId="40" fillId="32" borderId="61" xfId="0" applyNumberFormat="1" applyFont="1" applyFill="1" applyBorder="1" applyAlignment="1">
      <alignment horizontal="center" vertical="center" wrapText="1"/>
    </xf>
    <xf numFmtId="0" fontId="40" fillId="32" borderId="70" xfId="0" applyFont="1" applyFill="1" applyBorder="1" applyAlignment="1">
      <alignment horizontal="center" vertical="center" wrapText="1"/>
    </xf>
    <xf numFmtId="0" fontId="0" fillId="10" borderId="7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0" borderId="32" xfId="0" applyBorder="1"/>
    <xf numFmtId="0" fontId="0" fillId="10" borderId="32" xfId="0" applyFill="1" applyBorder="1"/>
    <xf numFmtId="0" fontId="0" fillId="9" borderId="32" xfId="0" applyFill="1" applyBorder="1"/>
    <xf numFmtId="0" fontId="0" fillId="10" borderId="72" xfId="0" applyFill="1" applyBorder="1"/>
    <xf numFmtId="0" fontId="0" fillId="10" borderId="73" xfId="0" applyFill="1" applyBorder="1"/>
    <xf numFmtId="49" fontId="43" fillId="10" borderId="73" xfId="0" applyNumberFormat="1" applyFont="1" applyFill="1" applyBorder="1"/>
    <xf numFmtId="14" fontId="0" fillId="10" borderId="73" xfId="0" applyNumberFormat="1" applyFill="1" applyBorder="1"/>
    <xf numFmtId="49" fontId="0" fillId="10" borderId="73" xfId="0" applyNumberFormat="1" applyFill="1" applyBorder="1"/>
    <xf numFmtId="14" fontId="0" fillId="10" borderId="73" xfId="0" applyNumberFormat="1" applyFill="1" applyBorder="1" applyAlignment="1">
      <alignment horizontal="center"/>
    </xf>
    <xf numFmtId="0" fontId="0" fillId="9" borderId="66" xfId="0" applyFill="1" applyBorder="1"/>
    <xf numFmtId="49" fontId="0" fillId="9" borderId="1" xfId="0" applyNumberFormat="1" applyFill="1" applyBorder="1"/>
    <xf numFmtId="14" fontId="0" fillId="9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42" fillId="10" borderId="74" xfId="0" applyFont="1" applyFill="1" applyBorder="1" applyAlignment="1">
      <alignment horizontal="center"/>
    </xf>
    <xf numFmtId="0" fontId="42" fillId="9" borderId="65" xfId="0" applyFont="1" applyFill="1" applyBorder="1" applyAlignment="1">
      <alignment horizontal="center"/>
    </xf>
    <xf numFmtId="0" fontId="42" fillId="10" borderId="65" xfId="0" applyFont="1" applyFill="1" applyBorder="1" applyAlignment="1">
      <alignment horizontal="center"/>
    </xf>
    <xf numFmtId="0" fontId="0" fillId="10" borderId="65" xfId="0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0" fillId="9" borderId="67" xfId="0" applyFill="1" applyBorder="1" applyAlignment="1">
      <alignment horizontal="center"/>
    </xf>
    <xf numFmtId="0" fontId="0" fillId="10" borderId="75" xfId="0" applyFill="1" applyBorder="1" applyAlignment="1">
      <alignment horizontal="center"/>
    </xf>
    <xf numFmtId="0" fontId="44" fillId="8" borderId="54" xfId="0" applyFont="1" applyFill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5" fillId="33" borderId="76" xfId="0" applyFont="1" applyFill="1" applyBorder="1" applyAlignment="1">
      <alignment horizontal="left" vertical="center"/>
    </xf>
    <xf numFmtId="0" fontId="25" fillId="33" borderId="45" xfId="0" applyFont="1" applyFill="1" applyBorder="1" applyAlignment="1">
      <alignment vertical="center"/>
    </xf>
    <xf numFmtId="0" fontId="28" fillId="0" borderId="33" xfId="0" applyFont="1" applyBorder="1" applyAlignment="1">
      <alignment vertical="center"/>
    </xf>
    <xf numFmtId="14" fontId="28" fillId="0" borderId="23" xfId="0" applyNumberFormat="1" applyFont="1" applyBorder="1" applyAlignment="1">
      <alignment horizontal="center" vertical="center" wrapText="1"/>
    </xf>
    <xf numFmtId="0" fontId="33" fillId="0" borderId="77" xfId="0" applyFont="1" applyBorder="1" applyAlignment="1">
      <alignment horizontal="left" vertical="center" wrapText="1"/>
    </xf>
    <xf numFmtId="0" fontId="33" fillId="0" borderId="65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14" fontId="28" fillId="0" borderId="28" xfId="0" applyNumberFormat="1" applyFont="1" applyBorder="1" applyAlignment="1">
      <alignment horizontal="center" vertical="center" wrapText="1"/>
    </xf>
    <xf numFmtId="14" fontId="28" fillId="17" borderId="28" xfId="0" applyNumberFormat="1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left" vertical="center" wrapText="1"/>
    </xf>
    <xf numFmtId="0" fontId="33" fillId="17" borderId="65" xfId="0" applyFont="1" applyFill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14" fontId="28" fillId="34" borderId="28" xfId="0" applyNumberFormat="1" applyFont="1" applyFill="1" applyBorder="1" applyAlignment="1">
      <alignment horizontal="center" vertical="center" wrapText="1"/>
    </xf>
    <xf numFmtId="0" fontId="33" fillId="34" borderId="65" xfId="0" applyFont="1" applyFill="1" applyBorder="1" applyAlignment="1">
      <alignment horizontal="left" vertical="center" wrapText="1"/>
    </xf>
    <xf numFmtId="14" fontId="30" fillId="34" borderId="28" xfId="0" applyNumberFormat="1" applyFont="1" applyFill="1" applyBorder="1" applyAlignment="1">
      <alignment horizontal="center" vertical="center" wrapText="1"/>
    </xf>
    <xf numFmtId="0" fontId="22" fillId="17" borderId="65" xfId="0" applyFont="1" applyFill="1" applyBorder="1" applyAlignment="1">
      <alignment horizontal="left" vertical="center" wrapText="1"/>
    </xf>
    <xf numFmtId="0" fontId="28" fillId="0" borderId="41" xfId="0" applyFont="1" applyBorder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19" fillId="0" borderId="32" xfId="0" applyFont="1" applyBorder="1" applyAlignment="1">
      <alignment vertical="center"/>
    </xf>
    <xf numFmtId="14" fontId="19" fillId="0" borderId="8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28" fillId="0" borderId="32" xfId="0" applyFont="1" applyBorder="1" applyAlignment="1">
      <alignment vertical="center"/>
    </xf>
    <xf numFmtId="14" fontId="28" fillId="0" borderId="8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4" fontId="28" fillId="0" borderId="28" xfId="0" applyNumberFormat="1" applyFont="1" applyBorder="1" applyAlignment="1">
      <alignment horizontal="center" vertical="center"/>
    </xf>
    <xf numFmtId="0" fontId="28" fillId="0" borderId="79" xfId="0" applyFont="1" applyBorder="1" applyAlignment="1">
      <alignment horizontal="left" vertical="center"/>
    </xf>
    <xf numFmtId="0" fontId="19" fillId="0" borderId="42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2" fillId="0" borderId="65" xfId="0" applyFont="1" applyBorder="1" applyAlignment="1">
      <alignment horizontal="left" vertical="center" wrapText="1"/>
    </xf>
    <xf numFmtId="0" fontId="28" fillId="0" borderId="80" xfId="0" applyFont="1" applyBorder="1" applyAlignment="1">
      <alignment vertical="center"/>
    </xf>
    <xf numFmtId="14" fontId="28" fillId="0" borderId="81" xfId="0" applyNumberFormat="1" applyFont="1" applyBorder="1" applyAlignment="1">
      <alignment horizontal="center" vertical="center"/>
    </xf>
    <xf numFmtId="0" fontId="28" fillId="0" borderId="82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5" fillId="33" borderId="83" xfId="0" applyFont="1" applyFill="1" applyBorder="1" applyAlignment="1">
      <alignment vertical="center"/>
    </xf>
    <xf numFmtId="0" fontId="25" fillId="33" borderId="62" xfId="0" applyFont="1" applyFill="1" applyBorder="1" applyAlignment="1">
      <alignment vertical="center"/>
    </xf>
    <xf numFmtId="0" fontId="25" fillId="33" borderId="84" xfId="0" applyFont="1" applyFill="1" applyBorder="1" applyAlignment="1">
      <alignment vertical="center"/>
    </xf>
    <xf numFmtId="0" fontId="25" fillId="33" borderId="83" xfId="0" applyFont="1" applyFill="1" applyBorder="1" applyAlignment="1">
      <alignment horizontal="left" vertical="center"/>
    </xf>
    <xf numFmtId="0" fontId="21" fillId="28" borderId="85" xfId="0" applyFont="1" applyFill="1" applyBorder="1" applyAlignment="1">
      <alignment horizontal="left" vertical="center" wrapText="1"/>
    </xf>
    <xf numFmtId="14" fontId="21" fillId="28" borderId="64" xfId="0" applyNumberFormat="1" applyFont="1" applyFill="1" applyBorder="1" applyAlignment="1">
      <alignment horizontal="left" vertical="center" wrapText="1"/>
    </xf>
    <xf numFmtId="0" fontId="21" fillId="28" borderId="32" xfId="0" applyFont="1" applyFill="1" applyBorder="1" applyAlignment="1">
      <alignment vertical="center" wrapText="1"/>
    </xf>
    <xf numFmtId="14" fontId="21" fillId="28" borderId="65" xfId="0" applyNumberFormat="1" applyFont="1" applyFill="1" applyBorder="1" applyAlignment="1">
      <alignment horizontal="left" vertical="center" wrapText="1"/>
    </xf>
    <xf numFmtId="0" fontId="21" fillId="28" borderId="32" xfId="0" applyFont="1" applyFill="1" applyBorder="1" applyAlignment="1">
      <alignment vertical="center"/>
    </xf>
    <xf numFmtId="0" fontId="21" fillId="28" borderId="72" xfId="0" applyFont="1" applyFill="1" applyBorder="1" applyAlignment="1">
      <alignment vertical="center"/>
    </xf>
    <xf numFmtId="14" fontId="21" fillId="28" borderId="75" xfId="0" applyNumberFormat="1" applyFont="1" applyFill="1" applyBorder="1" applyAlignment="1">
      <alignment horizontal="left" vertical="center" wrapText="1"/>
    </xf>
    <xf numFmtId="0" fontId="21" fillId="0" borderId="71" xfId="0" applyFont="1" applyBorder="1" applyAlignment="1">
      <alignment vertical="center" wrapText="1"/>
    </xf>
    <xf numFmtId="0" fontId="21" fillId="0" borderId="88" xfId="0" applyFont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1" fillId="0" borderId="32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21" fillId="0" borderId="66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8" fontId="36" fillId="0" borderId="0" xfId="0" applyNumberFormat="1" applyFont="1" applyAlignment="1">
      <alignment vertical="center"/>
    </xf>
    <xf numFmtId="0" fontId="27" fillId="0" borderId="32" xfId="0" applyFont="1" applyBorder="1" applyAlignment="1">
      <alignment horizontal="left" vertical="center"/>
    </xf>
    <xf numFmtId="0" fontId="27" fillId="0" borderId="66" xfId="0" applyFont="1" applyBorder="1" applyAlignment="1">
      <alignment horizontal="left" vertical="center"/>
    </xf>
    <xf numFmtId="0" fontId="21" fillId="0" borderId="71" xfId="0" applyFont="1" applyBorder="1" applyAlignment="1">
      <alignment horizontal="left" vertical="center"/>
    </xf>
    <xf numFmtId="0" fontId="23" fillId="0" borderId="88" xfId="0" applyFont="1" applyBorder="1" applyAlignment="1">
      <alignment horizontal="left" vertical="center" wrapText="1"/>
    </xf>
    <xf numFmtId="0" fontId="33" fillId="28" borderId="85" xfId="0" applyFont="1" applyFill="1" applyBorder="1" applyAlignment="1">
      <alignment horizontal="left" vertical="center" wrapText="1"/>
    </xf>
    <xf numFmtId="0" fontId="33" fillId="28" borderId="72" xfId="0" applyFont="1" applyFill="1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21" fillId="0" borderId="93" xfId="0" applyFont="1" applyBorder="1" applyAlignment="1">
      <alignment horizontal="left" vertical="center" wrapText="1"/>
    </xf>
    <xf numFmtId="0" fontId="21" fillId="0" borderId="89" xfId="0" applyFont="1" applyBorder="1" applyAlignment="1">
      <alignment horizontal="left" vertical="center" wrapText="1"/>
    </xf>
    <xf numFmtId="0" fontId="33" fillId="28" borderId="71" xfId="0" applyFont="1" applyFill="1" applyBorder="1" applyAlignment="1">
      <alignment horizontal="left" vertical="center" wrapText="1"/>
    </xf>
    <xf numFmtId="0" fontId="21" fillId="28" borderId="94" xfId="0" applyFont="1" applyFill="1" applyBorder="1" applyAlignment="1">
      <alignment horizontal="left" vertical="center" wrapText="1"/>
    </xf>
    <xf numFmtId="0" fontId="19" fillId="28" borderId="0" xfId="0" applyFont="1" applyFill="1" applyAlignment="1">
      <alignment vertical="center"/>
    </xf>
    <xf numFmtId="0" fontId="27" fillId="28" borderId="0" xfId="0" applyFont="1" applyFill="1" applyAlignment="1">
      <alignment horizontal="left" vertical="center" wrapText="1"/>
    </xf>
    <xf numFmtId="0" fontId="33" fillId="28" borderId="32" xfId="0" applyFont="1" applyFill="1" applyBorder="1" applyAlignment="1">
      <alignment horizontal="left" vertical="center" wrapText="1"/>
    </xf>
    <xf numFmtId="0" fontId="33" fillId="28" borderId="66" xfId="0" applyFont="1" applyFill="1" applyBorder="1" applyAlignment="1">
      <alignment horizontal="left" vertical="center" wrapText="1"/>
    </xf>
    <xf numFmtId="0" fontId="21" fillId="28" borderId="87" xfId="0" applyFont="1" applyFill="1" applyBorder="1" applyAlignment="1">
      <alignment horizontal="left" vertical="center" wrapText="1"/>
    </xf>
    <xf numFmtId="0" fontId="33" fillId="0" borderId="85" xfId="0" applyFont="1" applyBorder="1" applyAlignment="1">
      <alignment horizontal="left" vertical="center" wrapText="1"/>
    </xf>
    <xf numFmtId="0" fontId="21" fillId="0" borderId="86" xfId="0" applyFont="1" applyBorder="1" applyAlignment="1">
      <alignment horizontal="left" vertical="center"/>
    </xf>
    <xf numFmtId="0" fontId="33" fillId="0" borderId="32" xfId="0" applyFont="1" applyBorder="1" applyAlignment="1">
      <alignment vertical="center"/>
    </xf>
    <xf numFmtId="0" fontId="21" fillId="0" borderId="87" xfId="0" applyFont="1" applyBorder="1" applyAlignment="1">
      <alignment horizontal="left" vertical="center"/>
    </xf>
    <xf numFmtId="0" fontId="23" fillId="0" borderId="87" xfId="0" applyFont="1" applyBorder="1" applyAlignment="1">
      <alignment horizontal="left" vertical="center"/>
    </xf>
    <xf numFmtId="0" fontId="16" fillId="0" borderId="87" xfId="0" applyFont="1" applyBorder="1" applyAlignment="1">
      <alignment horizontal="left" vertical="center"/>
    </xf>
    <xf numFmtId="0" fontId="33" fillId="0" borderId="32" xfId="0" applyFont="1" applyBorder="1" applyAlignment="1">
      <alignment vertical="center" wrapText="1"/>
    </xf>
    <xf numFmtId="0" fontId="33" fillId="0" borderId="66" xfId="0" applyFont="1" applyBorder="1" applyAlignment="1">
      <alignment vertical="center"/>
    </xf>
    <xf numFmtId="0" fontId="33" fillId="0" borderId="72" xfId="0" applyFont="1" applyBorder="1" applyAlignment="1">
      <alignment horizontal="left" vertical="center" wrapText="1"/>
    </xf>
    <xf numFmtId="0" fontId="21" fillId="0" borderId="89" xfId="0" applyFont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6" fillId="18" borderId="0" xfId="0" applyFont="1" applyFill="1" applyAlignment="1">
      <alignment vertical="center"/>
    </xf>
    <xf numFmtId="0" fontId="0" fillId="10" borderId="0" xfId="0" applyFill="1"/>
    <xf numFmtId="44" fontId="11" fillId="7" borderId="5" xfId="0" applyNumberFormat="1" applyFont="1" applyFill="1" applyBorder="1" applyAlignment="1">
      <alignment horizontal="center" vertical="center"/>
    </xf>
    <xf numFmtId="44" fontId="0" fillId="0" borderId="2" xfId="0" applyNumberFormat="1" applyBorder="1"/>
    <xf numFmtId="44" fontId="0" fillId="0" borderId="7" xfId="0" applyNumberFormat="1" applyBorder="1"/>
    <xf numFmtId="44" fontId="0" fillId="31" borderId="7" xfId="0" applyNumberFormat="1" applyFill="1" applyBorder="1"/>
    <xf numFmtId="44" fontId="0" fillId="9" borderId="7" xfId="0" applyNumberFormat="1" applyFill="1" applyBorder="1"/>
    <xf numFmtId="44" fontId="0" fillId="9" borderId="1" xfId="0" applyNumberFormat="1" applyFill="1" applyBorder="1"/>
    <xf numFmtId="44" fontId="0" fillId="0" borderId="0" xfId="0" applyNumberFormat="1"/>
    <xf numFmtId="14" fontId="11" fillId="7" borderId="5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18" borderId="0" xfId="0" applyFill="1"/>
    <xf numFmtId="0" fontId="0" fillId="18" borderId="7" xfId="0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28" borderId="7" xfId="0" applyFill="1" applyBorder="1" applyAlignment="1">
      <alignment horizontal="center"/>
    </xf>
    <xf numFmtId="0" fontId="0" fillId="28" borderId="7" xfId="0" applyFill="1" applyBorder="1"/>
    <xf numFmtId="0" fontId="3" fillId="28" borderId="7" xfId="0" applyFont="1" applyFill="1" applyBorder="1" applyAlignment="1">
      <alignment horizontal="center"/>
    </xf>
    <xf numFmtId="0" fontId="0" fillId="28" borderId="1" xfId="0" applyFill="1" applyBorder="1"/>
    <xf numFmtId="0" fontId="3" fillId="28" borderId="1" xfId="0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/>
    </xf>
    <xf numFmtId="166" fontId="8" fillId="4" borderId="12" xfId="0" applyNumberFormat="1" applyFont="1" applyFill="1" applyBorder="1" applyAlignment="1">
      <alignment horizontal="center" vertical="center"/>
    </xf>
    <xf numFmtId="166" fontId="0" fillId="28" borderId="7" xfId="0" applyNumberFormat="1" applyFill="1" applyBorder="1" applyAlignment="1">
      <alignment horizontal="center" vertical="center"/>
    </xf>
    <xf numFmtId="166" fontId="0" fillId="9" borderId="1" xfId="0" applyNumberFormat="1" applyFill="1" applyBorder="1"/>
    <xf numFmtId="166" fontId="8" fillId="7" borderId="19" xfId="0" applyNumberFormat="1" applyFont="1" applyFill="1" applyBorder="1" applyAlignment="1">
      <alignment horizontal="center" vertical="center"/>
    </xf>
    <xf numFmtId="166" fontId="0" fillId="31" borderId="7" xfId="0" applyNumberFormat="1" applyFill="1" applyBorder="1" applyAlignment="1">
      <alignment horizontal="center" vertical="center"/>
    </xf>
    <xf numFmtId="166" fontId="0" fillId="9" borderId="7" xfId="0" applyNumberFormat="1" applyFill="1" applyBorder="1" applyAlignment="1">
      <alignment horizontal="center" vertical="center"/>
    </xf>
    <xf numFmtId="166" fontId="8" fillId="5" borderId="12" xfId="0" applyNumberFormat="1" applyFont="1" applyFill="1" applyBorder="1" applyAlignment="1">
      <alignment horizontal="center" vertical="center"/>
    </xf>
    <xf numFmtId="166" fontId="8" fillId="5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" fillId="0" borderId="2" xfId="0" applyFont="1" applyBorder="1"/>
    <xf numFmtId="0" fontId="4" fillId="0" borderId="7" xfId="0" applyFont="1" applyBorder="1"/>
    <xf numFmtId="0" fontId="4" fillId="31" borderId="7" xfId="0" applyFont="1" applyFill="1" applyBorder="1"/>
    <xf numFmtId="0" fontId="4" fillId="9" borderId="7" xfId="0" applyFont="1" applyFill="1" applyBorder="1"/>
    <xf numFmtId="0" fontId="51" fillId="0" borderId="2" xfId="0" applyFont="1" applyBorder="1"/>
    <xf numFmtId="49" fontId="51" fillId="0" borderId="7" xfId="0" applyNumberFormat="1" applyFont="1" applyBorder="1" applyAlignment="1">
      <alignment horizontal="center" vertical="center"/>
    </xf>
    <xf numFmtId="0" fontId="51" fillId="31" borderId="7" xfId="0" applyFont="1" applyFill="1" applyBorder="1"/>
    <xf numFmtId="0" fontId="51" fillId="0" borderId="7" xfId="0" applyFont="1" applyBorder="1"/>
    <xf numFmtId="0" fontId="51" fillId="9" borderId="7" xfId="0" applyFont="1" applyFill="1" applyBorder="1"/>
    <xf numFmtId="0" fontId="52" fillId="9" borderId="1" xfId="0" applyFont="1" applyFill="1" applyBorder="1"/>
    <xf numFmtId="49" fontId="51" fillId="28" borderId="7" xfId="0" applyNumberFormat="1" applyFont="1" applyFill="1" applyBorder="1" applyAlignment="1">
      <alignment horizontal="center" vertical="center"/>
    </xf>
    <xf numFmtId="0" fontId="51" fillId="28" borderId="7" xfId="0" applyFont="1" applyFill="1" applyBorder="1" applyAlignment="1">
      <alignment horizontal="center" vertical="center"/>
    </xf>
    <xf numFmtId="0" fontId="51" fillId="9" borderId="7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31" borderId="7" xfId="0" applyNumberFormat="1" applyFill="1" applyBorder="1" applyAlignment="1">
      <alignment horizontal="center" vertical="center"/>
    </xf>
    <xf numFmtId="10" fontId="0" fillId="9" borderId="7" xfId="0" applyNumberFormat="1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0" fontId="54" fillId="28" borderId="7" xfId="0" applyFont="1" applyFill="1" applyBorder="1" applyAlignment="1">
      <alignment horizontal="center" vertical="center" wrapText="1"/>
    </xf>
    <xf numFmtId="0" fontId="53" fillId="28" borderId="63" xfId="0" applyFont="1" applyFill="1" applyBorder="1" applyAlignment="1">
      <alignment horizontal="center" vertical="center"/>
    </xf>
    <xf numFmtId="0" fontId="53" fillId="28" borderId="7" xfId="0" applyFont="1" applyFill="1" applyBorder="1" applyAlignment="1">
      <alignment horizontal="center" vertical="center"/>
    </xf>
    <xf numFmtId="44" fontId="0" fillId="12" borderId="7" xfId="0" applyNumberFormat="1" applyFill="1" applyBorder="1" applyAlignment="1">
      <alignment horizontal="center" vertical="center"/>
    </xf>
    <xf numFmtId="44" fontId="0" fillId="10" borderId="1" xfId="0" applyNumberFormat="1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/>
    </xf>
    <xf numFmtId="44" fontId="0" fillId="28" borderId="7" xfId="0" applyNumberFormat="1" applyFill="1" applyBorder="1"/>
    <xf numFmtId="166" fontId="0" fillId="28" borderId="7" xfId="0" applyNumberFormat="1" applyFill="1" applyBorder="1"/>
    <xf numFmtId="0" fontId="4" fillId="28" borderId="7" xfId="0" applyFont="1" applyFill="1" applyBorder="1"/>
    <xf numFmtId="14" fontId="0" fillId="28" borderId="7" xfId="0" applyNumberFormat="1" applyFill="1" applyBorder="1"/>
    <xf numFmtId="0" fontId="51" fillId="28" borderId="7" xfId="0" applyFont="1" applyFill="1" applyBorder="1"/>
    <xf numFmtId="44" fontId="0" fillId="28" borderId="7" xfId="0" applyNumberFormat="1" applyFill="1" applyBorder="1" applyAlignment="1">
      <alignment horizontal="center" vertical="center"/>
    </xf>
    <xf numFmtId="14" fontId="0" fillId="28" borderId="7" xfId="0" applyNumberFormat="1" applyFill="1" applyBorder="1" applyAlignment="1">
      <alignment horizontal="center" vertical="center"/>
    </xf>
    <xf numFmtId="10" fontId="0" fillId="28" borderId="2" xfId="0" applyNumberFormat="1" applyFill="1" applyBorder="1" applyAlignment="1">
      <alignment horizontal="center" vertical="center"/>
    </xf>
    <xf numFmtId="10" fontId="0" fillId="28" borderId="7" xfId="0" applyNumberFormat="1" applyFill="1" applyBorder="1" applyAlignment="1">
      <alignment horizontal="center" vertical="center"/>
    </xf>
    <xf numFmtId="10" fontId="0" fillId="9" borderId="2" xfId="0" applyNumberFormat="1" applyFill="1" applyBorder="1" applyAlignment="1">
      <alignment horizontal="center" vertical="center"/>
    </xf>
    <xf numFmtId="49" fontId="51" fillId="9" borderId="7" xfId="0" applyNumberFormat="1" applyFont="1" applyFill="1" applyBorder="1" applyAlignment="1">
      <alignment horizontal="center" vertical="center"/>
    </xf>
    <xf numFmtId="0" fontId="51" fillId="9" borderId="7" xfId="0" applyFont="1" applyFill="1" applyBorder="1" applyAlignment="1">
      <alignment horizontal="center" vertical="top"/>
    </xf>
    <xf numFmtId="49" fontId="51" fillId="9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vertical="center"/>
    </xf>
    <xf numFmtId="14" fontId="4" fillId="9" borderId="7" xfId="0" applyNumberFormat="1" applyFont="1" applyFill="1" applyBorder="1" applyAlignment="1">
      <alignment vertical="center"/>
    </xf>
    <xf numFmtId="44" fontId="0" fillId="9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6" xfId="0" applyFont="1" applyFill="1" applyBorder="1" applyAlignment="1">
      <alignment horizontal="center"/>
    </xf>
    <xf numFmtId="16" fontId="0" fillId="28" borderId="7" xfId="0" applyNumberFormat="1" applyFill="1" applyBorder="1"/>
    <xf numFmtId="16" fontId="51" fillId="28" borderId="7" xfId="0" applyNumberFormat="1" applyFont="1" applyFill="1" applyBorder="1"/>
    <xf numFmtId="0" fontId="50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center"/>
    </xf>
    <xf numFmtId="49" fontId="0" fillId="28" borderId="7" xfId="0" applyNumberFormat="1" applyFill="1" applyBorder="1" applyAlignment="1">
      <alignment horizontal="center"/>
    </xf>
    <xf numFmtId="166" fontId="0" fillId="28" borderId="1" xfId="0" applyNumberFormat="1" applyFill="1" applyBorder="1" applyAlignment="1">
      <alignment horizontal="center" vertical="center"/>
    </xf>
    <xf numFmtId="0" fontId="38" fillId="28" borderId="7" xfId="0" applyFont="1" applyFill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8" borderId="8" xfId="0" applyFill="1" applyBorder="1" applyAlignment="1">
      <alignment horizontal="center"/>
    </xf>
    <xf numFmtId="0" fontId="56" fillId="9" borderId="7" xfId="0" applyFont="1" applyFill="1" applyBorder="1" applyAlignment="1">
      <alignment horizontal="center"/>
    </xf>
    <xf numFmtId="0" fontId="56" fillId="28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50" fillId="9" borderId="0" xfId="0" applyFont="1" applyFill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28" borderId="7" xfId="0" applyNumberFormat="1" applyFill="1" applyBorder="1" applyAlignment="1">
      <alignment horizontal="center"/>
    </xf>
    <xf numFmtId="10" fontId="0" fillId="9" borderId="7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0" fontId="53" fillId="28" borderId="2" xfId="0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3" fontId="0" fillId="9" borderId="7" xfId="0" applyNumberFormat="1" applyFill="1" applyBorder="1" applyAlignment="1">
      <alignment horizontal="center"/>
    </xf>
    <xf numFmtId="0" fontId="3" fillId="9" borderId="0" xfId="0" applyFont="1" applyFill="1"/>
    <xf numFmtId="0" fontId="0" fillId="28" borderId="2" xfId="0" applyFill="1" applyBorder="1" applyAlignment="1">
      <alignment horizontal="center"/>
    </xf>
    <xf numFmtId="0" fontId="0" fillId="28" borderId="0" xfId="0" applyFill="1"/>
    <xf numFmtId="3" fontId="0" fillId="28" borderId="7" xfId="0" applyNumberFormat="1" applyFill="1" applyBorder="1" applyAlignment="1">
      <alignment horizontal="center"/>
    </xf>
    <xf numFmtId="49" fontId="0" fillId="28" borderId="2" xfId="0" applyNumberFormat="1" applyFill="1" applyBorder="1" applyAlignment="1">
      <alignment horizontal="center"/>
    </xf>
    <xf numFmtId="0" fontId="0" fillId="28" borderId="2" xfId="0" applyFill="1" applyBorder="1"/>
    <xf numFmtId="0" fontId="50" fillId="0" borderId="0" xfId="0" applyFont="1" applyAlignment="1">
      <alignment horizontal="center"/>
    </xf>
    <xf numFmtId="166" fontId="0" fillId="0" borderId="69" xfId="0" applyNumberFormat="1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166" fontId="0" fillId="28" borderId="2" xfId="0" applyNumberFormat="1" applyFill="1" applyBorder="1" applyAlignment="1">
      <alignment horizontal="center" vertical="center"/>
    </xf>
    <xf numFmtId="166" fontId="0" fillId="10" borderId="7" xfId="0" applyNumberFormat="1" applyFill="1" applyBorder="1" applyAlignment="1">
      <alignment horizontal="center" vertical="center"/>
    </xf>
    <xf numFmtId="166" fontId="0" fillId="12" borderId="7" xfId="0" applyNumberFormat="1" applyFill="1" applyBorder="1" applyAlignment="1">
      <alignment horizontal="center" vertical="center"/>
    </xf>
    <xf numFmtId="166" fontId="0" fillId="10" borderId="1" xfId="0" applyNumberFormat="1" applyFill="1" applyBorder="1" applyAlignment="1">
      <alignment horizontal="center" vertical="center"/>
    </xf>
    <xf numFmtId="14" fontId="8" fillId="5" borderId="12" xfId="0" applyNumberFormat="1" applyFont="1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1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6" fillId="12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/>
    </xf>
    <xf numFmtId="44" fontId="0" fillId="9" borderId="2" xfId="0" applyNumberFormat="1" applyFill="1" applyBorder="1" applyAlignment="1">
      <alignment horizontal="center" vertical="center"/>
    </xf>
    <xf numFmtId="0" fontId="4" fillId="8" borderId="0" xfId="0" applyFont="1" applyFill="1"/>
    <xf numFmtId="0" fontId="3" fillId="8" borderId="0" xfId="0" applyFont="1" applyFill="1"/>
    <xf numFmtId="0" fontId="0" fillId="7" borderId="1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6" fontId="0" fillId="28" borderId="2" xfId="0" applyNumberFormat="1" applyFill="1" applyBorder="1"/>
    <xf numFmtId="49" fontId="8" fillId="6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/>
    </xf>
    <xf numFmtId="0" fontId="57" fillId="19" borderId="28" xfId="0" applyFont="1" applyFill="1" applyBorder="1" applyAlignment="1">
      <alignment horizontal="center"/>
    </xf>
    <xf numFmtId="0" fontId="8" fillId="29" borderId="7" xfId="0" applyFont="1" applyFill="1" applyBorder="1" applyAlignment="1">
      <alignment horizontal="center" vertical="center"/>
    </xf>
    <xf numFmtId="0" fontId="8" fillId="35" borderId="7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15" fillId="13" borderId="26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/>
    </xf>
    <xf numFmtId="0" fontId="20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0" fontId="15" fillId="13" borderId="101" xfId="0" applyFont="1" applyFill="1" applyBorder="1" applyAlignment="1">
      <alignment horizontal="center" vertical="center"/>
    </xf>
    <xf numFmtId="17" fontId="15" fillId="13" borderId="85" xfId="0" applyNumberFormat="1" applyFont="1" applyFill="1" applyBorder="1" applyAlignment="1">
      <alignment horizontal="center" vertical="center"/>
    </xf>
    <xf numFmtId="0" fontId="15" fillId="13" borderId="63" xfId="0" applyFont="1" applyFill="1" applyBorder="1" applyAlignment="1">
      <alignment horizontal="center" vertical="center" wrapText="1"/>
    </xf>
    <xf numFmtId="0" fontId="15" fillId="13" borderId="64" xfId="0" applyFont="1" applyFill="1" applyBorder="1" applyAlignment="1">
      <alignment horizontal="center" vertical="center" wrapText="1"/>
    </xf>
    <xf numFmtId="0" fontId="15" fillId="13" borderId="83" xfId="0" applyFont="1" applyFill="1" applyBorder="1" applyAlignment="1">
      <alignment horizontal="center" vertical="center" wrapText="1"/>
    </xf>
    <xf numFmtId="0" fontId="15" fillId="13" borderId="43" xfId="0" applyFont="1" applyFill="1" applyBorder="1" applyAlignment="1">
      <alignment horizontal="center" vertical="center"/>
    </xf>
    <xf numFmtId="0" fontId="15" fillId="13" borderId="100" xfId="0" applyFont="1" applyFill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center" vertical="center"/>
    </xf>
    <xf numFmtId="0" fontId="15" fillId="13" borderId="44" xfId="0" applyFont="1" applyFill="1" applyBorder="1" applyAlignment="1">
      <alignment vertical="center" wrapText="1"/>
    </xf>
    <xf numFmtId="4" fontId="33" fillId="12" borderId="32" xfId="0" applyNumberFormat="1" applyFont="1" applyFill="1" applyBorder="1"/>
    <xf numFmtId="0" fontId="15" fillId="13" borderId="76" xfId="0" applyFont="1" applyFill="1" applyBorder="1" applyAlignment="1">
      <alignment horizontal="center" vertical="center" wrapText="1"/>
    </xf>
    <xf numFmtId="4" fontId="33" fillId="0" borderId="30" xfId="0" applyNumberFormat="1" applyFont="1" applyBorder="1"/>
    <xf numFmtId="14" fontId="33" fillId="12" borderId="7" xfId="0" applyNumberFormat="1" applyFont="1" applyFill="1" applyBorder="1"/>
    <xf numFmtId="0" fontId="15" fillId="13" borderId="85" xfId="0" applyFont="1" applyFill="1" applyBorder="1" applyAlignment="1">
      <alignment horizontal="center" vertical="center"/>
    </xf>
    <xf numFmtId="14" fontId="33" fillId="12" borderId="65" xfId="0" applyNumberFormat="1" applyFont="1" applyFill="1" applyBorder="1"/>
    <xf numFmtId="14" fontId="33" fillId="0" borderId="8" xfId="0" applyNumberFormat="1" applyFont="1" applyBorder="1"/>
    <xf numFmtId="4" fontId="33" fillId="0" borderId="7" xfId="0" applyNumberFormat="1" applyFont="1" applyBorder="1"/>
    <xf numFmtId="14" fontId="33" fillId="0" borderId="34" xfId="0" applyNumberFormat="1" applyFont="1" applyBorder="1"/>
    <xf numFmtId="0" fontId="24" fillId="0" borderId="35" xfId="0" applyFont="1" applyBorder="1"/>
    <xf numFmtId="0" fontId="26" fillId="0" borderId="37" xfId="0" applyFont="1" applyBorder="1"/>
    <xf numFmtId="4" fontId="33" fillId="17" borderId="30" xfId="0" applyNumberFormat="1" applyFont="1" applyFill="1" applyBorder="1"/>
    <xf numFmtId="4" fontId="33" fillId="17" borderId="33" xfId="0" applyNumberFormat="1" applyFont="1" applyFill="1" applyBorder="1"/>
    <xf numFmtId="4" fontId="33" fillId="17" borderId="7" xfId="0" applyNumberFormat="1" applyFont="1" applyFill="1" applyBorder="1"/>
    <xf numFmtId="4" fontId="47" fillId="12" borderId="32" xfId="0" applyNumberFormat="1" applyFont="1" applyFill="1" applyBorder="1"/>
    <xf numFmtId="4" fontId="47" fillId="0" borderId="33" xfId="0" applyNumberFormat="1" applyFont="1" applyBorder="1"/>
    <xf numFmtId="4" fontId="24" fillId="12" borderId="32" xfId="0" applyNumberFormat="1" applyFont="1" applyFill="1" applyBorder="1"/>
    <xf numFmtId="0" fontId="33" fillId="0" borderId="33" xfId="0" applyFont="1" applyBorder="1"/>
    <xf numFmtId="4" fontId="47" fillId="0" borderId="30" xfId="0" applyNumberFormat="1" applyFont="1" applyBorder="1"/>
    <xf numFmtId="14" fontId="33" fillId="0" borderId="28" xfId="0" applyNumberFormat="1" applyFont="1" applyBorder="1"/>
    <xf numFmtId="14" fontId="22" fillId="0" borderId="34" xfId="0" applyNumberFormat="1" applyFont="1" applyBorder="1"/>
    <xf numFmtId="4" fontId="47" fillId="0" borderId="7" xfId="0" applyNumberFormat="1" applyFont="1" applyBorder="1"/>
    <xf numFmtId="43" fontId="33" fillId="12" borderId="32" xfId="0" applyNumberFormat="1" applyFont="1" applyFill="1" applyBorder="1"/>
    <xf numFmtId="0" fontId="33" fillId="17" borderId="30" xfId="0" applyFont="1" applyFill="1" applyBorder="1"/>
    <xf numFmtId="0" fontId="33" fillId="17" borderId="33" xfId="0" applyFont="1" applyFill="1" applyBorder="1"/>
    <xf numFmtId="2" fontId="33" fillId="17" borderId="33" xfId="0" applyNumberFormat="1" applyFont="1" applyFill="1" applyBorder="1"/>
    <xf numFmtId="0" fontId="33" fillId="17" borderId="7" xfId="0" applyFont="1" applyFill="1" applyBorder="1"/>
    <xf numFmtId="43" fontId="33" fillId="0" borderId="33" xfId="0" applyNumberFormat="1" applyFont="1" applyBorder="1"/>
    <xf numFmtId="0" fontId="33" fillId="12" borderId="32" xfId="0" applyFont="1" applyFill="1" applyBorder="1"/>
    <xf numFmtId="0" fontId="33" fillId="0" borderId="7" xfId="0" applyFont="1" applyBorder="1"/>
    <xf numFmtId="4" fontId="47" fillId="12" borderId="32" xfId="0" applyNumberFormat="1" applyFont="1" applyFill="1" applyBorder="1" applyAlignment="1">
      <alignment vertical="center"/>
    </xf>
    <xf numFmtId="14" fontId="33" fillId="12" borderId="7" xfId="0" applyNumberFormat="1" applyFont="1" applyFill="1" applyBorder="1" applyAlignment="1">
      <alignment vertical="center"/>
    </xf>
    <xf numFmtId="14" fontId="33" fillId="12" borderId="65" xfId="0" applyNumberFormat="1" applyFont="1" applyFill="1" applyBorder="1" applyAlignment="1">
      <alignment vertical="center"/>
    </xf>
    <xf numFmtId="4" fontId="47" fillId="0" borderId="30" xfId="0" applyNumberFormat="1" applyFont="1" applyBorder="1" applyAlignment="1">
      <alignment vertical="center"/>
    </xf>
    <xf numFmtId="4" fontId="33" fillId="0" borderId="33" xfId="0" applyNumberFormat="1" applyFont="1" applyBorder="1" applyAlignment="1">
      <alignment vertical="center"/>
    </xf>
    <xf numFmtId="14" fontId="33" fillId="0" borderId="28" xfId="0" applyNumberFormat="1" applyFont="1" applyBorder="1" applyAlignment="1">
      <alignment vertical="center"/>
    </xf>
    <xf numFmtId="4" fontId="33" fillId="0" borderId="7" xfId="0" applyNumberFormat="1" applyFont="1" applyBorder="1" applyAlignment="1">
      <alignment vertical="center"/>
    </xf>
    <xf numFmtId="14" fontId="33" fillId="0" borderId="34" xfId="0" applyNumberFormat="1" applyFont="1" applyBorder="1" applyAlignment="1">
      <alignment vertical="center"/>
    </xf>
    <xf numFmtId="4" fontId="47" fillId="0" borderId="33" xfId="0" applyNumberFormat="1" applyFont="1" applyBorder="1" applyAlignment="1">
      <alignment vertical="center"/>
    </xf>
    <xf numFmtId="4" fontId="33" fillId="0" borderId="40" xfId="0" applyNumberFormat="1" applyFont="1" applyBorder="1"/>
    <xf numFmtId="4" fontId="33" fillId="12" borderId="32" xfId="0" applyNumberFormat="1" applyFont="1" applyFill="1" applyBorder="1" applyAlignment="1">
      <alignment vertical="center"/>
    </xf>
    <xf numFmtId="4" fontId="33" fillId="0" borderId="30" xfId="0" applyNumberFormat="1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43" fontId="33" fillId="0" borderId="30" xfId="0" applyNumberFormat="1" applyFont="1" applyBorder="1"/>
    <xf numFmtId="0" fontId="33" fillId="0" borderId="104" xfId="0" applyFont="1" applyBorder="1"/>
    <xf numFmtId="0" fontId="33" fillId="0" borderId="39" xfId="0" applyFont="1" applyBorder="1"/>
    <xf numFmtId="0" fontId="24" fillId="0" borderId="26" xfId="0" applyFont="1" applyBorder="1"/>
    <xf numFmtId="14" fontId="33" fillId="0" borderId="7" xfId="0" applyNumberFormat="1" applyFont="1" applyBorder="1" applyAlignment="1">
      <alignment vertical="center"/>
    </xf>
    <xf numFmtId="4" fontId="24" fillId="0" borderId="48" xfId="0" applyNumberFormat="1" applyFont="1" applyBorder="1" applyAlignment="1">
      <alignment horizontal="right"/>
    </xf>
    <xf numFmtId="4" fontId="26" fillId="0" borderId="49" xfId="0" applyNumberFormat="1" applyFont="1" applyBorder="1"/>
    <xf numFmtId="4" fontId="47" fillId="12" borderId="72" xfId="0" applyNumberFormat="1" applyFont="1" applyFill="1" applyBorder="1" applyAlignment="1">
      <alignment vertical="center"/>
    </xf>
    <xf numFmtId="14" fontId="33" fillId="12" borderId="73" xfId="0" applyNumberFormat="1" applyFont="1" applyFill="1" applyBorder="1" applyAlignment="1">
      <alignment vertical="center"/>
    </xf>
    <xf numFmtId="14" fontId="33" fillId="12" borderId="75" xfId="0" applyNumberFormat="1" applyFont="1" applyFill="1" applyBorder="1" applyAlignment="1">
      <alignment vertical="center"/>
    </xf>
    <xf numFmtId="0" fontId="33" fillId="0" borderId="22" xfId="0" applyFont="1" applyBorder="1" applyAlignment="1">
      <alignment vertical="center"/>
    </xf>
    <xf numFmtId="14" fontId="33" fillId="0" borderId="0" xfId="0" applyNumberFormat="1" applyFont="1" applyAlignment="1">
      <alignment vertical="center"/>
    </xf>
    <xf numFmtId="4" fontId="47" fillId="0" borderId="41" xfId="0" applyNumberFormat="1" applyFont="1" applyBorder="1" applyAlignment="1">
      <alignment vertical="center"/>
    </xf>
    <xf numFmtId="14" fontId="33" fillId="0" borderId="18" xfId="0" applyNumberFormat="1" applyFont="1" applyBorder="1" applyAlignment="1">
      <alignment vertical="center"/>
    </xf>
    <xf numFmtId="0" fontId="33" fillId="0" borderId="41" xfId="0" applyFont="1" applyBorder="1" applyAlignment="1">
      <alignment vertical="center"/>
    </xf>
    <xf numFmtId="4" fontId="33" fillId="0" borderId="41" xfId="0" applyNumberFormat="1" applyFont="1" applyBorder="1"/>
    <xf numFmtId="0" fontId="24" fillId="0" borderId="51" xfId="0" applyFont="1" applyBorder="1"/>
    <xf numFmtId="4" fontId="24" fillId="28" borderId="70" xfId="0" applyNumberFormat="1" applyFont="1" applyFill="1" applyBorder="1"/>
    <xf numFmtId="4" fontId="24" fillId="28" borderId="80" xfId="0" applyNumberFormat="1" applyFont="1" applyFill="1" applyBorder="1"/>
    <xf numFmtId="4" fontId="24" fillId="28" borderId="60" xfId="0" applyNumberFormat="1" applyFont="1" applyFill="1" applyBorder="1"/>
    <xf numFmtId="4" fontId="24" fillId="28" borderId="54" xfId="0" applyNumberFormat="1" applyFont="1" applyFill="1" applyBorder="1"/>
    <xf numFmtId="4" fontId="31" fillId="28" borderId="30" xfId="0" applyNumberFormat="1" applyFont="1" applyFill="1" applyBorder="1"/>
    <xf numFmtId="4" fontId="24" fillId="28" borderId="61" xfId="0" applyNumberFormat="1" applyFont="1" applyFill="1" applyBorder="1"/>
    <xf numFmtId="4" fontId="24" fillId="0" borderId="32" xfId="0" applyNumberFormat="1" applyFont="1" applyBorder="1"/>
    <xf numFmtId="14" fontId="24" fillId="0" borderId="7" xfId="0" applyNumberFormat="1" applyFont="1" applyBorder="1" applyAlignment="1">
      <alignment horizontal="center" vertical="center"/>
    </xf>
    <xf numFmtId="4" fontId="33" fillId="12" borderId="31" xfId="0" applyNumberFormat="1" applyFont="1" applyFill="1" applyBorder="1"/>
    <xf numFmtId="14" fontId="33" fillId="12" borderId="8" xfId="0" applyNumberFormat="1" applyFont="1" applyFill="1" applyBorder="1" applyAlignment="1">
      <alignment horizontal="center" vertical="center"/>
    </xf>
    <xf numFmtId="43" fontId="24" fillId="0" borderId="32" xfId="0" applyNumberFormat="1" applyFont="1" applyBorder="1"/>
    <xf numFmtId="49" fontId="24" fillId="0" borderId="8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43" fontId="33" fillId="12" borderId="33" xfId="0" applyNumberFormat="1" applyFont="1" applyFill="1" applyBorder="1"/>
    <xf numFmtId="165" fontId="58" fillId="0" borderId="8" xfId="0" applyNumberFormat="1" applyFont="1" applyBorder="1" applyAlignment="1">
      <alignment horizontal="center" vertical="center"/>
    </xf>
    <xf numFmtId="0" fontId="24" fillId="0" borderId="32" xfId="0" applyFont="1" applyBorder="1"/>
    <xf numFmtId="4" fontId="24" fillId="12" borderId="33" xfId="0" applyNumberFormat="1" applyFont="1" applyFill="1" applyBorder="1"/>
    <xf numFmtId="49" fontId="58" fillId="0" borderId="8" xfId="0" applyNumberFormat="1" applyFont="1" applyBorder="1" applyAlignment="1">
      <alignment horizontal="center" vertical="center" wrapText="1"/>
    </xf>
    <xf numFmtId="14" fontId="24" fillId="0" borderId="8" xfId="0" applyNumberFormat="1" applyFont="1" applyBorder="1" applyAlignment="1">
      <alignment horizontal="center" vertical="center"/>
    </xf>
    <xf numFmtId="49" fontId="33" fillId="12" borderId="8" xfId="0" applyNumberFormat="1" applyFont="1" applyFill="1" applyBorder="1" applyAlignment="1">
      <alignment horizontal="center" vertical="center"/>
    </xf>
    <xf numFmtId="4" fontId="24" fillId="0" borderId="32" xfId="0" applyNumberFormat="1" applyFont="1" applyBorder="1" applyAlignment="1">
      <alignment vertical="center"/>
    </xf>
    <xf numFmtId="4" fontId="24" fillId="12" borderId="33" xfId="0" applyNumberFormat="1" applyFont="1" applyFill="1" applyBorder="1" applyAlignment="1">
      <alignment vertical="center"/>
    </xf>
    <xf numFmtId="14" fontId="24" fillId="12" borderId="28" xfId="0" applyNumberFormat="1" applyFont="1" applyFill="1" applyBorder="1" applyAlignment="1">
      <alignment horizontal="center" vertical="center"/>
    </xf>
    <xf numFmtId="4" fontId="24" fillId="12" borderId="41" xfId="0" applyNumberFormat="1" applyFont="1" applyFill="1" applyBorder="1"/>
    <xf numFmtId="14" fontId="24" fillId="12" borderId="8" xfId="0" applyNumberFormat="1" applyFont="1" applyFill="1" applyBorder="1" applyAlignment="1">
      <alignment horizontal="center" vertical="center"/>
    </xf>
    <xf numFmtId="14" fontId="33" fillId="12" borderId="28" xfId="0" applyNumberFormat="1" applyFont="1" applyFill="1" applyBorder="1" applyAlignment="1">
      <alignment horizontal="center" vertical="center"/>
    </xf>
    <xf numFmtId="4" fontId="33" fillId="12" borderId="33" xfId="0" applyNumberFormat="1" applyFont="1" applyFill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43" fontId="33" fillId="12" borderId="33" xfId="0" applyNumberFormat="1" applyFont="1" applyFill="1" applyBorder="1" applyAlignment="1">
      <alignment vertical="center"/>
    </xf>
    <xf numFmtId="43" fontId="33" fillId="12" borderId="32" xfId="0" applyNumberFormat="1" applyFont="1" applyFill="1" applyBorder="1" applyAlignment="1">
      <alignment vertical="center"/>
    </xf>
    <xf numFmtId="0" fontId="58" fillId="0" borderId="8" xfId="0" applyFont="1" applyBorder="1" applyAlignment="1">
      <alignment horizontal="center" vertical="center" wrapText="1"/>
    </xf>
    <xf numFmtId="14" fontId="24" fillId="0" borderId="73" xfId="0" applyNumberFormat="1" applyFont="1" applyBorder="1" applyAlignment="1">
      <alignment horizontal="center" vertical="center"/>
    </xf>
    <xf numFmtId="49" fontId="58" fillId="0" borderId="102" xfId="0" applyNumberFormat="1" applyFont="1" applyBorder="1" applyAlignment="1">
      <alignment horizontal="center" vertical="center"/>
    </xf>
    <xf numFmtId="14" fontId="33" fillId="12" borderId="81" xfId="0" applyNumberFormat="1" applyFont="1" applyFill="1" applyBorder="1" applyAlignment="1">
      <alignment horizontal="center" vertical="center"/>
    </xf>
    <xf numFmtId="14" fontId="33" fillId="12" borderId="102" xfId="0" applyNumberFormat="1" applyFont="1" applyFill="1" applyBorder="1" applyAlignment="1">
      <alignment horizontal="center" vertical="center"/>
    </xf>
    <xf numFmtId="14" fontId="33" fillId="12" borderId="73" xfId="0" applyNumberFormat="1" applyFont="1" applyFill="1" applyBorder="1"/>
    <xf numFmtId="14" fontId="33" fillId="12" borderId="102" xfId="0" applyNumberFormat="1" applyFont="1" applyFill="1" applyBorder="1"/>
    <xf numFmtId="10" fontId="58" fillId="28" borderId="61" xfId="0" applyNumberFormat="1" applyFont="1" applyFill="1" applyBorder="1" applyAlignment="1">
      <alignment horizontal="center" vertical="center"/>
    </xf>
    <xf numFmtId="10" fontId="58" fillId="28" borderId="70" xfId="0" applyNumberFormat="1" applyFont="1" applyFill="1" applyBorder="1" applyAlignment="1">
      <alignment horizontal="center" vertical="center"/>
    </xf>
    <xf numFmtId="10" fontId="58" fillId="28" borderId="92" xfId="0" applyNumberFormat="1" applyFont="1" applyFill="1" applyBorder="1" applyAlignment="1">
      <alignment horizontal="center" vertical="center"/>
    </xf>
    <xf numFmtId="10" fontId="58" fillId="28" borderId="81" xfId="0" applyNumberFormat="1" applyFont="1" applyFill="1" applyBorder="1" applyAlignment="1">
      <alignment horizontal="center" vertical="center"/>
    </xf>
    <xf numFmtId="10" fontId="60" fillId="28" borderId="92" xfId="0" applyNumberFormat="1" applyFont="1" applyFill="1" applyBorder="1" applyAlignment="1">
      <alignment horizontal="center" vertical="center"/>
    </xf>
    <xf numFmtId="10" fontId="58" fillId="28" borderId="59" xfId="0" applyNumberFormat="1" applyFont="1" applyFill="1" applyBorder="1" applyAlignment="1">
      <alignment horizontal="center" vertical="center"/>
    </xf>
    <xf numFmtId="10" fontId="60" fillId="28" borderId="59" xfId="0" applyNumberFormat="1" applyFont="1" applyFill="1" applyBorder="1" applyAlignment="1">
      <alignment horizontal="center" vertical="center"/>
    </xf>
    <xf numFmtId="10" fontId="58" fillId="28" borderId="58" xfId="0" applyNumberFormat="1" applyFont="1" applyFill="1" applyBorder="1" applyAlignment="1">
      <alignment horizontal="center" vertical="center"/>
    </xf>
    <xf numFmtId="14" fontId="33" fillId="0" borderId="7" xfId="0" applyNumberFormat="1" applyFont="1" applyBorder="1"/>
    <xf numFmtId="14" fontId="24" fillId="0" borderId="7" xfId="0" applyNumberFormat="1" applyFont="1" applyBorder="1" applyAlignment="1">
      <alignment vertical="center"/>
    </xf>
    <xf numFmtId="14" fontId="45" fillId="0" borderId="7" xfId="0" applyNumberFormat="1" applyFont="1" applyBorder="1" applyAlignment="1">
      <alignment vertical="center"/>
    </xf>
    <xf numFmtId="14" fontId="60" fillId="0" borderId="7" xfId="0" applyNumberFormat="1" applyFont="1" applyBorder="1" applyAlignment="1">
      <alignment vertical="center"/>
    </xf>
    <xf numFmtId="43" fontId="31" fillId="0" borderId="7" xfId="0" applyNumberFormat="1" applyFont="1" applyBorder="1" applyAlignment="1">
      <alignment vertical="center"/>
    </xf>
    <xf numFmtId="14" fontId="33" fillId="12" borderId="8" xfId="0" applyNumberFormat="1" applyFont="1" applyFill="1" applyBorder="1" applyAlignment="1">
      <alignment vertical="center"/>
    </xf>
    <xf numFmtId="14" fontId="33" fillId="12" borderId="102" xfId="0" applyNumberFormat="1" applyFont="1" applyFill="1" applyBorder="1" applyAlignment="1">
      <alignment vertical="center"/>
    </xf>
    <xf numFmtId="0" fontId="24" fillId="0" borderId="105" xfId="0" applyFont="1" applyBorder="1"/>
    <xf numFmtId="0" fontId="24" fillId="0" borderId="30" xfId="0" applyFont="1" applyBorder="1"/>
    <xf numFmtId="4" fontId="24" fillId="0" borderId="30" xfId="0" applyNumberFormat="1" applyFont="1" applyBorder="1"/>
    <xf numFmtId="0" fontId="24" fillId="0" borderId="30" xfId="0" applyFont="1" applyBorder="1" applyAlignment="1">
      <alignment vertical="center"/>
    </xf>
    <xf numFmtId="4" fontId="24" fillId="0" borderId="22" xfId="0" applyNumberFormat="1" applyFont="1" applyBorder="1"/>
    <xf numFmtId="0" fontId="24" fillId="0" borderId="103" xfId="0" applyFont="1" applyBorder="1"/>
    <xf numFmtId="0" fontId="24" fillId="0" borderId="22" xfId="0" applyFont="1" applyBorder="1"/>
    <xf numFmtId="4" fontId="24" fillId="0" borderId="101" xfId="0" applyNumberFormat="1" applyFont="1" applyBorder="1"/>
    <xf numFmtId="4" fontId="24" fillId="0" borderId="106" xfId="0" applyNumberFormat="1" applyFont="1" applyBorder="1"/>
    <xf numFmtId="4" fontId="24" fillId="0" borderId="107" xfId="0" applyNumberFormat="1" applyFont="1" applyBorder="1"/>
    <xf numFmtId="0" fontId="15" fillId="13" borderId="45" xfId="0" applyFont="1" applyFill="1" applyBorder="1" applyAlignment="1">
      <alignment vertical="center"/>
    </xf>
    <xf numFmtId="0" fontId="15" fillId="13" borderId="46" xfId="0" applyFont="1" applyFill="1" applyBorder="1" applyAlignment="1">
      <alignment vertical="center" wrapText="1"/>
    </xf>
    <xf numFmtId="4" fontId="26" fillId="0" borderId="85" xfId="0" applyNumberFormat="1" applyFont="1" applyBorder="1"/>
    <xf numFmtId="14" fontId="33" fillId="0" borderId="63" xfId="0" applyNumberFormat="1" applyFont="1" applyBorder="1" applyAlignment="1">
      <alignment vertical="center"/>
    </xf>
    <xf numFmtId="14" fontId="33" fillId="12" borderId="64" xfId="0" applyNumberFormat="1" applyFont="1" applyFill="1" applyBorder="1"/>
    <xf numFmtId="4" fontId="26" fillId="0" borderId="32" xfId="0" applyNumberFormat="1" applyFont="1" applyBorder="1"/>
    <xf numFmtId="4" fontId="33" fillId="0" borderId="32" xfId="0" applyNumberFormat="1" applyFont="1" applyBorder="1"/>
    <xf numFmtId="0" fontId="33" fillId="0" borderId="32" xfId="0" applyFont="1" applyBorder="1"/>
    <xf numFmtId="43" fontId="22" fillId="0" borderId="32" xfId="0" applyNumberFormat="1" applyFont="1" applyBorder="1"/>
    <xf numFmtId="43" fontId="59" fillId="0" borderId="32" xfId="0" applyNumberFormat="1" applyFont="1" applyBorder="1"/>
    <xf numFmtId="43" fontId="60" fillId="18" borderId="32" xfId="0" applyNumberFormat="1" applyFont="1" applyFill="1" applyBorder="1"/>
    <xf numFmtId="43" fontId="33" fillId="0" borderId="32" xfId="0" applyNumberFormat="1" applyFont="1" applyBorder="1"/>
    <xf numFmtId="43" fontId="45" fillId="0" borderId="32" xfId="0" applyNumberFormat="1" applyFont="1" applyBorder="1"/>
    <xf numFmtId="0" fontId="59" fillId="0" borderId="32" xfId="0" applyFont="1" applyBorder="1"/>
    <xf numFmtId="4" fontId="26" fillId="0" borderId="32" xfId="0" applyNumberFormat="1" applyFont="1" applyBorder="1" applyAlignment="1">
      <alignment vertical="center"/>
    </xf>
    <xf numFmtId="43" fontId="60" fillId="0" borderId="32" xfId="0" applyNumberFormat="1" applyFont="1" applyBorder="1"/>
    <xf numFmtId="4" fontId="59" fillId="0" borderId="32" xfId="0" applyNumberFormat="1" applyFont="1" applyBorder="1"/>
    <xf numFmtId="4" fontId="60" fillId="18" borderId="32" xfId="0" applyNumberFormat="1" applyFont="1" applyFill="1" applyBorder="1"/>
    <xf numFmtId="4" fontId="33" fillId="0" borderId="32" xfId="0" applyNumberFormat="1" applyFont="1" applyBorder="1" applyAlignment="1">
      <alignment vertical="center"/>
    </xf>
    <xf numFmtId="4" fontId="33" fillId="0" borderId="72" xfId="0" applyNumberFormat="1" applyFont="1" applyBorder="1"/>
    <xf numFmtId="14" fontId="33" fillId="0" borderId="73" xfId="0" applyNumberFormat="1" applyFont="1" applyBorder="1" applyAlignment="1">
      <alignment vertical="center"/>
    </xf>
    <xf numFmtId="14" fontId="24" fillId="12" borderId="7" xfId="0" applyNumberFormat="1" applyFont="1" applyFill="1" applyBorder="1"/>
    <xf numFmtId="0" fontId="57" fillId="16" borderId="30" xfId="0" applyFont="1" applyFill="1" applyBorder="1"/>
    <xf numFmtId="0" fontId="57" fillId="19" borderId="30" xfId="0" applyFont="1" applyFill="1" applyBorder="1" applyAlignment="1">
      <alignment wrapText="1"/>
    </xf>
    <xf numFmtId="0" fontId="57" fillId="16" borderId="30" xfId="0" applyFont="1" applyFill="1" applyBorder="1" applyAlignment="1">
      <alignment wrapText="1"/>
    </xf>
    <xf numFmtId="0" fontId="57" fillId="16" borderId="30" xfId="0" applyFont="1" applyFill="1" applyBorder="1" applyAlignment="1">
      <alignment vertical="center"/>
    </xf>
    <xf numFmtId="0" fontId="57" fillId="19" borderId="30" xfId="0" applyFont="1" applyFill="1" applyBorder="1"/>
    <xf numFmtId="0" fontId="57" fillId="21" borderId="30" xfId="0" applyFont="1" applyFill="1" applyBorder="1"/>
    <xf numFmtId="0" fontId="57" fillId="21" borderId="30" xfId="0" applyFont="1" applyFill="1" applyBorder="1" applyAlignment="1">
      <alignment vertical="center" wrapText="1"/>
    </xf>
    <xf numFmtId="0" fontId="57" fillId="23" borderId="30" xfId="0" applyFont="1" applyFill="1" applyBorder="1"/>
    <xf numFmtId="0" fontId="57" fillId="23" borderId="30" xfId="0" applyFont="1" applyFill="1" applyBorder="1" applyAlignment="1">
      <alignment vertical="center" wrapText="1"/>
    </xf>
    <xf numFmtId="0" fontId="57" fillId="23" borderId="30" xfId="0" applyFont="1" applyFill="1" applyBorder="1" applyAlignment="1">
      <alignment wrapText="1"/>
    </xf>
    <xf numFmtId="0" fontId="57" fillId="25" borderId="30" xfId="0" applyFont="1" applyFill="1" applyBorder="1" applyAlignment="1">
      <alignment vertical="center" wrapText="1"/>
    </xf>
    <xf numFmtId="0" fontId="57" fillId="25" borderId="30" xfId="0" applyFont="1" applyFill="1" applyBorder="1" applyAlignment="1">
      <alignment wrapText="1"/>
    </xf>
    <xf numFmtId="0" fontId="57" fillId="25" borderId="30" xfId="0" applyFont="1" applyFill="1" applyBorder="1"/>
    <xf numFmtId="0" fontId="57" fillId="16" borderId="30" xfId="0" applyFont="1" applyFill="1" applyBorder="1" applyAlignment="1">
      <alignment vertical="center" wrapText="1"/>
    </xf>
    <xf numFmtId="0" fontId="8" fillId="19" borderId="7" xfId="0" applyFont="1" applyFill="1" applyBorder="1" applyAlignment="1">
      <alignment horizontal="center" vertical="center"/>
    </xf>
    <xf numFmtId="43" fontId="24" fillId="0" borderId="32" xfId="0" applyNumberFormat="1" applyFont="1" applyBorder="1" applyAlignment="1">
      <alignment vertical="center"/>
    </xf>
    <xf numFmtId="14" fontId="47" fillId="12" borderId="7" xfId="0" applyNumberFormat="1" applyFont="1" applyFill="1" applyBorder="1"/>
    <xf numFmtId="14" fontId="31" fillId="12" borderId="7" xfId="0" applyNumberFormat="1" applyFont="1" applyFill="1" applyBorder="1"/>
    <xf numFmtId="14" fontId="12" fillId="9" borderId="7" xfId="0" applyNumberFormat="1" applyFont="1" applyFill="1" applyBorder="1" applyAlignment="1">
      <alignment horizontal="center" vertical="center"/>
    </xf>
    <xf numFmtId="0" fontId="28" fillId="0" borderId="33" xfId="0" applyFont="1" applyBorder="1" applyAlignment="1">
      <alignment horizontal="center" vertical="center" wrapText="1"/>
    </xf>
    <xf numFmtId="0" fontId="33" fillId="17" borderId="32" xfId="0" applyFont="1" applyFill="1" applyBorder="1" applyAlignment="1">
      <alignment horizontal="center" vertical="center" wrapText="1"/>
    </xf>
    <xf numFmtId="14" fontId="28" fillId="0" borderId="69" xfId="0" applyNumberFormat="1" applyFont="1" applyBorder="1" applyAlignment="1">
      <alignment horizontal="center" vertical="center" wrapText="1"/>
    </xf>
    <xf numFmtId="0" fontId="47" fillId="0" borderId="5" xfId="0" applyFont="1" applyBorder="1" applyAlignment="1">
      <alignment horizontal="left" vertical="top" wrapText="1"/>
    </xf>
    <xf numFmtId="0" fontId="28" fillId="0" borderId="39" xfId="0" applyFont="1" applyBorder="1" applyAlignment="1">
      <alignment horizontal="center" vertical="center" wrapText="1"/>
    </xf>
    <xf numFmtId="0" fontId="47" fillId="17" borderId="65" xfId="0" applyFont="1" applyFill="1" applyBorder="1" applyAlignment="1">
      <alignment horizontal="left" vertical="center" wrapText="1"/>
    </xf>
    <xf numFmtId="0" fontId="28" fillId="0" borderId="78" xfId="0" applyFont="1" applyBorder="1" applyAlignment="1">
      <alignment horizontal="center" vertical="center" wrapText="1"/>
    </xf>
    <xf numFmtId="0" fontId="28" fillId="17" borderId="33" xfId="0" applyFont="1" applyFill="1" applyBorder="1" applyAlignment="1">
      <alignment horizontal="center" vertical="center" wrapText="1"/>
    </xf>
    <xf numFmtId="0" fontId="47" fillId="0" borderId="65" xfId="0" applyFont="1" applyBorder="1" applyAlignment="1">
      <alignment horizontal="left" vertical="center" wrapText="1"/>
    </xf>
    <xf numFmtId="14" fontId="28" fillId="9" borderId="28" xfId="0" applyNumberFormat="1" applyFont="1" applyFill="1" applyBorder="1" applyAlignment="1">
      <alignment horizontal="center" vertical="center" wrapText="1"/>
    </xf>
    <xf numFmtId="0" fontId="33" fillId="9" borderId="65" xfId="0" applyFont="1" applyFill="1" applyBorder="1" applyAlignment="1">
      <alignment horizontal="left" vertical="center" wrapText="1"/>
    </xf>
    <xf numFmtId="0" fontId="28" fillId="9" borderId="33" xfId="0" applyFont="1" applyFill="1" applyBorder="1" applyAlignment="1">
      <alignment horizontal="center" vertical="center" wrapText="1"/>
    </xf>
    <xf numFmtId="0" fontId="47" fillId="34" borderId="65" xfId="0" applyFont="1" applyFill="1" applyBorder="1" applyAlignment="1">
      <alignment horizontal="left" vertical="center" wrapText="1"/>
    </xf>
    <xf numFmtId="0" fontId="47" fillId="9" borderId="65" xfId="0" applyFont="1" applyFill="1" applyBorder="1" applyAlignment="1">
      <alignment horizontal="left" vertical="center" wrapText="1"/>
    </xf>
    <xf numFmtId="0" fontId="30" fillId="0" borderId="33" xfId="0" applyFont="1" applyBorder="1" applyAlignment="1">
      <alignment horizontal="center" vertical="center" wrapText="1"/>
    </xf>
    <xf numFmtId="0" fontId="33" fillId="0" borderId="74" xfId="0" applyFont="1" applyBorder="1" applyAlignment="1">
      <alignment horizontal="left" vertical="center" wrapText="1"/>
    </xf>
    <xf numFmtId="0" fontId="33" fillId="0" borderId="33" xfId="0" applyFont="1" applyBorder="1" applyAlignment="1">
      <alignment horizontal="center" vertical="center" wrapText="1"/>
    </xf>
    <xf numFmtId="14" fontId="33" fillId="34" borderId="28" xfId="0" applyNumberFormat="1" applyFont="1" applyFill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14" fontId="28" fillId="17" borderId="81" xfId="0" applyNumberFormat="1" applyFont="1" applyFill="1" applyBorder="1" applyAlignment="1">
      <alignment horizontal="center" vertical="center" wrapText="1"/>
    </xf>
    <xf numFmtId="0" fontId="33" fillId="0" borderId="75" xfId="0" applyFont="1" applyBorder="1" applyAlignment="1">
      <alignment horizontal="left" vertical="center" wrapText="1"/>
    </xf>
    <xf numFmtId="0" fontId="25" fillId="32" borderId="25" xfId="0" applyFont="1" applyFill="1" applyBorder="1" applyAlignment="1">
      <alignment horizontal="center" vertical="center"/>
    </xf>
    <xf numFmtId="0" fontId="25" fillId="32" borderId="44" xfId="0" applyFont="1" applyFill="1" applyBorder="1" applyAlignment="1">
      <alignment horizontal="center" vertical="center"/>
    </xf>
    <xf numFmtId="0" fontId="25" fillId="32" borderId="76" xfId="0" applyFont="1" applyFill="1" applyBorder="1" applyAlignment="1">
      <alignment horizontal="center" vertical="center"/>
    </xf>
    <xf numFmtId="0" fontId="25" fillId="32" borderId="45" xfId="0" applyFont="1" applyFill="1" applyBorder="1" applyAlignment="1">
      <alignment horizontal="center" vertical="center"/>
    </xf>
    <xf numFmtId="0" fontId="25" fillId="32" borderId="64" xfId="0" applyFont="1" applyFill="1" applyBorder="1" applyAlignment="1">
      <alignment horizontal="center" vertical="center"/>
    </xf>
    <xf numFmtId="0" fontId="56" fillId="9" borderId="7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81" xfId="0" applyBorder="1"/>
    <xf numFmtId="0" fontId="0" fillId="0" borderId="89" xfId="0" applyBorder="1"/>
    <xf numFmtId="0" fontId="0" fillId="9" borderId="73" xfId="0" applyFill="1" applyBorder="1" applyAlignment="1">
      <alignment horizontal="center"/>
    </xf>
    <xf numFmtId="0" fontId="0" fillId="9" borderId="92" xfId="0" applyFill="1" applyBorder="1" applyAlignment="1">
      <alignment horizontal="center"/>
    </xf>
    <xf numFmtId="49" fontId="0" fillId="9" borderId="2" xfId="0" applyNumberFormat="1" applyFill="1" applyBorder="1" applyAlignment="1">
      <alignment horizontal="center"/>
    </xf>
    <xf numFmtId="49" fontId="0" fillId="9" borderId="3" xfId="0" applyNumberFormat="1" applyFill="1" applyBorder="1" applyAlignment="1">
      <alignment horizontal="center"/>
    </xf>
    <xf numFmtId="0" fontId="0" fillId="32" borderId="0" xfId="0" applyFill="1"/>
    <xf numFmtId="0" fontId="3" fillId="36" borderId="85" xfId="0" applyFont="1" applyFill="1" applyBorder="1" applyAlignment="1">
      <alignment horizontal="center"/>
    </xf>
    <xf numFmtId="0" fontId="0" fillId="36" borderId="63" xfId="0" applyFill="1" applyBorder="1" applyAlignment="1">
      <alignment horizontal="center"/>
    </xf>
    <xf numFmtId="0" fontId="0" fillId="36" borderId="63" xfId="0" applyFill="1" applyBorder="1" applyAlignment="1">
      <alignment horizontal="center" vertical="center"/>
    </xf>
    <xf numFmtId="49" fontId="0" fillId="36" borderId="108" xfId="0" applyNumberFormat="1" applyFill="1" applyBorder="1" applyAlignment="1">
      <alignment horizontal="center"/>
    </xf>
    <xf numFmtId="0" fontId="0" fillId="36" borderId="84" xfId="0" applyFill="1" applyBorder="1" applyAlignment="1">
      <alignment horizontal="center"/>
    </xf>
    <xf numFmtId="0" fontId="0" fillId="36" borderId="108" xfId="0" applyFill="1" applyBorder="1" applyAlignment="1">
      <alignment horizontal="center"/>
    </xf>
    <xf numFmtId="0" fontId="0" fillId="36" borderId="63" xfId="0" applyFill="1" applyBorder="1"/>
    <xf numFmtId="0" fontId="7" fillId="36" borderId="63" xfId="0" applyFont="1" applyFill="1" applyBorder="1" applyAlignment="1">
      <alignment horizontal="center"/>
    </xf>
    <xf numFmtId="166" fontId="0" fillId="36" borderId="63" xfId="0" applyNumberFormat="1" applyFill="1" applyBorder="1"/>
    <xf numFmtId="44" fontId="0" fillId="36" borderId="63" xfId="0" applyNumberFormat="1" applyFill="1" applyBorder="1" applyAlignment="1">
      <alignment horizontal="center" vertical="center"/>
    </xf>
    <xf numFmtId="44" fontId="0" fillId="36" borderId="84" xfId="0" applyNumberFormat="1" applyFill="1" applyBorder="1" applyAlignment="1">
      <alignment horizontal="center" vertical="center"/>
    </xf>
    <xf numFmtId="3" fontId="0" fillId="36" borderId="84" xfId="0" applyNumberFormat="1" applyFill="1" applyBorder="1" applyAlignment="1">
      <alignment horizontal="center" vertical="center"/>
    </xf>
    <xf numFmtId="14" fontId="0" fillId="36" borderId="63" xfId="0" applyNumberFormat="1" applyFill="1" applyBorder="1" applyAlignment="1">
      <alignment horizontal="center" vertical="center"/>
    </xf>
    <xf numFmtId="0" fontId="0" fillId="36" borderId="84" xfId="0" applyFill="1" applyBorder="1" applyAlignment="1">
      <alignment horizontal="center" vertical="center"/>
    </xf>
    <xf numFmtId="0" fontId="38" fillId="36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6" borderId="63" xfId="0" applyNumberFormat="1" applyFill="1" applyBorder="1" applyAlignment="1">
      <alignment horizontal="center" vertical="center"/>
    </xf>
    <xf numFmtId="10" fontId="0" fillId="36" borderId="84" xfId="0" applyNumberFormat="1" applyFill="1" applyBorder="1" applyAlignment="1">
      <alignment horizontal="center" vertical="center"/>
    </xf>
    <xf numFmtId="166" fontId="0" fillId="36" borderId="84" xfId="0" applyNumberFormat="1" applyFill="1" applyBorder="1" applyAlignment="1">
      <alignment horizontal="center" vertical="center"/>
    </xf>
    <xf numFmtId="166" fontId="0" fillId="36" borderId="63" xfId="0" applyNumberFormat="1" applyFill="1" applyBorder="1" applyAlignment="1">
      <alignment horizontal="center" vertical="center"/>
    </xf>
    <xf numFmtId="0" fontId="0" fillId="0" borderId="44" xfId="0" applyBorder="1"/>
    <xf numFmtId="0" fontId="0" fillId="0" borderId="86" xfId="0" applyBorder="1"/>
    <xf numFmtId="0" fontId="3" fillId="36" borderId="72" xfId="0" applyFont="1" applyFill="1" applyBorder="1" applyAlignment="1">
      <alignment horizontal="center"/>
    </xf>
    <xf numFmtId="0" fontId="0" fillId="36" borderId="73" xfId="0" applyFill="1" applyBorder="1" applyAlignment="1">
      <alignment horizontal="center"/>
    </xf>
    <xf numFmtId="49" fontId="0" fillId="36" borderId="109" xfId="0" applyNumberFormat="1" applyFill="1" applyBorder="1" applyAlignment="1">
      <alignment horizontal="center"/>
    </xf>
    <xf numFmtId="0" fontId="0" fillId="36" borderId="92" xfId="0" applyFill="1" applyBorder="1" applyAlignment="1">
      <alignment horizontal="center"/>
    </xf>
    <xf numFmtId="0" fontId="0" fillId="36" borderId="73" xfId="0" applyFill="1" applyBorder="1"/>
    <xf numFmtId="0" fontId="7" fillId="36" borderId="73" xfId="0" applyFont="1" applyFill="1" applyBorder="1" applyAlignment="1">
      <alignment horizontal="center"/>
    </xf>
    <xf numFmtId="166" fontId="0" fillId="36" borderId="73" xfId="0" applyNumberFormat="1" applyFill="1" applyBorder="1"/>
    <xf numFmtId="44" fontId="0" fillId="36" borderId="92" xfId="0" applyNumberFormat="1" applyFill="1" applyBorder="1" applyAlignment="1">
      <alignment horizontal="center" vertical="center"/>
    </xf>
    <xf numFmtId="44" fontId="0" fillId="36" borderId="73" xfId="0" applyNumberFormat="1" applyFill="1" applyBorder="1" applyAlignment="1">
      <alignment horizontal="center" vertical="center"/>
    </xf>
    <xf numFmtId="0" fontId="0" fillId="36" borderId="73" xfId="0" applyFill="1" applyBorder="1" applyAlignment="1">
      <alignment horizontal="center" vertical="center"/>
    </xf>
    <xf numFmtId="14" fontId="0" fillId="36" borderId="73" xfId="0" applyNumberFormat="1" applyFill="1" applyBorder="1" applyAlignment="1">
      <alignment horizontal="center" vertical="center"/>
    </xf>
    <xf numFmtId="0" fontId="38" fillId="36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6" borderId="92" xfId="0" applyNumberFormat="1" applyFill="1" applyBorder="1" applyAlignment="1">
      <alignment horizontal="center" vertical="center"/>
    </xf>
    <xf numFmtId="10" fontId="0" fillId="36" borderId="73" xfId="0" applyNumberFormat="1" applyFill="1" applyBorder="1" applyAlignment="1">
      <alignment horizontal="center" vertical="center"/>
    </xf>
    <xf numFmtId="166" fontId="0" fillId="36" borderId="73" xfId="0" applyNumberFormat="1" applyFill="1" applyBorder="1" applyAlignment="1">
      <alignment horizontal="center" vertical="center"/>
    </xf>
    <xf numFmtId="0" fontId="0" fillId="9" borderId="86" xfId="0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0" fillId="9" borderId="2" xfId="0" applyFill="1" applyBorder="1"/>
    <xf numFmtId="0" fontId="7" fillId="9" borderId="2" xfId="0" applyFont="1" applyFill="1" applyBorder="1" applyAlignment="1">
      <alignment horizontal="center"/>
    </xf>
    <xf numFmtId="166" fontId="0" fillId="9" borderId="2" xfId="0" applyNumberFormat="1" applyFill="1" applyBorder="1"/>
    <xf numFmtId="49" fontId="0" fillId="9" borderId="2" xfId="0" applyNumberFormat="1" applyFill="1" applyBorder="1" applyAlignment="1">
      <alignment horizontal="center" vertical="center"/>
    </xf>
    <xf numFmtId="0" fontId="3" fillId="32" borderId="85" xfId="0" applyFont="1" applyFill="1" applyBorder="1" applyAlignment="1">
      <alignment horizontal="center"/>
    </xf>
    <xf numFmtId="0" fontId="0" fillId="32" borderId="63" xfId="0" applyFill="1" applyBorder="1" applyAlignment="1">
      <alignment horizontal="center"/>
    </xf>
    <xf numFmtId="49" fontId="0" fillId="32" borderId="108" xfId="0" applyNumberFormat="1" applyFill="1" applyBorder="1" applyAlignment="1">
      <alignment horizontal="center"/>
    </xf>
    <xf numFmtId="0" fontId="0" fillId="32" borderId="63" xfId="0" applyFill="1" applyBorder="1" applyAlignment="1">
      <alignment horizontal="center" vertical="center"/>
    </xf>
    <xf numFmtId="0" fontId="0" fillId="32" borderId="63" xfId="0" applyFill="1" applyBorder="1"/>
    <xf numFmtId="0" fontId="7" fillId="32" borderId="63" xfId="0" applyFont="1" applyFill="1" applyBorder="1" applyAlignment="1">
      <alignment horizontal="center"/>
    </xf>
    <xf numFmtId="166" fontId="0" fillId="32" borderId="63" xfId="0" applyNumberFormat="1" applyFill="1" applyBorder="1"/>
    <xf numFmtId="44" fontId="0" fillId="32" borderId="63" xfId="0" applyNumberFormat="1" applyFill="1" applyBorder="1" applyAlignment="1">
      <alignment horizontal="center" vertical="center"/>
    </xf>
    <xf numFmtId="44" fontId="0" fillId="32" borderId="84" xfId="0" applyNumberFormat="1" applyFill="1" applyBorder="1" applyAlignment="1">
      <alignment horizontal="center" vertical="center"/>
    </xf>
    <xf numFmtId="14" fontId="0" fillId="32" borderId="63" xfId="0" applyNumberFormat="1" applyFill="1" applyBorder="1" applyAlignment="1">
      <alignment horizontal="center" vertical="center"/>
    </xf>
    <xf numFmtId="0" fontId="38" fillId="32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2" borderId="63" xfId="0" applyNumberFormat="1" applyFill="1" applyBorder="1" applyAlignment="1">
      <alignment horizontal="center" vertical="center"/>
    </xf>
    <xf numFmtId="166" fontId="0" fillId="32" borderId="63" xfId="0" applyNumberFormat="1" applyFill="1" applyBorder="1" applyAlignment="1">
      <alignment horizontal="center" vertical="center"/>
    </xf>
    <xf numFmtId="4" fontId="0" fillId="32" borderId="63" xfId="0" applyNumberFormat="1" applyFill="1" applyBorder="1" applyAlignment="1">
      <alignment horizontal="center" vertical="center"/>
    </xf>
    <xf numFmtId="0" fontId="0" fillId="32" borderId="44" xfId="0" applyFill="1" applyBorder="1"/>
    <xf numFmtId="0" fontId="0" fillId="32" borderId="86" xfId="0" applyFill="1" applyBorder="1"/>
    <xf numFmtId="0" fontId="3" fillId="32" borderId="72" xfId="0" applyFont="1" applyFill="1" applyBorder="1" applyAlignment="1">
      <alignment horizontal="center"/>
    </xf>
    <xf numFmtId="0" fontId="0" fillId="32" borderId="73" xfId="0" applyFill="1" applyBorder="1" applyAlignment="1">
      <alignment horizontal="center"/>
    </xf>
    <xf numFmtId="49" fontId="0" fillId="32" borderId="109" xfId="0" applyNumberFormat="1" applyFill="1" applyBorder="1" applyAlignment="1">
      <alignment horizontal="center"/>
    </xf>
    <xf numFmtId="0" fontId="0" fillId="32" borderId="92" xfId="0" applyFill="1" applyBorder="1" applyAlignment="1">
      <alignment horizontal="center" vertical="center"/>
    </xf>
    <xf numFmtId="0" fontId="0" fillId="32" borderId="92" xfId="0" applyFill="1" applyBorder="1" applyAlignment="1">
      <alignment horizontal="center"/>
    </xf>
    <xf numFmtId="0" fontId="0" fillId="32" borderId="73" xfId="0" applyFill="1" applyBorder="1"/>
    <xf numFmtId="0" fontId="7" fillId="32" borderId="73" xfId="0" applyFont="1" applyFill="1" applyBorder="1" applyAlignment="1">
      <alignment horizontal="center"/>
    </xf>
    <xf numFmtId="166" fontId="0" fillId="32" borderId="73" xfId="0" applyNumberFormat="1" applyFill="1" applyBorder="1"/>
    <xf numFmtId="44" fontId="0" fillId="32" borderId="92" xfId="0" applyNumberFormat="1" applyFill="1" applyBorder="1" applyAlignment="1">
      <alignment horizontal="center" vertical="center"/>
    </xf>
    <xf numFmtId="44" fontId="0" fillId="32" borderId="73" xfId="0" applyNumberFormat="1" applyFill="1" applyBorder="1" applyAlignment="1">
      <alignment horizontal="center" vertical="center"/>
    </xf>
    <xf numFmtId="0" fontId="0" fillId="32" borderId="73" xfId="0" applyFill="1" applyBorder="1" applyAlignment="1">
      <alignment horizontal="center" vertical="center"/>
    </xf>
    <xf numFmtId="14" fontId="0" fillId="32" borderId="73" xfId="0" applyNumberFormat="1" applyFill="1" applyBorder="1" applyAlignment="1">
      <alignment horizontal="center" vertical="center"/>
    </xf>
    <xf numFmtId="0" fontId="38" fillId="32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2" borderId="92" xfId="0" applyNumberFormat="1" applyFill="1" applyBorder="1" applyAlignment="1">
      <alignment horizontal="center" vertical="center"/>
    </xf>
    <xf numFmtId="10" fontId="0" fillId="32" borderId="73" xfId="0" applyNumberFormat="1" applyFill="1" applyBorder="1" applyAlignment="1">
      <alignment horizontal="center" vertical="center"/>
    </xf>
    <xf numFmtId="166" fontId="0" fillId="32" borderId="73" xfId="0" applyNumberFormat="1" applyFill="1" applyBorder="1" applyAlignment="1">
      <alignment horizontal="center" vertical="center"/>
    </xf>
    <xf numFmtId="0" fontId="0" fillId="32" borderId="81" xfId="0" applyFill="1" applyBorder="1"/>
    <xf numFmtId="0" fontId="0" fillId="32" borderId="89" xfId="0" applyFill="1" applyBorder="1"/>
    <xf numFmtId="49" fontId="0" fillId="9" borderId="4" xfId="0" applyNumberForma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49" fontId="0" fillId="9" borderId="1" xfId="0" applyNumberFormat="1" applyFill="1" applyBorder="1" applyAlignment="1">
      <alignment horizontal="center" vertical="center"/>
    </xf>
    <xf numFmtId="0" fontId="0" fillId="37" borderId="44" xfId="0" applyFill="1" applyBorder="1"/>
    <xf numFmtId="0" fontId="0" fillId="37" borderId="86" xfId="0" applyFill="1" applyBorder="1"/>
    <xf numFmtId="0" fontId="3" fillId="9" borderId="62" xfId="0" applyFont="1" applyFill="1" applyBorder="1" applyAlignment="1">
      <alignment horizontal="center"/>
    </xf>
    <xf numFmtId="0" fontId="0" fillId="9" borderId="84" xfId="0" applyFill="1" applyBorder="1" applyAlignment="1">
      <alignment horizontal="center"/>
    </xf>
    <xf numFmtId="49" fontId="0" fillId="9" borderId="84" xfId="0" applyNumberFormat="1" applyFill="1" applyBorder="1" applyAlignment="1">
      <alignment horizontal="center"/>
    </xf>
    <xf numFmtId="0" fontId="0" fillId="9" borderId="84" xfId="0" applyFill="1" applyBorder="1"/>
    <xf numFmtId="0" fontId="3" fillId="9" borderId="84" xfId="0" applyFont="1" applyFill="1" applyBorder="1" applyAlignment="1">
      <alignment horizontal="center"/>
    </xf>
    <xf numFmtId="166" fontId="0" fillId="9" borderId="84" xfId="0" applyNumberFormat="1" applyFill="1" applyBorder="1"/>
    <xf numFmtId="0" fontId="38" fillId="9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9" borderId="84" xfId="0" applyNumberFormat="1" applyFill="1" applyBorder="1" applyAlignment="1">
      <alignment horizontal="center" vertical="center"/>
    </xf>
    <xf numFmtId="0" fontId="0" fillId="9" borderId="84" xfId="0" applyFill="1" applyBorder="1" applyAlignment="1">
      <alignment horizontal="center" vertical="center"/>
    </xf>
    <xf numFmtId="0" fontId="0" fillId="9" borderId="44" xfId="0" applyFill="1" applyBorder="1"/>
    <xf numFmtId="0" fontId="0" fillId="9" borderId="86" xfId="0" applyFill="1" applyBorder="1"/>
    <xf numFmtId="0" fontId="3" fillId="28" borderId="32" xfId="0" applyFont="1" applyFill="1" applyBorder="1" applyAlignment="1">
      <alignment horizontal="center"/>
    </xf>
    <xf numFmtId="0" fontId="0" fillId="9" borderId="87" xfId="0" applyFill="1" applyBorder="1"/>
    <xf numFmtId="0" fontId="3" fillId="9" borderId="32" xfId="0" applyFont="1" applyFill="1" applyBorder="1" applyAlignment="1">
      <alignment horizontal="center"/>
    </xf>
    <xf numFmtId="0" fontId="0" fillId="28" borderId="87" xfId="0" applyFill="1" applyBorder="1"/>
    <xf numFmtId="0" fontId="3" fillId="28" borderId="71" xfId="0" applyFont="1" applyFill="1" applyBorder="1" applyAlignment="1">
      <alignment horizontal="center"/>
    </xf>
    <xf numFmtId="0" fontId="3" fillId="9" borderId="72" xfId="0" applyFont="1" applyFill="1" applyBorder="1" applyAlignment="1">
      <alignment horizontal="center"/>
    </xf>
    <xf numFmtId="49" fontId="0" fillId="9" borderId="73" xfId="0" applyNumberFormat="1" applyFill="1" applyBorder="1" applyAlignment="1">
      <alignment horizontal="center"/>
    </xf>
    <xf numFmtId="0" fontId="0" fillId="9" borderId="73" xfId="0" applyFill="1" applyBorder="1" applyAlignment="1">
      <alignment horizontal="center" vertical="center"/>
    </xf>
    <xf numFmtId="0" fontId="0" fillId="9" borderId="73" xfId="0" applyFill="1" applyBorder="1"/>
    <xf numFmtId="0" fontId="3" fillId="9" borderId="73" xfId="0" applyFont="1" applyFill="1" applyBorder="1" applyAlignment="1">
      <alignment horizontal="center"/>
    </xf>
    <xf numFmtId="166" fontId="0" fillId="9" borderId="73" xfId="0" applyNumberFormat="1" applyFill="1" applyBorder="1"/>
    <xf numFmtId="0" fontId="38" fillId="9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9" borderId="73" xfId="0" applyNumberFormat="1" applyFill="1" applyBorder="1" applyAlignment="1">
      <alignment horizontal="center" vertical="center"/>
    </xf>
    <xf numFmtId="0" fontId="0" fillId="9" borderId="81" xfId="0" applyFill="1" applyBorder="1"/>
    <xf numFmtId="0" fontId="0" fillId="9" borderId="89" xfId="0" applyFill="1" applyBorder="1"/>
    <xf numFmtId="0" fontId="5" fillId="3" borderId="9" xfId="0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166" fontId="11" fillId="7" borderId="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166" fontId="11" fillId="6" borderId="9" xfId="0" applyNumberFormat="1" applyFont="1" applyFill="1" applyBorder="1" applyAlignment="1">
      <alignment horizontal="center" vertical="center"/>
    </xf>
    <xf numFmtId="166" fontId="11" fillId="6" borderId="10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11" fillId="6" borderId="10" xfId="0" applyNumberFormat="1" applyFont="1" applyFill="1" applyBorder="1" applyAlignment="1">
      <alignment horizontal="center" vertical="center"/>
    </xf>
    <xf numFmtId="2" fontId="11" fillId="7" borderId="10" xfId="0" applyNumberFormat="1" applyFont="1" applyFill="1" applyBorder="1" applyAlignment="1">
      <alignment horizontal="center" vertical="center"/>
    </xf>
    <xf numFmtId="166" fontId="11" fillId="7" borderId="10" xfId="0" applyNumberFormat="1" applyFont="1" applyFill="1" applyBorder="1" applyAlignment="1">
      <alignment horizontal="center" vertical="center"/>
    </xf>
    <xf numFmtId="10" fontId="11" fillId="7" borderId="10" xfId="0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49" fontId="0" fillId="9" borderId="10" xfId="0" applyNumberFormat="1" applyFill="1" applyBorder="1" applyAlignment="1">
      <alignment horizontal="center"/>
    </xf>
    <xf numFmtId="2" fontId="8" fillId="7" borderId="1" xfId="0" applyNumberFormat="1" applyFont="1" applyFill="1" applyBorder="1" applyAlignment="1">
      <alignment horizontal="center" vertical="center"/>
    </xf>
    <xf numFmtId="166" fontId="8" fillId="6" borderId="10" xfId="0" applyNumberFormat="1" applyFont="1" applyFill="1" applyBorder="1" applyAlignment="1">
      <alignment horizontal="center" vertical="center"/>
    </xf>
    <xf numFmtId="10" fontId="8" fillId="7" borderId="10" xfId="0" applyNumberFormat="1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/>
    </xf>
    <xf numFmtId="166" fontId="8" fillId="7" borderId="10" xfId="0" applyNumberFormat="1" applyFont="1" applyFill="1" applyBorder="1" applyAlignment="1">
      <alignment horizontal="center" vertical="center"/>
    </xf>
    <xf numFmtId="2" fontId="8" fillId="7" borderId="10" xfId="0" applyNumberFormat="1" applyFont="1" applyFill="1" applyBorder="1" applyAlignment="1">
      <alignment horizontal="center" vertical="center"/>
    </xf>
    <xf numFmtId="43" fontId="33" fillId="12" borderId="80" xfId="0" applyNumberFormat="1" applyFont="1" applyFill="1" applyBorder="1" applyAlignment="1">
      <alignment vertical="center"/>
    </xf>
    <xf numFmtId="43" fontId="33" fillId="12" borderId="72" xfId="0" applyNumberFormat="1" applyFont="1" applyFill="1" applyBorder="1" applyAlignment="1">
      <alignment vertical="center"/>
    </xf>
    <xf numFmtId="166" fontId="3" fillId="18" borderId="2" xfId="0" applyNumberFormat="1" applyFont="1" applyFill="1" applyBorder="1"/>
    <xf numFmtId="0" fontId="65" fillId="0" borderId="7" xfId="0" applyFont="1" applyBorder="1" applyAlignment="1">
      <alignment horizontal="center" readingOrder="1"/>
    </xf>
    <xf numFmtId="0" fontId="64" fillId="0" borderId="7" xfId="0" applyFont="1" applyBorder="1" applyAlignment="1">
      <alignment horizontal="center"/>
    </xf>
    <xf numFmtId="0" fontId="65" fillId="0" borderId="2" xfId="0" applyFont="1" applyBorder="1" applyAlignment="1">
      <alignment horizontal="center" readingOrder="1"/>
    </xf>
    <xf numFmtId="0" fontId="64" fillId="0" borderId="2" xfId="0" applyFont="1" applyBorder="1" applyAlignment="1">
      <alignment horizontal="center"/>
    </xf>
    <xf numFmtId="44" fontId="37" fillId="9" borderId="6" xfId="0" applyNumberFormat="1" applyFont="1" applyFill="1" applyBorder="1" applyAlignment="1">
      <alignment horizontal="center" vertical="center"/>
    </xf>
    <xf numFmtId="44" fontId="37" fillId="9" borderId="7" xfId="0" applyNumberFormat="1" applyFont="1" applyFill="1" applyBorder="1" applyAlignment="1">
      <alignment horizontal="center" vertical="center"/>
    </xf>
    <xf numFmtId="44" fontId="37" fillId="9" borderId="8" xfId="0" applyNumberFormat="1" applyFont="1" applyFill="1" applyBorder="1" applyAlignment="1">
      <alignment horizontal="center" vertical="center"/>
    </xf>
    <xf numFmtId="0" fontId="35" fillId="28" borderId="6" xfId="0" applyFont="1" applyFill="1" applyBorder="1"/>
    <xf numFmtId="0" fontId="35" fillId="28" borderId="7" xfId="0" applyFont="1" applyFill="1" applyBorder="1" applyAlignment="1">
      <alignment horizontal="center"/>
    </xf>
    <xf numFmtId="0" fontId="35" fillId="28" borderId="8" xfId="0" applyFont="1" applyFill="1" applyBorder="1" applyAlignment="1">
      <alignment horizontal="center"/>
    </xf>
    <xf numFmtId="0" fontId="35" fillId="28" borderId="7" xfId="0" applyFont="1" applyFill="1" applyBorder="1"/>
    <xf numFmtId="44" fontId="66" fillId="9" borderId="8" xfId="0" applyNumberFormat="1" applyFont="1" applyFill="1" applyBorder="1" applyAlignment="1">
      <alignment horizontal="center"/>
    </xf>
    <xf numFmtId="44" fontId="66" fillId="9" borderId="7" xfId="0" applyNumberFormat="1" applyFont="1" applyFill="1" applyBorder="1" applyAlignment="1">
      <alignment horizontal="center"/>
    </xf>
    <xf numFmtId="0" fontId="66" fillId="0" borderId="7" xfId="0" applyFont="1" applyBorder="1"/>
    <xf numFmtId="10" fontId="0" fillId="9" borderId="84" xfId="0" applyNumberFormat="1" applyFill="1" applyBorder="1" applyAlignment="1">
      <alignment horizontal="center" vertical="center"/>
    </xf>
    <xf numFmtId="10" fontId="0" fillId="9" borderId="73" xfId="0" applyNumberFormat="1" applyFill="1" applyBorder="1" applyAlignment="1">
      <alignment horizontal="center" vertical="center"/>
    </xf>
    <xf numFmtId="14" fontId="11" fillId="7" borderId="10" xfId="0" applyNumberFormat="1" applyFont="1" applyFill="1" applyBorder="1" applyAlignment="1">
      <alignment horizontal="center" vertical="center"/>
    </xf>
    <xf numFmtId="14" fontId="0" fillId="9" borderId="84" xfId="0" applyNumberFormat="1" applyFill="1" applyBorder="1" applyAlignment="1">
      <alignment horizontal="center" vertical="center"/>
    </xf>
    <xf numFmtId="14" fontId="0" fillId="28" borderId="1" xfId="0" applyNumberFormat="1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38" fillId="28" borderId="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9" borderId="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9" borderId="92" xfId="0" applyNumberFormat="1" applyFill="1" applyBorder="1" applyAlignment="1">
      <alignment horizontal="center" vertical="center"/>
    </xf>
    <xf numFmtId="0" fontId="0" fillId="9" borderId="92" xfId="0" applyFill="1" applyBorder="1" applyAlignment="1">
      <alignment horizontal="center" vertical="center"/>
    </xf>
    <xf numFmtId="9" fontId="0" fillId="28" borderId="7" xfId="0" applyNumberForma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49" fontId="68" fillId="5" borderId="1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9" fontId="0" fillId="10" borderId="7" xfId="0" applyNumberFormat="1" applyFill="1" applyBorder="1" applyAlignment="1">
      <alignment horizontal="center" vertical="center"/>
    </xf>
    <xf numFmtId="9" fontId="0" fillId="12" borderId="7" xfId="0" applyNumberForma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4" fontId="36" fillId="0" borderId="0" xfId="0" applyNumberFormat="1" applyFont="1" applyAlignment="1">
      <alignment horizontal="center"/>
    </xf>
    <xf numFmtId="44" fontId="37" fillId="9" borderId="4" xfId="0" applyNumberFormat="1" applyFont="1" applyFill="1" applyBorder="1" applyAlignment="1">
      <alignment horizontal="center" vertical="center"/>
    </xf>
    <xf numFmtId="44" fontId="37" fillId="9" borderId="1" xfId="0" applyNumberFormat="1" applyFont="1" applyFill="1" applyBorder="1" applyAlignment="1">
      <alignment horizontal="center" vertical="center"/>
    </xf>
    <xf numFmtId="4" fontId="66" fillId="9" borderId="18" xfId="0" applyNumberFormat="1" applyFont="1" applyFill="1" applyBorder="1"/>
    <xf numFmtId="4" fontId="66" fillId="9" borderId="1" xfId="0" applyNumberFormat="1" applyFont="1" applyFill="1" applyBorder="1"/>
    <xf numFmtId="44" fontId="37" fillId="9" borderId="18" xfId="0" applyNumberFormat="1" applyFont="1" applyFill="1" applyBorder="1" applyAlignment="1">
      <alignment horizontal="center" vertical="center"/>
    </xf>
    <xf numFmtId="0" fontId="67" fillId="0" borderId="1" xfId="0" applyFont="1" applyBorder="1"/>
    <xf numFmtId="0" fontId="66" fillId="0" borderId="1" xfId="0" applyFont="1" applyBorder="1"/>
    <xf numFmtId="44" fontId="35" fillId="0" borderId="7" xfId="0" applyNumberFormat="1" applyFont="1" applyBorder="1"/>
    <xf numFmtId="4" fontId="24" fillId="0" borderId="72" xfId="0" applyNumberFormat="1" applyFont="1" applyBorder="1" applyAlignment="1">
      <alignment vertical="center"/>
    </xf>
    <xf numFmtId="44" fontId="0" fillId="0" borderId="2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28" borderId="7" xfId="0" applyNumberFormat="1" applyFill="1" applyBorder="1" applyAlignment="1">
      <alignment horizontal="center"/>
    </xf>
    <xf numFmtId="44" fontId="0" fillId="9" borderId="7" xfId="0" applyNumberFormat="1" applyFill="1" applyBorder="1" applyAlignment="1">
      <alignment horizontal="center"/>
    </xf>
    <xf numFmtId="0" fontId="3" fillId="38" borderId="72" xfId="0" applyFont="1" applyFill="1" applyBorder="1" applyAlignment="1">
      <alignment horizontal="center"/>
    </xf>
    <xf numFmtId="166" fontId="0" fillId="38" borderId="63" xfId="0" applyNumberFormat="1" applyFill="1" applyBorder="1"/>
    <xf numFmtId="0" fontId="0" fillId="38" borderId="63" xfId="0" applyFill="1" applyBorder="1"/>
    <xf numFmtId="44" fontId="0" fillId="38" borderId="63" xfId="0" applyNumberFormat="1" applyFill="1" applyBorder="1" applyAlignment="1">
      <alignment horizontal="center" vertical="center"/>
    </xf>
    <xf numFmtId="0" fontId="0" fillId="38" borderId="100" xfId="0" applyFill="1" applyBorder="1" applyAlignment="1">
      <alignment horizontal="center" vertical="center"/>
    </xf>
    <xf numFmtId="14" fontId="0" fillId="38" borderId="63" xfId="0" applyNumberFormat="1" applyFill="1" applyBorder="1" applyAlignment="1">
      <alignment horizontal="center" vertical="center"/>
    </xf>
    <xf numFmtId="0" fontId="0" fillId="38" borderId="63" xfId="0" applyFill="1" applyBorder="1" applyAlignment="1">
      <alignment horizontal="center" vertical="center"/>
    </xf>
    <xf numFmtId="0" fontId="38" fillId="38" borderId="6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8" borderId="63" xfId="0" applyNumberFormat="1" applyFill="1" applyBorder="1" applyAlignment="1">
      <alignment horizontal="center" vertical="center"/>
    </xf>
    <xf numFmtId="166" fontId="0" fillId="38" borderId="63" xfId="0" applyNumberFormat="1" applyFill="1" applyBorder="1" applyAlignment="1">
      <alignment horizontal="center" vertical="center"/>
    </xf>
    <xf numFmtId="4" fontId="0" fillId="38" borderId="63" xfId="0" applyNumberFormat="1" applyFill="1" applyBorder="1" applyAlignment="1">
      <alignment horizontal="center" vertical="center"/>
    </xf>
    <xf numFmtId="44" fontId="0" fillId="38" borderId="84" xfId="0" applyNumberFormat="1" applyFill="1" applyBorder="1" applyAlignment="1">
      <alignment horizontal="center" vertical="center"/>
    </xf>
    <xf numFmtId="166" fontId="0" fillId="38" borderId="73" xfId="0" applyNumberFormat="1" applyFill="1" applyBorder="1"/>
    <xf numFmtId="0" fontId="0" fillId="38" borderId="73" xfId="0" applyFill="1" applyBorder="1"/>
    <xf numFmtId="44" fontId="0" fillId="38" borderId="92" xfId="0" applyNumberFormat="1" applyFill="1" applyBorder="1" applyAlignment="1">
      <alignment horizontal="center" vertical="center"/>
    </xf>
    <xf numFmtId="44" fontId="0" fillId="38" borderId="73" xfId="0" applyNumberFormat="1" applyFill="1" applyBorder="1" applyAlignment="1">
      <alignment horizontal="center" vertical="center"/>
    </xf>
    <xf numFmtId="0" fontId="0" fillId="38" borderId="102" xfId="0" applyFill="1" applyBorder="1" applyAlignment="1">
      <alignment horizontal="center" vertical="center"/>
    </xf>
    <xf numFmtId="14" fontId="0" fillId="38" borderId="73" xfId="0" applyNumberFormat="1" applyFill="1" applyBorder="1" applyAlignment="1">
      <alignment horizontal="center" vertical="center"/>
    </xf>
    <xf numFmtId="0" fontId="0" fillId="38" borderId="73" xfId="0" applyFill="1" applyBorder="1" applyAlignment="1">
      <alignment horizontal="center" vertical="center"/>
    </xf>
    <xf numFmtId="0" fontId="38" fillId="38" borderId="73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38" borderId="92" xfId="0" applyNumberFormat="1" applyFill="1" applyBorder="1" applyAlignment="1">
      <alignment horizontal="center" vertical="center"/>
    </xf>
    <xf numFmtId="10" fontId="0" fillId="38" borderId="73" xfId="0" applyNumberFormat="1" applyFill="1" applyBorder="1" applyAlignment="1">
      <alignment horizontal="center" vertical="center"/>
    </xf>
    <xf numFmtId="166" fontId="0" fillId="38" borderId="73" xfId="0" applyNumberFormat="1" applyFill="1" applyBorder="1" applyAlignment="1">
      <alignment horizontal="center" vertical="center"/>
    </xf>
    <xf numFmtId="0" fontId="3" fillId="38" borderId="85" xfId="0" applyFont="1" applyFill="1" applyBorder="1" applyAlignment="1">
      <alignment horizontal="center"/>
    </xf>
    <xf numFmtId="0" fontId="0" fillId="38" borderId="63" xfId="0" applyFill="1" applyBorder="1" applyAlignment="1">
      <alignment horizontal="center"/>
    </xf>
    <xf numFmtId="49" fontId="0" fillId="38" borderId="110" xfId="0" applyNumberFormat="1" applyFill="1" applyBorder="1" applyAlignment="1">
      <alignment horizontal="center"/>
    </xf>
    <xf numFmtId="0" fontId="0" fillId="38" borderId="100" xfId="0" applyFill="1" applyBorder="1" applyAlignment="1">
      <alignment horizontal="center"/>
    </xf>
    <xf numFmtId="49" fontId="0" fillId="38" borderId="7" xfId="0" applyNumberFormat="1" applyFill="1" applyBorder="1" applyAlignment="1">
      <alignment horizontal="center"/>
    </xf>
    <xf numFmtId="0" fontId="0" fillId="38" borderId="108" xfId="0" applyFill="1" applyBorder="1"/>
    <xf numFmtId="0" fontId="7" fillId="38" borderId="63" xfId="0" applyFont="1" applyFill="1" applyBorder="1" applyAlignment="1">
      <alignment horizontal="center"/>
    </xf>
    <xf numFmtId="0" fontId="3" fillId="38" borderId="63" xfId="0" applyFont="1" applyFill="1" applyBorder="1" applyAlignment="1">
      <alignment horizontal="center"/>
    </xf>
    <xf numFmtId="0" fontId="0" fillId="38" borderId="73" xfId="0" applyFill="1" applyBorder="1" applyAlignment="1">
      <alignment horizontal="center"/>
    </xf>
    <xf numFmtId="49" fontId="0" fillId="38" borderId="48" xfId="0" applyNumberFormat="1" applyFill="1" applyBorder="1" applyAlignment="1">
      <alignment horizontal="center"/>
    </xf>
    <xf numFmtId="0" fontId="0" fillId="38" borderId="92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/>
    </xf>
    <xf numFmtId="0" fontId="0" fillId="38" borderId="109" xfId="0" applyFill="1" applyBorder="1"/>
    <xf numFmtId="0" fontId="7" fillId="38" borderId="73" xfId="0" applyFont="1" applyFill="1" applyBorder="1" applyAlignment="1">
      <alignment horizontal="center"/>
    </xf>
    <xf numFmtId="0" fontId="3" fillId="38" borderId="73" xfId="0" applyFont="1" applyFill="1" applyBorder="1" applyAlignment="1">
      <alignment horizontal="center"/>
    </xf>
    <xf numFmtId="166" fontId="0" fillId="38" borderId="2" xfId="0" applyNumberFormat="1" applyFill="1" applyBorder="1" applyAlignment="1">
      <alignment horizontal="center" vertical="center"/>
    </xf>
    <xf numFmtId="166" fontId="12" fillId="38" borderId="63" xfId="0" applyNumberFormat="1" applyFont="1" applyFill="1" applyBorder="1" applyAlignment="1">
      <alignment horizontal="center" vertical="center"/>
    </xf>
    <xf numFmtId="14" fontId="3" fillId="9" borderId="7" xfId="0" applyNumberFormat="1" applyFont="1" applyFill="1" applyBorder="1" applyAlignment="1">
      <alignment horizontal="center" vertical="center"/>
    </xf>
    <xf numFmtId="14" fontId="3" fillId="28" borderId="7" xfId="0" applyNumberFormat="1" applyFont="1" applyFill="1" applyBorder="1" applyAlignment="1">
      <alignment horizontal="center" vertical="center"/>
    </xf>
    <xf numFmtId="14" fontId="33" fillId="0" borderId="0" xfId="0" applyNumberFormat="1" applyFont="1"/>
    <xf numFmtId="4" fontId="33" fillId="0" borderId="28" xfId="0" applyNumberFormat="1" applyFont="1" applyBorder="1"/>
    <xf numFmtId="49" fontId="22" fillId="9" borderId="7" xfId="0" applyNumberFormat="1" applyFont="1" applyFill="1" applyBorder="1" applyAlignment="1">
      <alignment horizontal="center"/>
    </xf>
    <xf numFmtId="4" fontId="33" fillId="12" borderId="6" xfId="0" applyNumberFormat="1" applyFont="1" applyFill="1" applyBorder="1"/>
    <xf numFmtId="49" fontId="22" fillId="9" borderId="1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/>
    </xf>
    <xf numFmtId="49" fontId="0" fillId="31" borderId="7" xfId="0" applyNumberFormat="1" applyFill="1" applyBorder="1" applyAlignment="1">
      <alignment horizontal="center"/>
    </xf>
    <xf numFmtId="49" fontId="12" fillId="9" borderId="7" xfId="0" applyNumberFormat="1" applyFont="1" applyFill="1" applyBorder="1" applyAlignment="1">
      <alignment horizontal="center"/>
    </xf>
    <xf numFmtId="49" fontId="0" fillId="28" borderId="0" xfId="0" applyNumberFormat="1" applyFill="1" applyAlignment="1">
      <alignment horizontal="center"/>
    </xf>
    <xf numFmtId="166" fontId="8" fillId="6" borderId="12" xfId="0" applyNumberFormat="1" applyFont="1" applyFill="1" applyBorder="1" applyAlignment="1">
      <alignment horizontal="center" vertical="center"/>
    </xf>
    <xf numFmtId="166" fontId="0" fillId="38" borderId="92" xfId="0" applyNumberFormat="1" applyFill="1" applyBorder="1" applyAlignment="1">
      <alignment horizontal="center" vertical="center"/>
    </xf>
    <xf numFmtId="166" fontId="0" fillId="28" borderId="1" xfId="0" applyNumberFormat="1" applyFill="1" applyBorder="1"/>
    <xf numFmtId="4" fontId="33" fillId="12" borderId="31" xfId="0" applyNumberFormat="1" applyFont="1" applyFill="1" applyBorder="1" applyAlignment="1">
      <alignment vertical="center"/>
    </xf>
    <xf numFmtId="4" fontId="24" fillId="0" borderId="30" xfId="0" applyNumberFormat="1" applyFont="1" applyBorder="1" applyAlignment="1">
      <alignment vertical="center"/>
    </xf>
    <xf numFmtId="4" fontId="26" fillId="0" borderId="31" xfId="0" applyNumberFormat="1" applyFont="1" applyBorder="1" applyAlignment="1">
      <alignment vertical="center"/>
    </xf>
    <xf numFmtId="4" fontId="29" fillId="0" borderId="3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9" fillId="39" borderId="7" xfId="0" applyFont="1" applyFill="1" applyBorder="1"/>
    <xf numFmtId="0" fontId="69" fillId="39" borderId="6" xfId="0" applyFont="1" applyFill="1" applyBorder="1"/>
    <xf numFmtId="0" fontId="69" fillId="39" borderId="4" xfId="0" applyFont="1" applyFill="1" applyBorder="1"/>
    <xf numFmtId="0" fontId="69" fillId="39" borderId="6" xfId="0" applyFont="1" applyFill="1" applyBorder="1" applyAlignment="1">
      <alignment wrapText="1"/>
    </xf>
    <xf numFmtId="0" fontId="69" fillId="39" borderId="4" xfId="0" applyFont="1" applyFill="1" applyBorder="1" applyAlignment="1">
      <alignment wrapText="1"/>
    </xf>
    <xf numFmtId="0" fontId="69" fillId="40" borderId="6" xfId="0" applyFont="1" applyFill="1" applyBorder="1"/>
    <xf numFmtId="17" fontId="69" fillId="0" borderId="7" xfId="0" applyNumberFormat="1" applyFont="1" applyBorder="1" applyAlignment="1">
      <alignment wrapText="1"/>
    </xf>
    <xf numFmtId="14" fontId="71" fillId="0" borderId="69" xfId="0" applyNumberFormat="1" applyFont="1" applyBorder="1"/>
    <xf numFmtId="8" fontId="71" fillId="0" borderId="7" xfId="0" applyNumberFormat="1" applyFont="1" applyBorder="1"/>
    <xf numFmtId="17" fontId="69" fillId="0" borderId="7" xfId="0" applyNumberFormat="1" applyFont="1" applyBorder="1"/>
    <xf numFmtId="8" fontId="71" fillId="0" borderId="7" xfId="0" applyNumberFormat="1" applyFont="1" applyBorder="1" applyAlignment="1">
      <alignment wrapText="1"/>
    </xf>
    <xf numFmtId="14" fontId="71" fillId="12" borderId="69" xfId="0" applyNumberFormat="1" applyFont="1" applyFill="1" applyBorder="1"/>
    <xf numFmtId="0" fontId="69" fillId="40" borderId="4" xfId="0" applyFont="1" applyFill="1" applyBorder="1"/>
    <xf numFmtId="17" fontId="69" fillId="0" borderId="1" xfId="0" applyNumberFormat="1" applyFont="1" applyBorder="1"/>
    <xf numFmtId="14" fontId="71" fillId="0" borderId="0" xfId="0" applyNumberFormat="1" applyFont="1"/>
    <xf numFmtId="14" fontId="71" fillId="0" borderId="8" xfId="0" applyNumberFormat="1" applyFont="1" applyBorder="1"/>
    <xf numFmtId="17" fontId="69" fillId="0" borderId="3" xfId="0" applyNumberFormat="1" applyFont="1" applyBorder="1"/>
    <xf numFmtId="8" fontId="71" fillId="0" borderId="8" xfId="0" applyNumberFormat="1" applyFont="1" applyBorder="1" applyAlignment="1">
      <alignment wrapText="1"/>
    </xf>
    <xf numFmtId="0" fontId="69" fillId="40" borderId="3" xfId="0" applyFont="1" applyFill="1" applyBorder="1"/>
    <xf numFmtId="17" fontId="69" fillId="0" borderId="2" xfId="0" applyNumberFormat="1" applyFont="1" applyBorder="1"/>
    <xf numFmtId="17" fontId="69" fillId="0" borderId="69" xfId="0" applyNumberFormat="1" applyFont="1" applyBorder="1"/>
    <xf numFmtId="17" fontId="69" fillId="0" borderId="8" xfId="0" applyNumberFormat="1" applyFont="1" applyBorder="1"/>
    <xf numFmtId="17" fontId="69" fillId="0" borderId="0" xfId="0" applyNumberFormat="1" applyFont="1"/>
    <xf numFmtId="17" fontId="69" fillId="0" borderId="18" xfId="0" applyNumberFormat="1" applyFont="1" applyBorder="1"/>
    <xf numFmtId="14" fontId="71" fillId="0" borderId="18" xfId="0" applyNumberFormat="1" applyFont="1" applyBorder="1"/>
    <xf numFmtId="8" fontId="71" fillId="0" borderId="18" xfId="0" applyNumberFormat="1" applyFont="1" applyBorder="1" applyAlignment="1">
      <alignment wrapText="1"/>
    </xf>
    <xf numFmtId="0" fontId="72" fillId="39" borderId="8" xfId="0" applyFont="1" applyFill="1" applyBorder="1"/>
    <xf numFmtId="0" fontId="72" fillId="39" borderId="34" xfId="0" applyFont="1" applyFill="1" applyBorder="1"/>
    <xf numFmtId="0" fontId="72" fillId="39" borderId="6" xfId="0" applyFont="1" applyFill="1" applyBorder="1"/>
    <xf numFmtId="8" fontId="71" fillId="39" borderId="6" xfId="0" applyNumberFormat="1" applyFont="1" applyFill="1" applyBorder="1"/>
    <xf numFmtId="0" fontId="72" fillId="0" borderId="0" xfId="0" applyFont="1"/>
    <xf numFmtId="8" fontId="0" fillId="0" borderId="7" xfId="0" applyNumberFormat="1" applyBorder="1"/>
    <xf numFmtId="8" fontId="0" fillId="0" borderId="1" xfId="0" applyNumberFormat="1" applyBorder="1"/>
    <xf numFmtId="0" fontId="64" fillId="0" borderId="68" xfId="0" applyFont="1" applyBorder="1" applyAlignment="1">
      <alignment horizontal="center"/>
    </xf>
    <xf numFmtId="0" fontId="64" fillId="18" borderId="7" xfId="0" applyFont="1" applyFill="1" applyBorder="1" applyAlignment="1">
      <alignment horizontal="center" vertical="center"/>
    </xf>
    <xf numFmtId="0" fontId="56" fillId="10" borderId="1" xfId="0" applyFont="1" applyFill="1" applyBorder="1" applyAlignment="1">
      <alignment horizontal="center" vertical="center"/>
    </xf>
    <xf numFmtId="0" fontId="12" fillId="28" borderId="7" xfId="0" applyFont="1" applyFill="1" applyBorder="1" applyAlignment="1">
      <alignment horizontal="center" vertical="center"/>
    </xf>
    <xf numFmtId="49" fontId="12" fillId="28" borderId="7" xfId="0" applyNumberFormat="1" applyFont="1" applyFill="1" applyBorder="1" applyAlignment="1">
      <alignment horizontal="center"/>
    </xf>
    <xf numFmtId="2" fontId="75" fillId="28" borderId="7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8" borderId="7" xfId="0" applyFont="1" applyFill="1" applyBorder="1" applyAlignment="1">
      <alignment horizontal="center" vertical="center"/>
    </xf>
    <xf numFmtId="0" fontId="12" fillId="28" borderId="7" xfId="0" applyFont="1" applyFill="1" applyBorder="1" applyAlignment="1">
      <alignment horizontal="center"/>
    </xf>
    <xf numFmtId="49" fontId="12" fillId="28" borderId="7" xfId="0" quotePrefix="1" applyNumberFormat="1" applyFont="1" applyFill="1" applyBorder="1" applyAlignment="1">
      <alignment horizontal="center" vertical="center"/>
    </xf>
    <xf numFmtId="166" fontId="12" fillId="28" borderId="7" xfId="0" applyNumberFormat="1" applyFont="1" applyFill="1" applyBorder="1" applyAlignment="1">
      <alignment horizontal="center"/>
    </xf>
    <xf numFmtId="49" fontId="12" fillId="28" borderId="7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28" borderId="7" xfId="0" applyNumberFormat="1" applyFont="1" applyFill="1" applyBorder="1" applyAlignment="1">
      <alignment horizontal="center" vertical="center"/>
    </xf>
    <xf numFmtId="165" fontId="7" fillId="28" borderId="7" xfId="0" applyNumberFormat="1" applyFont="1" applyFill="1" applyBorder="1" applyAlignment="1">
      <alignment horizontal="center" vertical="center"/>
    </xf>
    <xf numFmtId="2" fontId="7" fillId="28" borderId="7" xfId="0" applyNumberFormat="1" applyFont="1" applyFill="1" applyBorder="1" applyAlignment="1">
      <alignment horizontal="center" vertical="center"/>
    </xf>
    <xf numFmtId="9" fontId="12" fillId="28" borderId="7" xfId="0" applyNumberFormat="1" applyFont="1" applyFill="1" applyBorder="1" applyAlignment="1">
      <alignment horizontal="center" vertical="center"/>
    </xf>
    <xf numFmtId="10" fontId="7" fillId="28" borderId="7" xfId="0" applyNumberFormat="1" applyFont="1" applyFill="1" applyBorder="1" applyAlignment="1">
      <alignment horizontal="center" vertical="center"/>
    </xf>
    <xf numFmtId="49" fontId="12" fillId="41" borderId="7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6" xfId="0" applyFont="1" applyFill="1" applyBorder="1" applyAlignment="1">
      <alignment horizontal="center" vertical="center"/>
    </xf>
    <xf numFmtId="49" fontId="8" fillId="5" borderId="11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8" fillId="5" borderId="11" xfId="0" applyNumberFormat="1" applyFont="1" applyFill="1" applyBorder="1" applyAlignment="1">
      <alignment horizontal="center" vertical="center"/>
    </xf>
    <xf numFmtId="165" fontId="8" fillId="5" borderId="11" xfId="0" applyNumberFormat="1" applyFont="1" applyFill="1" applyBorder="1" applyAlignment="1">
      <alignment horizontal="center" vertical="center"/>
    </xf>
    <xf numFmtId="2" fontId="8" fillId="5" borderId="11" xfId="0" applyNumberFormat="1" applyFont="1" applyFill="1" applyBorder="1" applyAlignment="1">
      <alignment horizontal="center" vertical="center"/>
    </xf>
    <xf numFmtId="10" fontId="8" fillId="5" borderId="11" xfId="0" applyNumberFormat="1" applyFont="1" applyFill="1" applyBorder="1" applyAlignment="1">
      <alignment horizontal="center" vertical="center"/>
    </xf>
    <xf numFmtId="10" fontId="8" fillId="6" borderId="11" xfId="0" applyNumberFormat="1" applyFont="1" applyFill="1" applyBorder="1" applyAlignment="1">
      <alignment horizontal="center" vertical="center"/>
    </xf>
    <xf numFmtId="164" fontId="8" fillId="6" borderId="11" xfId="0" applyNumberFormat="1" applyFont="1" applyFill="1" applyBorder="1" applyAlignment="1">
      <alignment horizontal="center" vertical="center"/>
    </xf>
    <xf numFmtId="165" fontId="8" fillId="6" borderId="11" xfId="0" applyNumberFormat="1" applyFont="1" applyFill="1" applyBorder="1" applyAlignment="1">
      <alignment horizontal="center" vertical="center"/>
    </xf>
    <xf numFmtId="2" fontId="8" fillId="6" borderId="11" xfId="0" applyNumberFormat="1" applyFont="1" applyFill="1" applyBorder="1" applyAlignment="1">
      <alignment horizontal="center" vertical="center"/>
    </xf>
    <xf numFmtId="165" fontId="8" fillId="7" borderId="11" xfId="0" applyNumberFormat="1" applyFont="1" applyFill="1" applyBorder="1" applyAlignment="1">
      <alignment horizontal="center" vertical="center"/>
    </xf>
    <xf numFmtId="49" fontId="12" fillId="28" borderId="7" xfId="0" applyNumberFormat="1" applyFont="1" applyFill="1" applyBorder="1" applyAlignment="1">
      <alignment horizontal="center" vertical="center"/>
    </xf>
    <xf numFmtId="0" fontId="74" fillId="28" borderId="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2" fontId="8" fillId="7" borderId="112" xfId="0" applyNumberFormat="1" applyFont="1" applyFill="1" applyBorder="1" applyAlignment="1">
      <alignment horizontal="center" vertical="center"/>
    </xf>
    <xf numFmtId="2" fontId="8" fillId="6" borderId="112" xfId="0" applyNumberFormat="1" applyFont="1" applyFill="1" applyBorder="1" applyAlignment="1">
      <alignment horizontal="center" vertical="center"/>
    </xf>
    <xf numFmtId="164" fontId="8" fillId="6" borderId="112" xfId="0" applyNumberFormat="1" applyFont="1" applyFill="1" applyBorder="1" applyAlignment="1">
      <alignment horizontal="center" vertical="center"/>
    </xf>
    <xf numFmtId="165" fontId="8" fillId="6" borderId="112" xfId="0" applyNumberFormat="1" applyFont="1" applyFill="1" applyBorder="1" applyAlignment="1">
      <alignment horizontal="center" vertical="center"/>
    </xf>
    <xf numFmtId="164" fontId="8" fillId="7" borderId="112" xfId="0" applyNumberFormat="1" applyFont="1" applyFill="1" applyBorder="1" applyAlignment="1">
      <alignment horizontal="center" vertical="center"/>
    </xf>
    <xf numFmtId="165" fontId="8" fillId="7" borderId="112" xfId="0" applyNumberFormat="1" applyFont="1" applyFill="1" applyBorder="1" applyAlignment="1">
      <alignment horizontal="center" vertical="center"/>
    </xf>
    <xf numFmtId="49" fontId="8" fillId="6" borderId="112" xfId="0" applyNumberFormat="1" applyFont="1" applyFill="1" applyBorder="1" applyAlignment="1">
      <alignment horizontal="center" vertical="center"/>
    </xf>
    <xf numFmtId="49" fontId="8" fillId="7" borderId="112" xfId="0" applyNumberFormat="1" applyFont="1" applyFill="1" applyBorder="1" applyAlignment="1">
      <alignment horizontal="center" vertical="center"/>
    </xf>
    <xf numFmtId="164" fontId="8" fillId="5" borderId="112" xfId="0" applyNumberFormat="1" applyFont="1" applyFill="1" applyBorder="1" applyAlignment="1">
      <alignment horizontal="center" vertical="center"/>
    </xf>
    <xf numFmtId="165" fontId="8" fillId="5" borderId="112" xfId="0" applyNumberFormat="1" applyFont="1" applyFill="1" applyBorder="1" applyAlignment="1">
      <alignment horizontal="center" vertical="center"/>
    </xf>
    <xf numFmtId="2" fontId="8" fillId="5" borderId="112" xfId="0" applyNumberFormat="1" applyFont="1" applyFill="1" applyBorder="1" applyAlignment="1">
      <alignment horizontal="center" vertical="center"/>
    </xf>
    <xf numFmtId="2" fontId="7" fillId="28" borderId="18" xfId="0" applyNumberFormat="1" applyFont="1" applyFill="1" applyBorder="1" applyAlignment="1">
      <alignment horizontal="center" vertical="center"/>
    </xf>
    <xf numFmtId="0" fontId="74" fillId="30" borderId="18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28" borderId="18" xfId="0" applyNumberFormat="1" applyFont="1" applyFill="1" applyBorder="1" applyAlignment="1">
      <alignment horizontal="center" vertical="center"/>
    </xf>
    <xf numFmtId="165" fontId="7" fillId="28" borderId="18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2" fontId="75" fillId="28" borderId="18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9" borderId="1" xfId="0" applyFont="1" applyFill="1" applyBorder="1" applyAlignment="1">
      <alignment horizontal="center" vertical="center"/>
    </xf>
    <xf numFmtId="49" fontId="12" fillId="9" borderId="1" xfId="0" quotePrefix="1" applyNumberFormat="1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1" xfId="0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9" fontId="12" fillId="9" borderId="1" xfId="0" applyNumberFormat="1" applyFont="1" applyFill="1" applyBorder="1" applyAlignment="1">
      <alignment horizontal="center" vertical="center"/>
    </xf>
    <xf numFmtId="0" fontId="12" fillId="31" borderId="7" xfId="0" applyFont="1" applyFill="1" applyBorder="1" applyAlignment="1">
      <alignment horizontal="center" vertical="center"/>
    </xf>
    <xf numFmtId="164" fontId="12" fillId="28" borderId="7" xfId="0" applyNumberFormat="1" applyFont="1" applyFill="1" applyBorder="1" applyAlignment="1">
      <alignment horizontal="center" vertical="center"/>
    </xf>
    <xf numFmtId="165" fontId="12" fillId="28" borderId="7" xfId="0" applyNumberFormat="1" applyFont="1" applyFill="1" applyBorder="1" applyAlignment="1">
      <alignment horizontal="center" vertical="center"/>
    </xf>
    <xf numFmtId="2" fontId="12" fillId="28" borderId="7" xfId="0" applyNumberFormat="1" applyFont="1" applyFill="1" applyBorder="1" applyAlignment="1">
      <alignment horizontal="center" vertical="center"/>
    </xf>
    <xf numFmtId="1" fontId="12" fillId="28" borderId="7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77" fillId="0" borderId="7" xfId="0" applyFont="1" applyBorder="1"/>
    <xf numFmtId="0" fontId="33" fillId="43" borderId="7" xfId="0" applyFont="1" applyFill="1" applyBorder="1"/>
    <xf numFmtId="0" fontId="28" fillId="0" borderId="114" xfId="0" applyFont="1" applyBorder="1" applyAlignment="1">
      <alignment wrapText="1"/>
    </xf>
    <xf numFmtId="0" fontId="76" fillId="42" borderId="7" xfId="0" applyFont="1" applyFill="1" applyBorder="1" applyAlignment="1">
      <alignment horizontal="center" vertical="center"/>
    </xf>
    <xf numFmtId="0" fontId="28" fillId="0" borderId="113" xfId="0" applyFont="1" applyBorder="1" applyAlignment="1">
      <alignment horizontal="center" vertical="center" wrapText="1"/>
    </xf>
    <xf numFmtId="0" fontId="28" fillId="0" borderId="114" xfId="0" applyFont="1" applyBorder="1" applyAlignment="1">
      <alignment horizontal="left" wrapText="1"/>
    </xf>
    <xf numFmtId="0" fontId="78" fillId="0" borderId="114" xfId="0" applyFont="1" applyBorder="1" applyAlignment="1">
      <alignment horizontal="left" wrapText="1"/>
    </xf>
    <xf numFmtId="0" fontId="78" fillId="0" borderId="114" xfId="0" applyFont="1" applyBorder="1" applyAlignment="1">
      <alignment wrapText="1"/>
    </xf>
    <xf numFmtId="0" fontId="28" fillId="17" borderId="113" xfId="0" applyFont="1" applyFill="1" applyBorder="1" applyAlignment="1">
      <alignment horizontal="center" vertical="center" wrapText="1"/>
    </xf>
    <xf numFmtId="0" fontId="78" fillId="17" borderId="114" xfId="0" applyFont="1" applyFill="1" applyBorder="1" applyAlignment="1">
      <alignment wrapText="1"/>
    </xf>
    <xf numFmtId="0" fontId="28" fillId="17" borderId="114" xfId="0" applyFont="1" applyFill="1" applyBorder="1" applyAlignment="1">
      <alignment wrapText="1"/>
    </xf>
    <xf numFmtId="0" fontId="28" fillId="34" borderId="113" xfId="0" applyFont="1" applyFill="1" applyBorder="1" applyAlignment="1">
      <alignment horizontal="center" vertical="center" wrapText="1"/>
    </xf>
    <xf numFmtId="0" fontId="78" fillId="34" borderId="114" xfId="0" applyFont="1" applyFill="1" applyBorder="1" applyAlignment="1">
      <alignment wrapText="1"/>
    </xf>
    <xf numFmtId="0" fontId="28" fillId="34" borderId="114" xfId="0" applyFont="1" applyFill="1" applyBorder="1" applyAlignment="1">
      <alignment wrapText="1"/>
    </xf>
    <xf numFmtId="0" fontId="33" fillId="17" borderId="113" xfId="0" applyFont="1" applyFill="1" applyBorder="1" applyAlignment="1">
      <alignment horizontal="center" vertical="center" wrapText="1"/>
    </xf>
    <xf numFmtId="0" fontId="79" fillId="17" borderId="114" xfId="0" applyFont="1" applyFill="1" applyBorder="1" applyAlignment="1">
      <alignment horizontal="left" vertical="center" wrapText="1"/>
    </xf>
    <xf numFmtId="0" fontId="28" fillId="0" borderId="114" xfId="0" applyFont="1" applyBorder="1" applyAlignment="1">
      <alignment horizontal="left" vertical="center" wrapText="1"/>
    </xf>
    <xf numFmtId="0" fontId="33" fillId="0" borderId="113" xfId="0" applyFont="1" applyBorder="1" applyAlignment="1">
      <alignment horizontal="center" vertical="center" wrapText="1"/>
    </xf>
    <xf numFmtId="0" fontId="33" fillId="0" borderId="114" xfId="0" applyFont="1" applyBorder="1" applyAlignment="1">
      <alignment horizontal="left" vertical="center" wrapText="1"/>
    </xf>
    <xf numFmtId="0" fontId="80" fillId="0" borderId="115" xfId="0" applyFont="1" applyBorder="1"/>
    <xf numFmtId="0" fontId="28" fillId="0" borderId="116" xfId="0" applyFont="1" applyBorder="1" applyAlignment="1">
      <alignment horizontal="center" vertical="center" wrapText="1"/>
    </xf>
    <xf numFmtId="0" fontId="80" fillId="0" borderId="117" xfId="0" applyFont="1" applyBorder="1"/>
    <xf numFmtId="3" fontId="0" fillId="32" borderId="63" xfId="0" applyNumberFormat="1" applyFill="1" applyBorder="1" applyAlignment="1">
      <alignment horizontal="center" vertical="center"/>
    </xf>
    <xf numFmtId="3" fontId="0" fillId="36" borderId="63" xfId="0" applyNumberFormat="1" applyFill="1" applyBorder="1" applyAlignment="1">
      <alignment horizontal="center" vertical="center"/>
    </xf>
    <xf numFmtId="3" fontId="0" fillId="9" borderId="8" xfId="0" applyNumberFormat="1" applyFill="1" applyBorder="1" applyAlignment="1">
      <alignment horizontal="center" vertical="center"/>
    </xf>
    <xf numFmtId="3" fontId="0" fillId="28" borderId="8" xfId="0" applyNumberFormat="1" applyFill="1" applyBorder="1" applyAlignment="1">
      <alignment horizontal="center" vertical="center"/>
    </xf>
    <xf numFmtId="3" fontId="0" fillId="9" borderId="73" xfId="0" applyNumberFormat="1" applyFill="1" applyBorder="1" applyAlignment="1">
      <alignment horizontal="center" vertical="center"/>
    </xf>
    <xf numFmtId="0" fontId="81" fillId="0" borderId="114" xfId="0" applyFont="1" applyBorder="1" applyAlignment="1">
      <alignment wrapText="1"/>
    </xf>
    <xf numFmtId="0" fontId="82" fillId="10" borderId="1" xfId="0" applyFont="1" applyFill="1" applyBorder="1" applyAlignment="1">
      <alignment horizontal="center" vertical="center"/>
    </xf>
    <xf numFmtId="0" fontId="80" fillId="0" borderId="117" xfId="0" applyFont="1" applyBorder="1" applyAlignment="1">
      <alignment wrapText="1"/>
    </xf>
    <xf numFmtId="0" fontId="33" fillId="34" borderId="113" xfId="0" applyFont="1" applyFill="1" applyBorder="1" applyAlignment="1">
      <alignment horizontal="center" vertical="center" wrapText="1"/>
    </xf>
    <xf numFmtId="0" fontId="79" fillId="0" borderId="114" xfId="0" applyFont="1" applyBorder="1" applyAlignment="1">
      <alignment wrapText="1"/>
    </xf>
    <xf numFmtId="0" fontId="33" fillId="34" borderId="114" xfId="0" applyFont="1" applyFill="1" applyBorder="1" applyAlignment="1">
      <alignment wrapText="1"/>
    </xf>
    <xf numFmtId="0" fontId="12" fillId="9" borderId="1" xfId="0" applyFont="1" applyFill="1" applyBorder="1" applyAlignment="1">
      <alignment horizontal="center"/>
    </xf>
    <xf numFmtId="2" fontId="74" fillId="9" borderId="1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0" fontId="12" fillId="9" borderId="1" xfId="0" applyNumberFormat="1" applyFont="1" applyFill="1" applyBorder="1" applyAlignment="1">
      <alignment horizontal="center" vertical="center"/>
    </xf>
    <xf numFmtId="2" fontId="12" fillId="9" borderId="18" xfId="0" applyNumberFormat="1" applyFont="1" applyFill="1" applyBorder="1" applyAlignment="1">
      <alignment horizontal="center" vertical="center"/>
    </xf>
    <xf numFmtId="2" fontId="74" fillId="9" borderId="18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18" xfId="0" applyNumberFormat="1" applyFont="1" applyFill="1" applyBorder="1" applyAlignment="1">
      <alignment horizontal="center" vertical="center"/>
    </xf>
    <xf numFmtId="165" fontId="12" fillId="9" borderId="18" xfId="0" applyNumberFormat="1" applyFont="1" applyFill="1" applyBorder="1" applyAlignment="1">
      <alignment horizontal="center" vertical="center"/>
    </xf>
    <xf numFmtId="49" fontId="12" fillId="9" borderId="18" xfId="0" applyNumberFormat="1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0" fontId="0" fillId="0" borderId="118" xfId="0" applyBorder="1"/>
    <xf numFmtId="0" fontId="0" fillId="0" borderId="119" xfId="0" applyBorder="1"/>
    <xf numFmtId="0" fontId="0" fillId="0" borderId="117" xfId="0" applyBorder="1"/>
    <xf numFmtId="49" fontId="55" fillId="28" borderId="63" xfId="0" applyNumberFormat="1" applyFont="1" applyFill="1" applyBorder="1" applyAlignment="1">
      <alignment horizontal="center" wrapText="1"/>
    </xf>
    <xf numFmtId="49" fontId="55" fillId="28" borderId="7" xfId="0" applyNumberFormat="1" applyFont="1" applyFill="1" applyBorder="1" applyAlignment="1">
      <alignment horizontal="center" wrapText="1"/>
    </xf>
    <xf numFmtId="49" fontId="55" fillId="28" borderId="7" xfId="0" applyNumberFormat="1" applyFont="1" applyFill="1" applyBorder="1" applyAlignment="1">
      <alignment horizontal="center" vertical="center" wrapText="1"/>
    </xf>
    <xf numFmtId="49" fontId="53" fillId="28" borderId="7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31" borderId="1" xfId="0" applyNumberFormat="1" applyFill="1" applyBorder="1"/>
    <xf numFmtId="166" fontId="0" fillId="10" borderId="2" xfId="0" applyNumberFormat="1" applyFill="1" applyBorder="1" applyAlignment="1">
      <alignment horizontal="center" vertical="center"/>
    </xf>
    <xf numFmtId="49" fontId="24" fillId="12" borderId="28" xfId="0" applyNumberFormat="1" applyFont="1" applyFill="1" applyBorder="1" applyAlignment="1">
      <alignment horizontal="center" vertical="center"/>
    </xf>
    <xf numFmtId="16" fontId="0" fillId="9" borderId="7" xfId="0" applyNumberFormat="1" applyFill="1" applyBorder="1" applyAlignment="1">
      <alignment horizontal="center" vertical="center"/>
    </xf>
    <xf numFmtId="14" fontId="8" fillId="6" borderId="12" xfId="0" applyNumberFormat="1" applyFont="1" applyFill="1" applyBorder="1" applyAlignment="1">
      <alignment horizontal="center" vertical="center"/>
    </xf>
    <xf numFmtId="3" fontId="0" fillId="28" borderId="7" xfId="0" applyNumberForma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49" fontId="0" fillId="9" borderId="7" xfId="0" applyNumberFormat="1" applyFill="1" applyBorder="1" applyAlignment="1">
      <alignment horizontal="center" vertical="center"/>
    </xf>
    <xf numFmtId="9" fontId="0" fillId="9" borderId="7" xfId="0" applyNumberFormat="1" applyFill="1" applyBorder="1" applyAlignment="1">
      <alignment horizontal="center" vertical="center"/>
    </xf>
    <xf numFmtId="14" fontId="3" fillId="12" borderId="7" xfId="0" applyNumberFormat="1" applyFont="1" applyFill="1" applyBorder="1" applyAlignment="1">
      <alignment horizontal="center" vertical="center"/>
    </xf>
    <xf numFmtId="0" fontId="84" fillId="0" borderId="114" xfId="0" applyFont="1" applyBorder="1" applyAlignment="1">
      <alignment horizontal="center" vertical="center" wrapText="1"/>
    </xf>
    <xf numFmtId="43" fontId="0" fillId="0" borderId="7" xfId="0" applyNumberFormat="1" applyBorder="1"/>
    <xf numFmtId="0" fontId="3" fillId="28" borderId="7" xfId="0" applyFont="1" applyFill="1" applyBorder="1"/>
    <xf numFmtId="43" fontId="3" fillId="28" borderId="7" xfId="0" applyNumberFormat="1" applyFont="1" applyFill="1" applyBorder="1"/>
    <xf numFmtId="0" fontId="0" fillId="0" borderId="65" xfId="0" applyBorder="1"/>
    <xf numFmtId="43" fontId="0" fillId="0" borderId="65" xfId="0" applyNumberFormat="1" applyBorder="1"/>
    <xf numFmtId="43" fontId="3" fillId="28" borderId="65" xfId="0" applyNumberFormat="1" applyFont="1" applyFill="1" applyBorder="1"/>
    <xf numFmtId="0" fontId="3" fillId="28" borderId="73" xfId="0" applyFont="1" applyFill="1" applyBorder="1"/>
    <xf numFmtId="43" fontId="3" fillId="28" borderId="73" xfId="0" applyNumberFormat="1" applyFont="1" applyFill="1" applyBorder="1"/>
    <xf numFmtId="43" fontId="3" fillId="28" borderId="75" xfId="0" applyNumberFormat="1" applyFont="1" applyFill="1" applyBorder="1"/>
    <xf numFmtId="0" fontId="3" fillId="28" borderId="85" xfId="0" applyFont="1" applyFill="1" applyBorder="1" applyAlignment="1">
      <alignment horizontal="center"/>
    </xf>
    <xf numFmtId="0" fontId="3" fillId="28" borderId="63" xfId="0" applyFont="1" applyFill="1" applyBorder="1"/>
    <xf numFmtId="17" fontId="3" fillId="28" borderId="63" xfId="0" applyNumberFormat="1" applyFont="1" applyFill="1" applyBorder="1" applyAlignment="1">
      <alignment horizontal="center"/>
    </xf>
    <xf numFmtId="17" fontId="3" fillId="28" borderId="64" xfId="0" applyNumberFormat="1" applyFont="1" applyFill="1" applyBorder="1" applyAlignment="1">
      <alignment horizontal="center"/>
    </xf>
    <xf numFmtId="49" fontId="0" fillId="31" borderId="1" xfId="0" applyNumberFormat="1" applyFill="1" applyBorder="1" applyAlignment="1">
      <alignment horizontal="center"/>
    </xf>
    <xf numFmtId="2" fontId="8" fillId="7" borderId="7" xfId="0" applyNumberFormat="1" applyFont="1" applyFill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center" vertical="center"/>
    </xf>
    <xf numFmtId="2" fontId="8" fillId="5" borderId="7" xfId="0" applyNumberFormat="1" applyFont="1" applyFill="1" applyBorder="1" applyAlignment="1">
      <alignment horizontal="center" vertical="center"/>
    </xf>
    <xf numFmtId="14" fontId="8" fillId="5" borderId="7" xfId="0" applyNumberFormat="1" applyFont="1" applyFill="1" applyBorder="1" applyAlignment="1">
      <alignment horizontal="center" vertical="center"/>
    </xf>
    <xf numFmtId="10" fontId="8" fillId="5" borderId="7" xfId="0" applyNumberFormat="1" applyFont="1" applyFill="1" applyBorder="1" applyAlignment="1">
      <alignment horizontal="center" vertical="center"/>
    </xf>
    <xf numFmtId="9" fontId="0" fillId="10" borderId="8" xfId="0" applyNumberFormat="1" applyFill="1" applyBorder="1" applyAlignment="1">
      <alignment horizontal="center" vertical="center"/>
    </xf>
    <xf numFmtId="9" fontId="0" fillId="9" borderId="8" xfId="0" applyNumberFormat="1" applyFill="1" applyBorder="1" applyAlignment="1">
      <alignment horizontal="center" vertical="center"/>
    </xf>
    <xf numFmtId="9" fontId="0" fillId="12" borderId="8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66" fontId="8" fillId="6" borderId="19" xfId="0" applyNumberFormat="1" applyFont="1" applyFill="1" applyBorder="1" applyAlignment="1">
      <alignment horizontal="center" vertical="center"/>
    </xf>
    <xf numFmtId="166" fontId="0" fillId="10" borderId="6" xfId="0" applyNumberFormat="1" applyFill="1" applyBorder="1" applyAlignment="1">
      <alignment horizontal="center" vertical="center"/>
    </xf>
    <xf numFmtId="166" fontId="0" fillId="9" borderId="6" xfId="0" applyNumberFormat="1" applyFill="1" applyBorder="1" applyAlignment="1">
      <alignment horizontal="center" vertical="center"/>
    </xf>
    <xf numFmtId="166" fontId="0" fillId="12" borderId="6" xfId="0" applyNumberFormat="1" applyFill="1" applyBorder="1" applyAlignment="1">
      <alignment horizontal="center" vertical="center"/>
    </xf>
    <xf numFmtId="166" fontId="0" fillId="10" borderId="4" xfId="0" applyNumberFormat="1" applyFill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 wrapText="1"/>
    </xf>
    <xf numFmtId="0" fontId="28" fillId="0" borderId="123" xfId="0" applyFont="1" applyBorder="1" applyAlignment="1">
      <alignment wrapText="1"/>
    </xf>
    <xf numFmtId="164" fontId="0" fillId="9" borderId="8" xfId="0" applyNumberFormat="1" applyFill="1" applyBorder="1" applyAlignment="1">
      <alignment horizontal="center" vertical="center"/>
    </xf>
    <xf numFmtId="164" fontId="0" fillId="9" borderId="18" xfId="0" applyNumberFormat="1" applyFill="1" applyBorder="1" applyAlignment="1">
      <alignment horizontal="center" vertical="center"/>
    </xf>
    <xf numFmtId="0" fontId="0" fillId="9" borderId="8" xfId="0" applyFill="1" applyBorder="1"/>
    <xf numFmtId="167" fontId="91" fillId="6" borderId="1" xfId="0" applyNumberFormat="1" applyFont="1" applyFill="1" applyBorder="1" applyAlignment="1">
      <alignment horizontal="center" vertical="center"/>
    </xf>
    <xf numFmtId="0" fontId="21" fillId="0" borderId="42" xfId="0" applyFont="1" applyBorder="1" applyAlignment="1">
      <alignment horizontal="left" vertical="center" wrapText="1"/>
    </xf>
    <xf numFmtId="0" fontId="77" fillId="0" borderId="124" xfId="0" applyFont="1" applyBorder="1"/>
    <xf numFmtId="0" fontId="77" fillId="0" borderId="125" xfId="0" applyFont="1" applyBorder="1"/>
    <xf numFmtId="0" fontId="77" fillId="0" borderId="6" xfId="0" applyFont="1" applyBorder="1"/>
    <xf numFmtId="0" fontId="33" fillId="0" borderId="2" xfId="0" applyFont="1" applyBorder="1"/>
    <xf numFmtId="0" fontId="77" fillId="0" borderId="2" xfId="0" applyFont="1" applyBorder="1"/>
    <xf numFmtId="0" fontId="21" fillId="0" borderId="126" xfId="0" applyFont="1" applyBorder="1" applyAlignment="1">
      <alignment horizontal="center" vertical="center" wrapText="1"/>
    </xf>
    <xf numFmtId="0" fontId="90" fillId="0" borderId="127" xfId="0" applyFont="1" applyBorder="1" applyAlignment="1">
      <alignment horizontal="left" vertical="top" wrapText="1"/>
    </xf>
    <xf numFmtId="0" fontId="21" fillId="0" borderId="128" xfId="0" applyFont="1" applyBorder="1" applyAlignment="1">
      <alignment horizontal="center" vertical="center" wrapText="1"/>
    </xf>
    <xf numFmtId="0" fontId="90" fillId="0" borderId="127" xfId="0" applyFont="1" applyBorder="1" applyAlignment="1">
      <alignment vertical="center"/>
    </xf>
    <xf numFmtId="14" fontId="21" fillId="28" borderId="67" xfId="0" applyNumberFormat="1" applyFont="1" applyFill="1" applyBorder="1" applyAlignment="1">
      <alignment horizontal="left" vertical="center" wrapText="1"/>
    </xf>
    <xf numFmtId="0" fontId="89" fillId="0" borderId="129" xfId="0" applyFont="1" applyBorder="1" applyAlignment="1">
      <alignment vertical="center"/>
    </xf>
    <xf numFmtId="14" fontId="21" fillId="28" borderId="87" xfId="0" applyNumberFormat="1" applyFont="1" applyFill="1" applyBorder="1" applyAlignment="1">
      <alignment horizontal="left" vertical="center" wrapText="1"/>
    </xf>
    <xf numFmtId="0" fontId="89" fillId="0" borderId="120" xfId="0" applyFont="1" applyBorder="1" applyAlignment="1">
      <alignment vertical="center"/>
    </xf>
    <xf numFmtId="0" fontId="77" fillId="0" borderId="130" xfId="0" applyFont="1" applyBorder="1"/>
    <xf numFmtId="0" fontId="21" fillId="0" borderId="32" xfId="0" applyFont="1" applyBorder="1" applyAlignment="1">
      <alignment horizontal="center" vertical="center"/>
    </xf>
    <xf numFmtId="14" fontId="21" fillId="0" borderId="90" xfId="0" applyNumberFormat="1" applyFont="1" applyBorder="1" applyAlignment="1">
      <alignment vertical="center" wrapText="1"/>
    </xf>
    <xf numFmtId="14" fontId="21" fillId="0" borderId="91" xfId="0" applyNumberFormat="1" applyFont="1" applyBorder="1" applyAlignment="1">
      <alignment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89" fillId="0" borderId="7" xfId="0" applyFont="1" applyBorder="1" applyAlignment="1">
      <alignment vertical="center" wrapText="1"/>
    </xf>
    <xf numFmtId="0" fontId="77" fillId="0" borderId="2" xfId="0" applyFont="1" applyBorder="1" applyAlignment="1">
      <alignment horizontal="left" vertical="top" wrapText="1"/>
    </xf>
    <xf numFmtId="0" fontId="33" fillId="0" borderId="88" xfId="0" applyFont="1" applyBorder="1" applyAlignment="1">
      <alignment horizontal="left" vertical="center" wrapText="1"/>
    </xf>
    <xf numFmtId="0" fontId="3" fillId="11" borderId="85" xfId="0" applyFont="1" applyFill="1" applyBorder="1" applyAlignment="1">
      <alignment horizontal="center"/>
    </xf>
    <xf numFmtId="0" fontId="3" fillId="11" borderId="63" xfId="0" applyFont="1" applyFill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4" fontId="19" fillId="0" borderId="65" xfId="0" applyNumberFormat="1" applyFont="1" applyBorder="1" applyAlignment="1">
      <alignment horizontal="center"/>
    </xf>
    <xf numFmtId="0" fontId="0" fillId="0" borderId="72" xfId="0" applyBorder="1" applyAlignment="1">
      <alignment horizontal="center"/>
    </xf>
    <xf numFmtId="4" fontId="19" fillId="0" borderId="75" xfId="0" applyNumberFormat="1" applyFont="1" applyBorder="1" applyAlignment="1">
      <alignment horizontal="center"/>
    </xf>
    <xf numFmtId="0" fontId="3" fillId="11" borderId="10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2" xfId="0" applyFont="1" applyBorder="1" applyAlignment="1">
      <alignment horizontal="center"/>
    </xf>
    <xf numFmtId="8" fontId="71" fillId="18" borderId="2" xfId="0" applyNumberFormat="1" applyFont="1" applyFill="1" applyBorder="1" applyAlignment="1">
      <alignment wrapText="1"/>
    </xf>
    <xf numFmtId="8" fontId="71" fillId="18" borderId="7" xfId="0" applyNumberFormat="1" applyFont="1" applyFill="1" applyBorder="1" applyAlignment="1">
      <alignment wrapText="1"/>
    </xf>
    <xf numFmtId="8" fontId="71" fillId="18" borderId="69" xfId="0" applyNumberFormat="1" applyFont="1" applyFill="1" applyBorder="1"/>
    <xf numFmtId="8" fontId="71" fillId="18" borderId="8" xfId="0" applyNumberFormat="1" applyFont="1" applyFill="1" applyBorder="1" applyAlignment="1">
      <alignment wrapText="1"/>
    </xf>
    <xf numFmtId="8" fontId="77" fillId="0" borderId="7" xfId="0" applyNumberFormat="1" applyFont="1" applyBorder="1" applyAlignment="1">
      <alignment wrapText="1"/>
    </xf>
    <xf numFmtId="8" fontId="77" fillId="44" borderId="2" xfId="0" applyNumberFormat="1" applyFont="1" applyFill="1" applyBorder="1" applyAlignment="1">
      <alignment wrapText="1"/>
    </xf>
    <xf numFmtId="8" fontId="77" fillId="0" borderId="2" xfId="0" applyNumberFormat="1" applyFont="1" applyBorder="1" applyAlignment="1">
      <alignment wrapText="1"/>
    </xf>
    <xf numFmtId="8" fontId="77" fillId="18" borderId="2" xfId="0" applyNumberFormat="1" applyFont="1" applyFill="1" applyBorder="1" applyAlignment="1">
      <alignment wrapText="1"/>
    </xf>
    <xf numFmtId="8" fontId="73" fillId="18" borderId="7" xfId="0" applyNumberFormat="1" applyFont="1" applyFill="1" applyBorder="1" applyAlignment="1">
      <alignment wrapText="1"/>
    </xf>
    <xf numFmtId="8" fontId="0" fillId="0" borderId="0" xfId="0" applyNumberFormat="1"/>
    <xf numFmtId="14" fontId="0" fillId="38" borderId="63" xfId="0" applyNumberFormat="1" applyFill="1" applyBorder="1"/>
    <xf numFmtId="14" fontId="0" fillId="38" borderId="73" xfId="0" applyNumberFormat="1" applyFill="1" applyBorder="1"/>
    <xf numFmtId="14" fontId="8" fillId="7" borderId="12" xfId="0" applyNumberFormat="1" applyFont="1" applyFill="1" applyBorder="1" applyAlignment="1">
      <alignment horizontal="center" vertical="center"/>
    </xf>
    <xf numFmtId="14" fontId="38" fillId="38" borderId="63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38" fillId="38" borderId="73" xfId="0" applyNumberFormat="1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2" xfId="0" applyNumberFormat="1" applyBorder="1" applyAlignment="1">
      <alignment horizontal="center"/>
    </xf>
    <xf numFmtId="14" fontId="0" fillId="28" borderId="7" xfId="0" applyNumberFormat="1" applyFill="1" applyBorder="1" applyAlignment="1">
      <alignment horizontal="center"/>
    </xf>
    <xf numFmtId="14" fontId="0" fillId="9" borderId="7" xfId="0" applyNumberFormat="1" applyFill="1" applyBorder="1" applyAlignment="1">
      <alignment horizontal="center"/>
    </xf>
    <xf numFmtId="14" fontId="3" fillId="28" borderId="7" xfId="0" applyNumberFormat="1" applyFont="1" applyFill="1" applyBorder="1" applyAlignment="1">
      <alignment horizontal="center"/>
    </xf>
    <xf numFmtId="14" fontId="3" fillId="9" borderId="7" xfId="0" applyNumberFormat="1" applyFont="1" applyFill="1" applyBorder="1" applyAlignment="1">
      <alignment horizontal="center"/>
    </xf>
    <xf numFmtId="14" fontId="0" fillId="38" borderId="63" xfId="0" applyNumberFormat="1" applyFill="1" applyBorder="1" applyAlignment="1">
      <alignment horizontal="center"/>
    </xf>
    <xf numFmtId="14" fontId="0" fillId="38" borderId="73" xfId="0" applyNumberFormat="1" applyFill="1" applyBorder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166" fontId="8" fillId="7" borderId="12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 indent="5"/>
    </xf>
    <xf numFmtId="0" fontId="10" fillId="6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17" fontId="9" fillId="7" borderId="18" xfId="0" applyNumberFormat="1" applyFont="1" applyFill="1" applyBorder="1" applyAlignment="1">
      <alignment horizontal="center" vertical="center" indent="5"/>
    </xf>
    <xf numFmtId="0" fontId="9" fillId="7" borderId="68" xfId="0" applyFont="1" applyFill="1" applyBorder="1" applyAlignment="1">
      <alignment horizontal="center" vertical="center" indent="5"/>
    </xf>
    <xf numFmtId="0" fontId="9" fillId="7" borderId="5" xfId="0" applyFont="1" applyFill="1" applyBorder="1" applyAlignment="1">
      <alignment horizontal="center" vertical="center" indent="5"/>
    </xf>
    <xf numFmtId="0" fontId="9" fillId="7" borderId="69" xfId="0" applyFont="1" applyFill="1" applyBorder="1" applyAlignment="1">
      <alignment horizontal="center" vertical="center" indent="5"/>
    </xf>
    <xf numFmtId="0" fontId="10" fillId="8" borderId="0" xfId="0" applyFont="1" applyFill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 indent="5"/>
    </xf>
    <xf numFmtId="0" fontId="9" fillId="7" borderId="0" xfId="0" applyFont="1" applyFill="1" applyAlignment="1">
      <alignment horizontal="center" vertical="center" indent="5"/>
    </xf>
    <xf numFmtId="0" fontId="9" fillId="7" borderId="9" xfId="0" applyFont="1" applyFill="1" applyBorder="1" applyAlignment="1">
      <alignment horizontal="center" vertical="center" indent="5"/>
    </xf>
    <xf numFmtId="0" fontId="9" fillId="6" borderId="1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8" xfId="0" applyFont="1" applyFill="1" applyBorder="1" applyAlignment="1">
      <alignment horizontal="left" vertical="center" indent="5"/>
    </xf>
    <xf numFmtId="0" fontId="9" fillId="6" borderId="11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7" borderId="95" xfId="0" applyFont="1" applyFill="1" applyBorder="1" applyAlignment="1">
      <alignment horizontal="center" vertical="center"/>
    </xf>
    <xf numFmtId="0" fontId="9" fillId="7" borderId="96" xfId="0" applyFont="1" applyFill="1" applyBorder="1" applyAlignment="1">
      <alignment horizontal="center" vertical="center"/>
    </xf>
    <xf numFmtId="0" fontId="9" fillId="7" borderId="9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98" xfId="0" applyFont="1" applyFill="1" applyBorder="1" applyAlignment="1">
      <alignment horizontal="center" vertical="center"/>
    </xf>
    <xf numFmtId="49" fontId="8" fillId="5" borderId="7" xfId="0" applyNumberFormat="1" applyFont="1" applyFill="1" applyBorder="1" applyAlignment="1">
      <alignment horizontal="center" vertical="center" indent="5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 vertical="center" indent="5"/>
    </xf>
    <xf numFmtId="0" fontId="8" fillId="8" borderId="0" xfId="0" applyFont="1" applyFill="1" applyAlignment="1">
      <alignment horizontal="left" vertical="center" indent="5"/>
    </xf>
    <xf numFmtId="0" fontId="8" fillId="8" borderId="99" xfId="0" applyFont="1" applyFill="1" applyBorder="1" applyAlignment="1">
      <alignment horizontal="left" vertical="center" indent="5"/>
    </xf>
    <xf numFmtId="166" fontId="9" fillId="6" borderId="16" xfId="0" applyNumberFormat="1" applyFont="1" applyFill="1" applyBorder="1" applyAlignment="1">
      <alignment horizontal="center" vertical="center"/>
    </xf>
    <xf numFmtId="166" fontId="9" fillId="6" borderId="0" xfId="0" applyNumberFormat="1" applyFont="1" applyFill="1" applyAlignment="1">
      <alignment horizontal="center" vertical="center"/>
    </xf>
    <xf numFmtId="49" fontId="3" fillId="32" borderId="16" xfId="0" applyNumberFormat="1" applyFont="1" applyFill="1" applyBorder="1" applyAlignment="1">
      <alignment horizontal="center" vertical="center" indent="5"/>
    </xf>
    <xf numFmtId="49" fontId="3" fillId="32" borderId="0" xfId="0" applyNumberFormat="1" applyFont="1" applyFill="1" applyAlignment="1">
      <alignment horizontal="center" vertical="center" indent="5"/>
    </xf>
    <xf numFmtId="49" fontId="3" fillId="32" borderId="99" xfId="0" applyNumberFormat="1" applyFont="1" applyFill="1" applyBorder="1" applyAlignment="1">
      <alignment horizontal="center" vertical="center" indent="5"/>
    </xf>
    <xf numFmtId="0" fontId="0" fillId="7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49" fontId="8" fillId="5" borderId="11" xfId="0" applyNumberFormat="1" applyFont="1" applyFill="1" applyBorder="1" applyAlignment="1">
      <alignment horizontal="center" vertical="center" indent="5"/>
    </xf>
    <xf numFmtId="49" fontId="8" fillId="5" borderId="0" xfId="0" applyNumberFormat="1" applyFont="1" applyFill="1" applyAlignment="1">
      <alignment horizontal="center" vertical="center" indent="5"/>
    </xf>
    <xf numFmtId="0" fontId="3" fillId="0" borderId="66" xfId="0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0" fontId="3" fillId="0" borderId="12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5" fillId="18" borderId="6" xfId="0" applyFont="1" applyFill="1" applyBorder="1" applyAlignment="1">
      <alignment horizontal="center"/>
    </xf>
    <xf numFmtId="0" fontId="35" fillId="18" borderId="7" xfId="0" applyFont="1" applyFill="1" applyBorder="1" applyAlignment="1">
      <alignment horizontal="center"/>
    </xf>
    <xf numFmtId="0" fontId="35" fillId="18" borderId="8" xfId="0" applyFont="1" applyFill="1" applyBorder="1" applyAlignment="1">
      <alignment horizontal="center"/>
    </xf>
    <xf numFmtId="0" fontId="3" fillId="11" borderId="131" xfId="0" applyFont="1" applyFill="1" applyBorder="1" applyAlignment="1">
      <alignment horizontal="center"/>
    </xf>
    <xf numFmtId="0" fontId="3" fillId="11" borderId="93" xfId="0" applyFont="1" applyFill="1" applyBorder="1" applyAlignment="1">
      <alignment horizontal="center"/>
    </xf>
    <xf numFmtId="0" fontId="70" fillId="0" borderId="4" xfId="0" applyFont="1" applyBorder="1" applyAlignment="1">
      <alignment wrapText="1"/>
    </xf>
    <xf numFmtId="0" fontId="70" fillId="0" borderId="9" xfId="0" applyFont="1" applyBorder="1" applyAlignment="1">
      <alignment wrapText="1"/>
    </xf>
    <xf numFmtId="0" fontId="70" fillId="0" borderId="10" xfId="0" applyFont="1" applyBorder="1" applyAlignment="1">
      <alignment wrapText="1"/>
    </xf>
    <xf numFmtId="0" fontId="70" fillId="0" borderId="2" xfId="0" applyFont="1" applyBorder="1" applyAlignment="1">
      <alignment wrapText="1"/>
    </xf>
    <xf numFmtId="4" fontId="26" fillId="0" borderId="7" xfId="0" applyNumberFormat="1" applyFont="1" applyBorder="1" applyAlignment="1">
      <alignment horizontal="right" vertical="center"/>
    </xf>
    <xf numFmtId="0" fontId="15" fillId="13" borderId="23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4" fontId="24" fillId="0" borderId="6" xfId="0" applyNumberFormat="1" applyFont="1" applyBorder="1" applyAlignment="1">
      <alignment horizontal="right" vertical="center"/>
    </xf>
    <xf numFmtId="0" fontId="24" fillId="0" borderId="7" xfId="0" applyFont="1" applyBorder="1" applyAlignment="1">
      <alignment horizontal="left" vertical="center"/>
    </xf>
    <xf numFmtId="0" fontId="44" fillId="8" borderId="54" xfId="0" applyFont="1" applyFill="1" applyBorder="1" applyAlignment="1">
      <alignment horizontal="center"/>
    </xf>
    <xf numFmtId="0" fontId="44" fillId="8" borderId="53" xfId="0" applyFont="1" applyFill="1" applyBorder="1" applyAlignment="1">
      <alignment horizontal="center"/>
    </xf>
    <xf numFmtId="14" fontId="44" fillId="8" borderId="54" xfId="0" applyNumberFormat="1" applyFont="1" applyFill="1" applyBorder="1" applyAlignment="1">
      <alignment horizontal="center"/>
    </xf>
    <xf numFmtId="14" fontId="44" fillId="8" borderId="53" xfId="0" applyNumberFormat="1" applyFont="1" applyFill="1" applyBorder="1" applyAlignment="1">
      <alignment horizontal="center"/>
    </xf>
    <xf numFmtId="14" fontId="21" fillId="0" borderId="84" xfId="0" applyNumberFormat="1" applyFont="1" applyBorder="1" applyAlignment="1">
      <alignment horizontal="center" vertical="center" wrapText="1"/>
    </xf>
    <xf numFmtId="14" fontId="21" fillId="0" borderId="92" xfId="0" applyNumberFormat="1" applyFont="1" applyBorder="1" applyAlignment="1">
      <alignment horizontal="center" vertical="center" wrapText="1"/>
    </xf>
    <xf numFmtId="14" fontId="21" fillId="28" borderId="90" xfId="0" applyNumberFormat="1" applyFont="1" applyFill="1" applyBorder="1" applyAlignment="1">
      <alignment horizontal="center" vertical="center" wrapText="1"/>
    </xf>
    <xf numFmtId="14" fontId="21" fillId="28" borderId="91" xfId="0" applyNumberFormat="1" applyFont="1" applyFill="1" applyBorder="1" applyAlignment="1">
      <alignment horizontal="center" vertical="center" wrapText="1"/>
    </xf>
    <xf numFmtId="14" fontId="21" fillId="0" borderId="83" xfId="0" applyNumberFormat="1" applyFont="1" applyBorder="1" applyAlignment="1">
      <alignment horizontal="center" vertical="center" wrapText="1"/>
    </xf>
    <xf numFmtId="14" fontId="21" fillId="0" borderId="90" xfId="0" applyNumberFormat="1" applyFont="1" applyBorder="1" applyAlignment="1">
      <alignment horizontal="center" vertical="center" wrapText="1"/>
    </xf>
    <xf numFmtId="14" fontId="21" fillId="0" borderId="91" xfId="0" applyNumberFormat="1" applyFont="1" applyBorder="1" applyAlignment="1">
      <alignment horizontal="center" vertical="center" wrapText="1"/>
    </xf>
    <xf numFmtId="14" fontId="21" fillId="28" borderId="63" xfId="0" applyNumberFormat="1" applyFont="1" applyFill="1" applyBorder="1" applyAlignment="1">
      <alignment horizontal="center" vertical="center" wrapText="1"/>
    </xf>
    <xf numFmtId="14" fontId="21" fillId="28" borderId="7" xfId="0" applyNumberFormat="1" applyFont="1" applyFill="1" applyBorder="1" applyAlignment="1">
      <alignment horizontal="center" vertical="center" wrapText="1"/>
    </xf>
    <xf numFmtId="14" fontId="21" fillId="28" borderId="73" xfId="0" applyNumberFormat="1" applyFont="1" applyFill="1" applyBorder="1" applyAlignment="1">
      <alignment horizontal="center" vertical="center" wrapText="1"/>
    </xf>
    <xf numFmtId="0" fontId="21" fillId="0" borderId="86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89" xfId="0" applyFont="1" applyBorder="1" applyAlignment="1">
      <alignment horizontal="center" vertical="center" wrapText="1"/>
    </xf>
    <xf numFmtId="14" fontId="21" fillId="0" borderId="45" xfId="0" applyNumberFormat="1" applyFont="1" applyBorder="1" applyAlignment="1">
      <alignment horizontal="center" vertical="center" wrapText="1"/>
    </xf>
    <xf numFmtId="14" fontId="21" fillId="0" borderId="42" xfId="0" applyNumberFormat="1" applyFont="1" applyBorder="1" applyAlignment="1">
      <alignment horizontal="center" vertical="center" wrapText="1"/>
    </xf>
    <xf numFmtId="14" fontId="21" fillId="0" borderId="70" xfId="0" applyNumberFormat="1" applyFont="1" applyBorder="1" applyAlignment="1">
      <alignment horizontal="center" vertical="center" wrapText="1"/>
    </xf>
    <xf numFmtId="0" fontId="47" fillId="0" borderId="46" xfId="0" applyFont="1" applyBorder="1" applyAlignment="1">
      <alignment horizontal="left" vertical="center" wrapText="1"/>
    </xf>
    <xf numFmtId="0" fontId="47" fillId="0" borderId="88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  <xf numFmtId="14" fontId="21" fillId="28" borderId="84" xfId="0" applyNumberFormat="1" applyFont="1" applyFill="1" applyBorder="1" applyAlignment="1">
      <alignment horizontal="center" vertical="center" wrapText="1"/>
    </xf>
    <xf numFmtId="14" fontId="21" fillId="28" borderId="92" xfId="0" applyNumberFormat="1" applyFont="1" applyFill="1" applyBorder="1" applyAlignment="1">
      <alignment horizontal="center" vertical="center" wrapText="1"/>
    </xf>
    <xf numFmtId="0" fontId="21" fillId="28" borderId="83" xfId="0" applyFont="1" applyFill="1" applyBorder="1" applyAlignment="1">
      <alignment horizontal="left" vertical="center" wrapText="1"/>
    </xf>
    <xf numFmtId="0" fontId="21" fillId="28" borderId="91" xfId="0" applyFont="1" applyFill="1" applyBorder="1" applyAlignment="1">
      <alignment horizontal="left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 wrapText="1"/>
    </xf>
    <xf numFmtId="0" fontId="2" fillId="17" borderId="1" xfId="1" applyFill="1" applyBorder="1" applyAlignment="1">
      <alignment horizontal="center" vertical="center" wrapText="1"/>
    </xf>
    <xf numFmtId="0" fontId="2" fillId="17" borderId="2" xfId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/>
    </xf>
    <xf numFmtId="0" fontId="33" fillId="17" borderId="1" xfId="0" applyFont="1" applyFill="1" applyBorder="1" applyAlignment="1">
      <alignment horizontal="left" vertical="top" wrapText="1"/>
    </xf>
    <xf numFmtId="0" fontId="33" fillId="17" borderId="2" xfId="0" applyFont="1" applyFill="1" applyBorder="1" applyAlignment="1">
      <alignment horizontal="left" vertical="top" wrapText="1"/>
    </xf>
    <xf numFmtId="0" fontId="48" fillId="34" borderId="1" xfId="0" applyFont="1" applyFill="1" applyBorder="1" applyAlignment="1">
      <alignment horizontal="center" vertical="center" wrapText="1"/>
    </xf>
    <xf numFmtId="0" fontId="48" fillId="34" borderId="2" xfId="0" applyFont="1" applyFill="1" applyBorder="1" applyAlignment="1">
      <alignment horizontal="center" vertical="center" wrapText="1"/>
    </xf>
    <xf numFmtId="0" fontId="2" fillId="34" borderId="1" xfId="1" applyFill="1" applyBorder="1" applyAlignment="1">
      <alignment horizontal="center" vertical="center" wrapText="1"/>
    </xf>
    <xf numFmtId="0" fontId="2" fillId="34" borderId="2" xfId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top" wrapText="1"/>
    </xf>
    <xf numFmtId="0" fontId="33" fillId="34" borderId="1" xfId="0" applyFont="1" applyFill="1" applyBorder="1" applyAlignment="1">
      <alignment horizontal="center" vertical="center" wrapText="1"/>
    </xf>
    <xf numFmtId="0" fontId="33" fillId="34" borderId="2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33" fillId="34" borderId="1" xfId="0" applyFont="1" applyFill="1" applyBorder="1" applyAlignment="1">
      <alignment horizontal="left" vertical="top" wrapText="1"/>
    </xf>
    <xf numFmtId="0" fontId="33" fillId="34" borderId="2" xfId="0" applyFont="1" applyFill="1" applyBorder="1" applyAlignment="1">
      <alignment horizontal="left" vertical="top" wrapText="1"/>
    </xf>
    <xf numFmtId="0" fontId="28" fillId="17" borderId="1" xfId="0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wrapText="1"/>
    </xf>
    <xf numFmtId="0" fontId="33" fillId="0" borderId="2" xfId="0" applyFont="1" applyBorder="1" applyAlignment="1">
      <alignment horizontal="center" wrapText="1"/>
    </xf>
    <xf numFmtId="0" fontId="76" fillId="42" borderId="7" xfId="0" applyFont="1" applyFill="1" applyBorder="1" applyAlignment="1">
      <alignment horizontal="center" vertical="center"/>
    </xf>
    <xf numFmtId="0" fontId="76" fillId="42" borderId="7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33" fillId="0" borderId="7" xfId="0" applyFont="1" applyBorder="1" applyAlignment="1">
      <alignment wrapText="1"/>
    </xf>
    <xf numFmtId="0" fontId="28" fillId="0" borderId="7" xfId="0" applyFont="1" applyBorder="1" applyAlignment="1">
      <alignment horizontal="left" vertical="top"/>
    </xf>
    <xf numFmtId="0" fontId="48" fillId="0" borderId="7" xfId="0" applyFont="1" applyBorder="1" applyAlignment="1">
      <alignment horizontal="left" vertical="top" wrapText="1"/>
    </xf>
    <xf numFmtId="0" fontId="86" fillId="0" borderId="7" xfId="0" applyFont="1" applyBorder="1" applyAlignment="1">
      <alignment horizontal="left" vertical="top" wrapText="1"/>
    </xf>
    <xf numFmtId="0" fontId="74" fillId="34" borderId="7" xfId="0" applyFont="1" applyFill="1" applyBorder="1" applyAlignment="1">
      <alignment horizontal="left" vertical="top" wrapText="1"/>
    </xf>
    <xf numFmtId="0" fontId="55" fillId="0" borderId="7" xfId="0" applyFont="1" applyBorder="1" applyAlignment="1">
      <alignment horizontal="left" vertical="top" wrapText="1"/>
    </xf>
    <xf numFmtId="0" fontId="28" fillId="17" borderId="7" xfId="0" applyFont="1" applyFill="1" applyBorder="1" applyAlignment="1">
      <alignment horizontal="center" vertical="center" wrapText="1"/>
    </xf>
    <xf numFmtId="0" fontId="2" fillId="17" borderId="7" xfId="1" applyFill="1" applyBorder="1" applyAlignment="1">
      <alignment horizontal="center" vertical="center" wrapText="1"/>
    </xf>
    <xf numFmtId="0" fontId="33" fillId="17" borderId="7" xfId="0" applyFont="1" applyFill="1" applyBorder="1" applyAlignment="1">
      <alignment horizontal="left" vertical="top" wrapText="1"/>
    </xf>
    <xf numFmtId="0" fontId="28" fillId="34" borderId="7" xfId="0" applyFont="1" applyFill="1" applyBorder="1" applyAlignment="1">
      <alignment horizontal="center" vertical="center" wrapText="1"/>
    </xf>
    <xf numFmtId="0" fontId="2" fillId="34" borderId="7" xfId="1" applyFill="1" applyBorder="1" applyAlignment="1">
      <alignment horizontal="center" vertical="center" wrapText="1"/>
    </xf>
    <xf numFmtId="0" fontId="33" fillId="34" borderId="7" xfId="0" applyFont="1" applyFill="1" applyBorder="1" applyAlignment="1">
      <alignment horizontal="left" vertical="top" wrapText="1"/>
    </xf>
    <xf numFmtId="0" fontId="33" fillId="17" borderId="7" xfId="0" applyFont="1" applyFill="1" applyBorder="1" applyAlignment="1">
      <alignment horizontal="left" vertical="top"/>
    </xf>
    <xf numFmtId="0" fontId="55" fillId="0" borderId="1" xfId="0" applyFont="1" applyBorder="1" applyAlignment="1">
      <alignment horizontal="left" vertical="top" wrapText="1"/>
    </xf>
    <xf numFmtId="0" fontId="55" fillId="0" borderId="2" xfId="0" applyFont="1" applyBorder="1" applyAlignment="1">
      <alignment horizontal="left" vertical="top" wrapText="1"/>
    </xf>
    <xf numFmtId="0" fontId="28" fillId="34" borderId="1" xfId="0" applyFont="1" applyFill="1" applyBorder="1" applyAlignment="1">
      <alignment horizontal="center" vertical="center" wrapText="1"/>
    </xf>
    <xf numFmtId="0" fontId="28" fillId="34" borderId="2" xfId="0" applyFont="1" applyFill="1" applyBorder="1" applyAlignment="1">
      <alignment horizontal="center" vertical="center" wrapText="1"/>
    </xf>
    <xf numFmtId="0" fontId="28" fillId="17" borderId="10" xfId="0" applyFont="1" applyFill="1" applyBorder="1" applyAlignment="1">
      <alignment horizontal="center" vertical="center" wrapText="1"/>
    </xf>
    <xf numFmtId="0" fontId="2" fillId="17" borderId="10" xfId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top"/>
    </xf>
    <xf numFmtId="0" fontId="33" fillId="0" borderId="10" xfId="0" applyFont="1" applyBorder="1" applyAlignment="1">
      <alignment horizontal="left" vertical="top" wrapText="1"/>
    </xf>
    <xf numFmtId="0" fontId="87" fillId="18" borderId="7" xfId="0" applyFont="1" applyFill="1" applyBorder="1" applyAlignment="1">
      <alignment horizontal="left" vertical="center"/>
    </xf>
    <xf numFmtId="0" fontId="87" fillId="18" borderId="2" xfId="0" applyFont="1" applyFill="1" applyBorder="1" applyAlignment="1">
      <alignment horizontal="left" vertical="center"/>
    </xf>
    <xf numFmtId="0" fontId="87" fillId="18" borderId="10" xfId="0" applyFont="1" applyFill="1" applyBorder="1" applyAlignment="1">
      <alignment horizontal="left" vertical="center"/>
    </xf>
    <xf numFmtId="0" fontId="28" fillId="0" borderId="8" xfId="0" applyFont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33" fillId="0" borderId="8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/>
    </xf>
    <xf numFmtId="0" fontId="77" fillId="0" borderId="1" xfId="0" applyFont="1" applyBorder="1" applyAlignment="1">
      <alignment horizontal="left" vertical="top" wrapText="1"/>
    </xf>
    <xf numFmtId="0" fontId="77" fillId="0" borderId="2" xfId="0" applyFont="1" applyBorder="1" applyAlignment="1">
      <alignment horizontal="left" vertical="top"/>
    </xf>
    <xf numFmtId="14" fontId="21" fillId="0" borderId="18" xfId="0" applyNumberFormat="1" applyFont="1" applyBorder="1" applyAlignment="1">
      <alignment horizontal="center" vertical="center" wrapText="1"/>
    </xf>
    <xf numFmtId="14" fontId="21" fillId="0" borderId="11" xfId="0" applyNumberFormat="1" applyFont="1" applyBorder="1" applyAlignment="1">
      <alignment horizontal="center" vertical="center" wrapText="1"/>
    </xf>
    <xf numFmtId="14" fontId="21" fillId="0" borderId="4" xfId="0" applyNumberFormat="1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92" fillId="0" borderId="10" xfId="0" applyFont="1" applyBorder="1" applyAlignment="1">
      <alignment horizontal="left" vertical="top"/>
    </xf>
    <xf numFmtId="14" fontId="21" fillId="0" borderId="7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14" fontId="21" fillId="0" borderId="76" xfId="0" applyNumberFormat="1" applyFont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/>
    </xf>
    <xf numFmtId="0" fontId="88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113" xfId="0" applyFont="1" applyBorder="1" applyAlignment="1">
      <alignment horizontal="center"/>
    </xf>
    <xf numFmtId="0" fontId="24" fillId="0" borderId="114" xfId="0" applyFont="1" applyBorder="1" applyAlignment="1">
      <alignment horizontal="center"/>
    </xf>
    <xf numFmtId="14" fontId="21" fillId="28" borderId="83" xfId="0" applyNumberFormat="1" applyFont="1" applyFill="1" applyBorder="1" applyAlignment="1">
      <alignment horizontal="center" vertical="center" wrapText="1"/>
    </xf>
    <xf numFmtId="14" fontId="21" fillId="28" borderId="74" xfId="0" applyNumberFormat="1" applyFont="1" applyFill="1" applyBorder="1" applyAlignment="1">
      <alignment horizontal="center" vertical="center" wrapText="1"/>
    </xf>
    <xf numFmtId="14" fontId="21" fillId="28" borderId="67" xfId="0" applyNumberFormat="1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/>
    </xf>
    <xf numFmtId="0" fontId="77" fillId="0" borderId="7" xfId="0" applyFont="1" applyBorder="1" applyAlignment="1">
      <alignment horizontal="center"/>
    </xf>
    <xf numFmtId="0" fontId="77" fillId="0" borderId="7" xfId="0" applyFont="1" applyBorder="1" applyAlignment="1">
      <alignment horizontal="left" vertical="top"/>
    </xf>
    <xf numFmtId="0" fontId="1" fillId="28" borderId="7" xfId="0" applyFont="1" applyFill="1" applyBorder="1" applyAlignment="1">
      <alignment horizontal="center" vertical="center"/>
    </xf>
    <xf numFmtId="0" fontId="70" fillId="0" borderId="1" xfId="0" applyFont="1" applyBorder="1" applyAlignment="1"/>
    <xf numFmtId="0" fontId="70" fillId="0" borderId="10" xfId="0" applyFont="1" applyBorder="1" applyAlignment="1"/>
    <xf numFmtId="0" fontId="70" fillId="0" borderId="2" xfId="0" applyFont="1" applyBorder="1" applyAlignment="1"/>
    <xf numFmtId="0" fontId="73" fillId="39" borderId="8" xfId="0" applyFont="1" applyFill="1" applyBorder="1" applyAlignment="1"/>
    <xf numFmtId="0" fontId="73" fillId="39" borderId="34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045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>
        <bottom style="medium">
          <color rgb="FF000000"/>
        </bottom>
      </border>
    </dxf>
    <dxf>
      <border outline="0">
        <right style="medium">
          <color rgb="FF000000"/>
        </righ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charset val="1"/>
        <scheme val="none"/>
      </font>
      <fill>
        <patternFill patternType="solid">
          <fgColor indexed="64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color theme="0"/>
      </font>
      <fill>
        <patternFill patternType="solid">
          <bgColor rgb="FF548235"/>
        </patternFill>
      </fill>
    </dxf>
    <dxf>
      <font>
        <color theme="0"/>
      </font>
      <fill>
        <patternFill patternType="solid">
          <bgColor rgb="FF54823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7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theme="1"/>
      </font>
      <fill>
        <patternFill patternType="solid">
          <fgColor rgb="FFFF0000"/>
          <bgColor rgb="FFFF0000"/>
        </patternFill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Calibri"/>
        <charset val="1"/>
        <scheme val="none"/>
      </font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/>
    </dxf>
    <dxf>
      <font>
        <name val="Aptos Narrow"/>
        <scheme val="minor"/>
      </font>
    </dxf>
    <dxf>
      <font>
        <b/>
        <i val="0"/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alignment horizontal="center" vertical="center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name val="Aptos Narrow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38761D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_-&quot;R$&quot;\ * #,##0.00_-;\-&quot;R$&quot;\ * #,##0.00_-;_-&quot;R$&quot;\ * &quot;-&quot;??_-;_-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theme="1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0006"/>
      </font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dd/mm/yyyy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66" formatCode="_-[$R$-416]\ * #,##0.00_-;\-[$R$-416]\ * #,##0.00_-;_-[$R$-416]\ * &quot;-&quot;??_-;_-@_-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66" formatCode="_-[$R$-416]\ * #,##0.00_-;\-[$R$-416]\ * #,##0.00_-;_-[$R$-416]\ * &quot;-&quot;??_-;_-@_-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</font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4" formatCode="0.00%"/>
      <fill>
        <patternFill patternType="none"/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_-[$R$-416]\ * #,##0.00_-;\-[$R$-416]\ * #,##0.00_-;_-[$R$-416]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_-[$R$-416]\ * #,##0.00_-;\-[$R$-416]\ * #,##0.00_-;_-[$R$-416]\ * &quot;-&quot;??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/>
      </border>
    </dxf>
    <dxf>
      <fill>
        <patternFill patternType="none"/>
      </fill>
      <alignment horizontal="center" wrapTex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rgb="FF000000"/>
        </right>
        <top style="medium">
          <color rgb="FF000000"/>
        </top>
        <bottom/>
      </border>
    </dxf>
    <dxf>
      <border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alignment wrapText="0"/>
    </dxf>
    <dxf>
      <font>
        <sz val="11"/>
        <name val="Aptos Narrow"/>
        <scheme val="minor"/>
      </font>
    </dxf>
    <dxf>
      <font>
        <b/>
        <i val="0"/>
        <color rgb="FF9C0006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9D9D9"/>
      <color rgb="FF0A2F41"/>
      <color rgb="FFFBE2D5"/>
      <color rgb="FFC6D9F0"/>
      <color rgb="FF215C98"/>
      <color rgb="FFC0F1C8"/>
      <color rgb="FF0E2841"/>
      <color rgb="FFFFFFFF"/>
      <color rgb="FF808080"/>
      <color rgb="FFF9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GLOBALIZADA CESAMA'!A1"/><Relationship Id="rId2" Type="http://schemas.openxmlformats.org/officeDocument/2006/relationships/image" Target="../media/image1.jpeg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hyperlink" Target="#DIVERS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hyperlink" Target="#DIVERS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hyperlink" Target="#SUASE!A1"/><Relationship Id="rId4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hyperlink" Target="#SUINT!A1"/><Relationship Id="rId5" Type="http://schemas.openxmlformats.org/officeDocument/2006/relationships/image" Target="../media/image1.jpeg"/><Relationship Id="rId4" Type="http://schemas.openxmlformats.org/officeDocument/2006/relationships/hyperlink" Target="#SUAS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DIVERSAS!A1"/><Relationship Id="rId2" Type="http://schemas.openxmlformats.org/officeDocument/2006/relationships/hyperlink" Target="#'GLOBALIZADA CESAMA'!A1"/><Relationship Id="rId1" Type="http://schemas.openxmlformats.org/officeDocument/2006/relationships/hyperlink" Target="#'GLOBALIZADA COPASA'!A1"/><Relationship Id="rId6" Type="http://schemas.openxmlformats.org/officeDocument/2006/relationships/image" Target="../media/image1.jpeg"/><Relationship Id="rId5" Type="http://schemas.openxmlformats.org/officeDocument/2006/relationships/hyperlink" Target="#SUINT!A1"/><Relationship Id="rId4" Type="http://schemas.openxmlformats.org/officeDocument/2006/relationships/hyperlink" Target="#SUAS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269370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76097-6831-46EC-BBC4-D58F60256436}"/>
            </a:ext>
          </a:extLst>
        </xdr:cNvPr>
        <xdr:cNvSpPr/>
      </xdr:nvSpPr>
      <xdr:spPr>
        <a:xfrm>
          <a:off x="171450" y="731520"/>
          <a:ext cx="3024000" cy="470535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A31631-871B-443B-965A-6E9A815806D0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62FAAB-C4C2-4D81-9864-9B21C10D8C16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DIVERSAS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38100</xdr:rowOff>
    </xdr:from>
    <xdr:to>
      <xdr:col>1</xdr:col>
      <xdr:colOff>85725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A81DCA-2F0A-4BC9-8C3E-D1D872D2243C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50" y="285750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180975</xdr:colOff>
      <xdr:row>17</xdr:row>
      <xdr:rowOff>180975</xdr:rowOff>
    </xdr:from>
    <xdr:to>
      <xdr:col>1</xdr:col>
      <xdr:colOff>95250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392E256-170B-4AA6-9963-182DC0ED66C4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5" y="3579495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76200</xdr:rowOff>
    </xdr:from>
    <xdr:to>
      <xdr:col>1</xdr:col>
      <xdr:colOff>85770</xdr:colOff>
      <xdr:row>5</xdr:row>
      <xdr:rowOff>38100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8A7EC-83B2-455B-B0D4-AAA882E093BC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57150</xdr:rowOff>
    </xdr:from>
    <xdr:to>
      <xdr:col>1</xdr:col>
      <xdr:colOff>269370</xdr:colOff>
      <xdr:row>8</xdr:row>
      <xdr:rowOff>142875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343E1B-213F-4ED5-9E50-0E0DDCB4ECD5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3024000" cy="472440"/>
        </a:xfrm>
        <a:prstGeom prst="rect">
          <a:avLst/>
        </a:prstGeom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161924</xdr:colOff>
      <xdr:row>10</xdr:row>
      <xdr:rowOff>0</xdr:rowOff>
    </xdr:from>
    <xdr:to>
      <xdr:col>1</xdr:col>
      <xdr:colOff>76244</xdr:colOff>
      <xdr:row>12</xdr:row>
      <xdr:rowOff>85725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24D9EE-97D3-4306-B65D-06AB074E4590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4" y="212598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13</xdr:row>
      <xdr:rowOff>152400</xdr:rowOff>
    </xdr:from>
    <xdr:to>
      <xdr:col>1</xdr:col>
      <xdr:colOff>85769</xdr:colOff>
      <xdr:row>16</xdr:row>
      <xdr:rowOff>47625</xdr:rowOff>
    </xdr:to>
    <xdr:sp macro="" textlink="">
      <xdr:nvSpPr>
        <xdr:cNvPr id="15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A85EAB-7597-42DB-BE36-E56FF3715066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104775</xdr:rowOff>
    </xdr:from>
    <xdr:to>
      <xdr:col>1</xdr:col>
      <xdr:colOff>95294</xdr:colOff>
      <xdr:row>20</xdr:row>
      <xdr:rowOff>0</xdr:rowOff>
    </xdr:to>
    <xdr:sp macro="" textlink="">
      <xdr:nvSpPr>
        <xdr:cNvPr id="16" name="Retâ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AC7353-5EF2-4834-99DE-B0F93ABC0927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4DAAE-5AFD-4152-9944-8C814B37CF79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85770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6CFBCA-D7E7-4E91-8663-A7CF721F5E40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161924</xdr:colOff>
      <xdr:row>10</xdr:row>
      <xdr:rowOff>76200</xdr:rowOff>
    </xdr:from>
    <xdr:to>
      <xdr:col>1</xdr:col>
      <xdr:colOff>259844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9E89F4-A7CF-414E-90B7-A1D0FD303D59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4" y="2125980"/>
          <a:ext cx="3024000" cy="472440"/>
        </a:xfrm>
        <a:prstGeom prst="rect">
          <a:avLst/>
        </a:prstGeom>
        <a:blipFill>
          <a:blip xmlns:r="http://schemas.openxmlformats.org/officeDocument/2006/relationships" r:embed="rId4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14</xdr:row>
      <xdr:rowOff>38100</xdr:rowOff>
    </xdr:from>
    <xdr:to>
      <xdr:col>1</xdr:col>
      <xdr:colOff>85769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530A9B-BD76-43D0-88B6-4FD8562CE810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180975</xdr:rowOff>
    </xdr:from>
    <xdr:to>
      <xdr:col>1</xdr:col>
      <xdr:colOff>95294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506E73-037D-47C3-A3B2-5C6347F182B6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284040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EFBED-E866-4BBC-A25E-3ED973BD57CF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187E29-43B8-4EE5-BC1E-AC80E884BFC7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2862B4-6F32-4BE8-8AE2-CE0D59A4EF90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DIVERSAS</a:t>
          </a:r>
        </a:p>
      </xdr:txBody>
    </xdr:sp>
    <xdr:clientData/>
  </xdr:twoCellAnchor>
  <xdr:twoCellAnchor editAs="absolute">
    <xdr:from>
      <xdr:col>0</xdr:col>
      <xdr:colOff>171449</xdr:colOff>
      <xdr:row>14</xdr:row>
      <xdr:rowOff>38100</xdr:rowOff>
    </xdr:from>
    <xdr:to>
      <xdr:col>1</xdr:col>
      <xdr:colOff>269369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9AC8EC-A45A-45C5-9F39-7FE5389EC55A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49" y="2857500"/>
          <a:ext cx="3024000" cy="472440"/>
        </a:xfrm>
        <a:prstGeom prst="rect">
          <a:avLst/>
        </a:prstGeom>
        <a:blipFill>
          <a:blip xmlns:r="http://schemas.openxmlformats.org/officeDocument/2006/relationships" r:embed="rId5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SUASE</a:t>
          </a:r>
        </a:p>
      </xdr:txBody>
    </xdr:sp>
    <xdr:clientData/>
  </xdr:twoCellAnchor>
  <xdr:twoCellAnchor editAs="absolute">
    <xdr:from>
      <xdr:col>0</xdr:col>
      <xdr:colOff>180975</xdr:colOff>
      <xdr:row>17</xdr:row>
      <xdr:rowOff>180975</xdr:rowOff>
    </xdr:from>
    <xdr:to>
      <xdr:col>1</xdr:col>
      <xdr:colOff>95250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69ECCF-118E-4566-B7DA-BC9C9ED94271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5" y="3579495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SUINT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3</xdr:row>
      <xdr:rowOff>152400</xdr:rowOff>
    </xdr:from>
    <xdr:to>
      <xdr:col>1</xdr:col>
      <xdr:colOff>85770</xdr:colOff>
      <xdr:row>5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A71CD-7055-441E-850A-FB03EC1938CA}"/>
            </a:ext>
          </a:extLst>
        </xdr:cNvPr>
        <xdr:cNvSpPr/>
      </xdr:nvSpPr>
      <xdr:spPr>
        <a:xfrm>
          <a:off x="171450" y="731520"/>
          <a:ext cx="2840400" cy="470535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GLOBALIZADA COPASA</a:t>
          </a:r>
        </a:p>
      </xdr:txBody>
    </xdr:sp>
    <xdr:clientData/>
  </xdr:twoCellAnchor>
  <xdr:twoCellAnchor editAs="absolute">
    <xdr:from>
      <xdr:col>0</xdr:col>
      <xdr:colOff>171450</xdr:colOff>
      <xdr:row>6</xdr:row>
      <xdr:rowOff>133350</xdr:rowOff>
    </xdr:from>
    <xdr:to>
      <xdr:col>1</xdr:col>
      <xdr:colOff>76200</xdr:colOff>
      <xdr:row>9</xdr:row>
      <xdr:rowOff>28575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545773-831B-477B-A5AC-97F1EAA9F9AE}"/>
            </a:ext>
            <a:ext uri="{147F2762-F138-4A5C-976F-8EAC2B608ADB}">
              <a16:predDERef xmlns:a16="http://schemas.microsoft.com/office/drawing/2014/main" pred="{E4E22622-1DA1-0E75-E879-BB3B746F7877}"/>
            </a:ext>
          </a:extLst>
        </xdr:cNvPr>
        <xdr:cNvSpPr/>
      </xdr:nvSpPr>
      <xdr:spPr>
        <a:xfrm>
          <a:off x="171450" y="1413510"/>
          <a:ext cx="2830830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GLOBALIZADA CESAMA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1</xdr:col>
      <xdr:colOff>76200</xdr:colOff>
      <xdr:row>12</xdr:row>
      <xdr:rowOff>161925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914B8F-D79F-4997-9859-3F72CA05135E}"/>
            </a:ext>
            <a:ext uri="{147F2762-F138-4A5C-976F-8EAC2B608ADB}">
              <a16:predDERef xmlns:a16="http://schemas.microsoft.com/office/drawing/2014/main" pred="{92C6641C-9F7C-4795-8028-410064480230}"/>
            </a:ext>
          </a:extLst>
        </xdr:cNvPr>
        <xdr:cNvSpPr/>
      </xdr:nvSpPr>
      <xdr:spPr>
        <a:xfrm>
          <a:off x="161925" y="212598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  <a:ea typeface="+mn-ea"/>
              <a:cs typeface="+mn-cs"/>
            </a:rPr>
            <a:t>DIVERSAS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38100</xdr:rowOff>
    </xdr:from>
    <xdr:to>
      <xdr:col>1</xdr:col>
      <xdr:colOff>85725</xdr:colOff>
      <xdr:row>16</xdr:row>
      <xdr:rowOff>123825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5AEA80-44AA-461A-8E1A-0B467FC61816}"/>
            </a:ext>
            <a:ext uri="{147F2762-F138-4A5C-976F-8EAC2B608ADB}">
              <a16:predDERef xmlns:a16="http://schemas.microsoft.com/office/drawing/2014/main" pred="{6A3E13C3-4F1E-44D3-AA62-A577CEAC95A3}"/>
            </a:ext>
          </a:extLst>
        </xdr:cNvPr>
        <xdr:cNvSpPr/>
      </xdr:nvSpPr>
      <xdr:spPr>
        <a:xfrm>
          <a:off x="171450" y="2857500"/>
          <a:ext cx="2840355" cy="472440"/>
        </a:xfrm>
        <a:prstGeom prst="rect">
          <a:avLst/>
        </a:prstGeom>
        <a:solidFill>
          <a:srgbClr val="0E2841"/>
        </a:solid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SUASE</a:t>
          </a:r>
        </a:p>
      </xdr:txBody>
    </xdr:sp>
    <xdr:clientData/>
  </xdr:twoCellAnchor>
  <xdr:twoCellAnchor editAs="absolute">
    <xdr:from>
      <xdr:col>0</xdr:col>
      <xdr:colOff>180974</xdr:colOff>
      <xdr:row>17</xdr:row>
      <xdr:rowOff>180975</xdr:rowOff>
    </xdr:from>
    <xdr:to>
      <xdr:col>1</xdr:col>
      <xdr:colOff>278894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4D5B5B-6C9E-4401-A5E2-D3E30F8604E8}"/>
            </a:ext>
            <a:ext uri="{147F2762-F138-4A5C-976F-8EAC2B608ADB}">
              <a16:predDERef xmlns:a16="http://schemas.microsoft.com/office/drawing/2014/main" pred="{72614AF1-4FAE-4496-812C-2746FC506B03}"/>
            </a:ext>
          </a:extLst>
        </xdr:cNvPr>
        <xdr:cNvSpPr/>
      </xdr:nvSpPr>
      <xdr:spPr>
        <a:xfrm>
          <a:off x="180974" y="3579495"/>
          <a:ext cx="3024000" cy="472440"/>
        </a:xfrm>
        <a:prstGeom prst="rect">
          <a:avLst/>
        </a:prstGeom>
        <a:blipFill>
          <a:blip xmlns:r="http://schemas.openxmlformats.org/officeDocument/2006/relationships" r:embed="rId6"/>
          <a:tile tx="0" ty="0" sx="100000" sy="100000" flip="none" algn="tl"/>
        </a:blipFill>
        <a:ln>
          <a:solidFill>
            <a:srgbClr val="FFFFFF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SUINT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9D201-E7EE-4CFF-8D56-DB2CF28786DC}" name="GLOBALIZADA_COPASA" displayName="GLOBALIZADA_COPASA" ref="C4:EY192" totalsRowShown="0" headerRowDxfId="1040" dataDxfId="1039" headerRowBorderDxfId="1037" tableBorderDxfId="1038" totalsRowBorderDxfId="1036">
  <autoFilter ref="C4:EY192" xr:uid="{0B29D201-E7EE-4CFF-8D56-DB2CF28786DC}"/>
  <tableColumns count="153">
    <tableColumn id="1" xr3:uid="{F634CD34-AE6D-477B-9FDB-F3D0C568EDDA}" name="UNIDADES PRISIONAIS" dataDxfId="1034" totalsRowDxfId="1035"/>
    <tableColumn id="2" xr3:uid="{AFA77CFE-0F69-4902-8202-A3D9260D576B}" name="UNIDADE EXECUTORA" dataDxfId="1032" totalsRowDxfId="1033"/>
    <tableColumn id="3" xr3:uid="{ACFAD021-98EF-42C9-B4F6-40DBF885596B}" name="UPG" dataDxfId="1030" totalsRowDxfId="1031"/>
    <tableColumn id="4" xr3:uid="{42267277-B5ED-42AF-B53D-DEC24AB20EC1}" name="HIDRÔMETRO" dataDxfId="1028" totalsRowDxfId="1029"/>
    <tableColumn id="87" xr3:uid="{B74AD70F-C9F0-44B0-98C0-7021C902A300}" name="MATRÍCULA" dataDxfId="1026" totalsRowDxfId="1027"/>
    <tableColumn id="82" xr3:uid="{52BE6F3A-F2DC-4449-BD07-586A5E0D1EFE}" name="CONCESSIONÁRIA" dataDxfId="1024" totalsRowDxfId="1025"/>
    <tableColumn id="83" xr3:uid="{B52C0CB9-E94B-47E6-B138-3F3DAFE4D5F1}" name="CNPJ" dataDxfId="1022" totalsRowDxfId="1023"/>
    <tableColumn id="84" xr3:uid="{86DF2FD3-B9CC-445C-89E6-3FD136E99E9C}" name="IDENTIFICADOR (1)" dataDxfId="1020" totalsRowDxfId="1021"/>
    <tableColumn id="85" xr3:uid="{BAF75AF0-DCDF-4579-966D-2A3A2E0544A8}" name="IDENTIFICADOR (2)" dataDxfId="1018" totalsRowDxfId="1019"/>
    <tableColumn id="5" xr3:uid="{CF1E7F0A-BFD0-4499-BE52-2932EE23EC0B}" name="EMPENHO (FONTE 10)" dataDxfId="1016" totalsRowDxfId="1017"/>
    <tableColumn id="6" xr3:uid="{E6AE70A6-AF6B-4092-9224-193AB1D23687}" name="EMPENHO DE ENCARGOS (FONTE 10)" dataDxfId="1014" totalsRowDxfId="1015"/>
    <tableColumn id="7" xr3:uid="{994D441D-83AA-42F1-B038-B88B6873AC93}" name="EMPENHO (FONTE 60)" dataDxfId="1012" totalsRowDxfId="1013"/>
    <tableColumn id="8" xr3:uid="{690E30F1-84D2-4A61-A440-0704F3CFE189}" name="EMPENHO DE ENCARGOS (FONTE 60)" dataDxfId="1010" totalsRowDxfId="1011"/>
    <tableColumn id="86" xr3:uid="{50A09C1D-366B-48BA-B886-54AA107F38E7}" name="IR (12)" dataDxfId="1008" totalsRowDxfId="1009"/>
    <tableColumn id="88" xr3:uid="{C9D4903F-72E4-4AF4-B74F-04694B1A716C}" name="ENCARGOS (12)" dataDxfId="1006" totalsRowDxfId="1007"/>
    <tableColumn id="117" xr3:uid="{3CB1A8E2-5F05-41D7-897F-76EF4F8C2415}" name="LÍQUIDO (12)" dataDxfId="1004" totalsRowDxfId="1005"/>
    <tableColumn id="118" xr3:uid="{11F918AC-C08B-4701-AC54-52E48AB3305F}" name="M³ (12)" dataDxfId="1002" totalsRowDxfId="1003"/>
    <tableColumn id="89" xr3:uid="{46D5AF90-D62E-4292-ACF1-5E192F693D54}" name="Nº SEI" dataDxfId="1000" totalsRowDxfId="1001"/>
    <tableColumn id="90" xr3:uid="{57DFB272-C3C2-4A24-885C-FDDACB2C9E1F}" name="VENCIMENTO" dataDxfId="998" totalsRowDxfId="999"/>
    <tableColumn id="115" xr3:uid="{10388E91-A08E-49FC-82DF-C661FF151400}" name="Variação Consumo" dataDxfId="996" totalsRowDxfId="997"/>
    <tableColumn id="116" xr3:uid="{8390D7BE-555B-49AD-A932-CD99E41C69CC}" name="Variação Financeiro" dataDxfId="994" totalsRowDxfId="995"/>
    <tableColumn id="9" xr3:uid="{3F1C4BCD-4749-479A-BAE4-5C3344B8F07D}" name="BRUTO (1)" dataDxfId="992" totalsRowDxfId="993">
      <calculatedColumnFormula>AA5 + ABS(Y5) + ABS(Z5)</calculatedColumnFormula>
    </tableColumn>
    <tableColumn id="10" xr3:uid="{B3A20449-3009-4854-B024-F1FC42874FF8}" name="IR (1)" dataDxfId="990" totalsRowDxfId="991"/>
    <tableColumn id="11" xr3:uid="{1BB7E05D-03DE-4231-963B-194E472609F0}" name="ENCARGOS (1)" dataDxfId="988" totalsRowDxfId="989"/>
    <tableColumn id="12" xr3:uid="{A6DC2D08-9D8D-44AA-8687-6F0CDD0DF41A}" name="LÍQUIDO (1)" dataDxfId="986" totalsRowDxfId="987"/>
    <tableColumn id="13" xr3:uid="{E830723C-86F0-4303-A1C0-CB499DA1740B}" name="M³ (1)" dataDxfId="984" totalsRowDxfId="985"/>
    <tableColumn id="133" xr3:uid="{E335BD5C-CA9E-4C31-8828-18713E37F9B3}" name="VENCIMENTO (1)" dataDxfId="982" totalsRowDxfId="983"/>
    <tableColumn id="91" xr3:uid="{ECD4580F-371B-4339-B092-F7E190483E65}" name="Nº SEI (1)" dataDxfId="980" totalsRowDxfId="981"/>
    <tableColumn id="132" xr3:uid="{9BD27920-C11B-421D-8EF7-36E491B04E87}" name="ENVIADO AO DED (1)" dataDxfId="978" totalsRowDxfId="979"/>
    <tableColumn id="121" xr3:uid="{FA696967-5F12-40F2-9687-BBF2E0AD18CA}" name="PAGO (1)" dataDxfId="976" totalsRowDxfId="977"/>
    <tableColumn id="14" xr3:uid="{3A42093F-354D-419F-B065-0BD73FF48FB3}" name="Variação Consumo (1)" dataDxfId="974" totalsRowDxfId="975">
      <calculatedColumnFormula>(AB5-S5)/S5</calculatedColumnFormula>
    </tableColumn>
    <tableColumn id="15" xr3:uid="{36EF1DC2-FE30-4E29-9EFF-F11049570ED5}" name="Variação Financeiro (1)" dataDxfId="972" totalsRowDxfId="973">
      <calculatedColumnFormula>(AA5-R5)/R5</calculatedColumnFormula>
    </tableColumn>
    <tableColumn id="119" xr3:uid="{24D6C531-0BB3-4F44-8259-F080C6B0FC21}" name="BRUTO (2)" dataDxfId="970" totalsRowDxfId="971"/>
    <tableColumn id="16" xr3:uid="{71BC9331-C5C5-4BAC-B149-54AF0A7BBE9C}" name="IR (2)" dataDxfId="968" totalsRowDxfId="969">
      <calculatedColumnFormula>(AA5-T5)/T5</calculatedColumnFormula>
    </tableColumn>
    <tableColumn id="17" xr3:uid="{900F187E-6502-4D34-B838-85CF4AEBF871}" name="ENCARGOS (2)" dataDxfId="966" totalsRowDxfId="967"/>
    <tableColumn id="18" xr3:uid="{635A20ED-E07F-4610-8237-72A979D20338}" name="LÍQUIDO (1)2" dataDxfId="964" totalsRowDxfId="965"/>
    <tableColumn id="19" xr3:uid="{B016F017-7971-43CB-8384-D3B16870B859}" name="M³ (2)" dataDxfId="962" totalsRowDxfId="963"/>
    <tableColumn id="134" xr3:uid="{96112875-80E1-41BC-ABE4-62B2C4097924}" name="VENCIMENTO (2)" dataDxfId="960" totalsRowDxfId="961"/>
    <tableColumn id="93" xr3:uid="{B56F3242-35E8-4DEF-9ABB-6BF97FCA0F48}" name="Nº SEI (2)" dataDxfId="958" totalsRowDxfId="959"/>
    <tableColumn id="135" xr3:uid="{9DB5BD8D-5F4E-4252-9703-FDAE825F50A2}" name="ENVIADO AO DED (1)2" dataDxfId="956" totalsRowDxfId="957"/>
    <tableColumn id="94" xr3:uid="{C94C2778-05F2-44AF-BC22-FE3DFA19DD73}" name="PAGO (1)3" dataDxfId="954" totalsRowDxfId="955"/>
    <tableColumn id="20" xr3:uid="{BA4B937A-FC4F-4F63-9509-99F5BEEB41AD}" name="Variação Consumo (2)" dataDxfId="952" totalsRowDxfId="953">
      <calculatedColumnFormula>(AM5-AB5)/AB5</calculatedColumnFormula>
    </tableColumn>
    <tableColumn id="21" xr3:uid="{B269277F-127B-4332-9322-B9B021AE26A7}" name="Variação Financeiro (2)" dataDxfId="950" totalsRowDxfId="951">
      <calculatedColumnFormula>(AL5-AA5)/AA5</calculatedColumnFormula>
    </tableColumn>
    <tableColumn id="23" xr3:uid="{4F617ACB-ADAA-4866-9CAD-3DB7312FCC18}" name="BRUTO (3)" dataDxfId="948" totalsRowDxfId="949"/>
    <tableColumn id="120" xr3:uid="{E952414E-CD05-4CF9-A596-78DCFC55DADA}" name="IR (3)3" dataDxfId="946" totalsRowDxfId="947"/>
    <tableColumn id="122" xr3:uid="{345C64BF-E18E-4EA7-A518-96BC2AEAB00E}" name="ENCARGOS (3)" dataDxfId="944" totalsRowDxfId="945"/>
    <tableColumn id="24" xr3:uid="{AD92E9D5-AEA1-4E92-B928-E49547AD9D1B}" name="LÍQUIDO (3)" dataDxfId="942" totalsRowDxfId="943"/>
    <tableColumn id="25" xr3:uid="{C748169B-9F61-4B9C-B486-64AC2B44FC47}" name="M³ (3)" dataDxfId="940" totalsRowDxfId="941"/>
    <tableColumn id="136" xr3:uid="{86B1D1D9-FF29-4293-A6C9-83A443BA5022}" name="VENCIMENTO (3)" totalsRowDxfId="939"/>
    <tableColumn id="95" xr3:uid="{5E150480-71F1-4AEF-8CF3-CF62B1BC531D}" name="Nº SEI (3)" dataDxfId="937" totalsRowDxfId="938"/>
    <tableColumn id="137" xr3:uid="{1DCE57C5-D893-4C84-9FEC-0A48A9966B5E}" name="ENVIADO AO DED (1)3" dataDxfId="935" totalsRowDxfId="936"/>
    <tableColumn id="96" xr3:uid="{0D6040E5-98CA-455B-8CB7-256A5823D2C5}" name="PAGO (1)4" dataDxfId="933" totalsRowDxfId="934"/>
    <tableColumn id="26" xr3:uid="{FB49C552-6FD2-48F0-BAA8-8A857421BC08}" name="Variação Consumo (3)" dataDxfId="931" totalsRowDxfId="932">
      <calculatedColumnFormula>(AX5-AM5)/AM5</calculatedColumnFormula>
    </tableColumn>
    <tableColumn id="27" xr3:uid="{3886F1F7-DBF4-42E6-9CFB-BD53BCB17098}" name="Variação Financeiro (3)" dataDxfId="929" totalsRowDxfId="930">
      <calculatedColumnFormula>(AW5-AL5)/AL5</calculatedColumnFormula>
    </tableColumn>
    <tableColumn id="123" xr3:uid="{CEE2A916-0863-4D0F-87DA-A9BAE9811AE8}" name="BRUTO (4)" dataDxfId="927" totalsRowDxfId="928"/>
    <tableColumn id="28" xr3:uid="{27F05113-164B-4D3F-8427-09E6ACFE1B3F}" name="IR (4)" dataDxfId="925" totalsRowDxfId="926"/>
    <tableColumn id="29" xr3:uid="{79336B97-1FCA-4E63-AA2F-0CA8C6BCDC33}" name="ENCARGOS (4)" dataDxfId="923" totalsRowDxfId="924"/>
    <tableColumn id="30" xr3:uid="{CBAEF4A8-3389-429F-B5DD-D60EFFFB79DF}" name="LÍQUIDO (4)" dataDxfId="921" totalsRowDxfId="922"/>
    <tableColumn id="31" xr3:uid="{6AD3380F-F0ED-49B0-8C7A-0E388F322780}" name="M³ (4)" dataDxfId="919" totalsRowDxfId="920"/>
    <tableColumn id="138" xr3:uid="{DA9DA053-8C14-4788-988D-6005B7AB1C08}" name="VENCIMENTO (4)" totalsRowDxfId="918"/>
    <tableColumn id="97" xr3:uid="{60E9E968-79A5-489F-BED8-4E7C7DFE5099}" name="Nº SEI (4)" dataDxfId="916" totalsRowDxfId="917"/>
    <tableColumn id="139" xr3:uid="{90176053-2A11-4B8A-B518-A1A018784338}" name="ENVIADO AO DED (1)22" dataDxfId="914" totalsRowDxfId="915"/>
    <tableColumn id="98" xr3:uid="{3643D33C-2F93-4455-B099-762355ABEEF1}" name="PAGO (1)33" dataDxfId="912" totalsRowDxfId="913"/>
    <tableColumn id="32" xr3:uid="{D3A1D18F-978D-4190-A9F1-9417BA51A1E2}" name="Variação Consumo (4)" dataDxfId="910" totalsRowDxfId="911">
      <calculatedColumnFormula>(BI5-AZ5)/AZ5</calculatedColumnFormula>
    </tableColumn>
    <tableColumn id="33" xr3:uid="{AC2230BE-B1A7-43EE-AD92-D73C4AB6D157}" name="Variação Financeiro (4)" dataDxfId="908" totalsRowDxfId="909">
      <calculatedColumnFormula>(BH5-AW5)/AW5</calculatedColumnFormula>
    </tableColumn>
    <tableColumn id="124" xr3:uid="{EC998C1A-C691-48DF-A50F-9BEDED643473}" name="BRUTO (3)2" dataDxfId="906" totalsRowDxfId="907"/>
    <tableColumn id="34" xr3:uid="{81108B8A-CB44-45DC-B7E6-1A48C833FE64}" name="IR (3)33" dataDxfId="904" totalsRowDxfId="905"/>
    <tableColumn id="35" xr3:uid="{A929F229-6544-486B-8C1C-E4E70AE75626}" name="ENCARGOS (3)4" dataDxfId="902" totalsRowDxfId="903"/>
    <tableColumn id="36" xr3:uid="{4A6DCBE3-FF31-48D3-847F-7BE02B818890}" name="LÍQUIDO (3)5" dataDxfId="900" totalsRowDxfId="901"/>
    <tableColumn id="37" xr3:uid="{0CC9B807-F0C3-48A4-AFDC-FAE03F4E923A}" name="M³ (3)6" dataDxfId="898" totalsRowDxfId="899"/>
    <tableColumn id="140" xr3:uid="{7B2006DB-F13D-4433-BE9B-871EAF4DFE60}" name="VENCIMENTO (3)7" totalsRowDxfId="897"/>
    <tableColumn id="99" xr3:uid="{A4BBD534-0D72-4B20-A632-B5A4DCBB69A7}" name="Nº SEI (3)8" dataDxfId="895" totalsRowDxfId="896"/>
    <tableColumn id="100" xr3:uid="{94A72AEB-F0B3-4ACA-B961-5C5383BCF452}" name="ENVIADO AO DED (1)39" dataDxfId="893" totalsRowDxfId="894"/>
    <tableColumn id="141" xr3:uid="{66D8B626-05EE-479D-892C-5CE10C9E9270}" name="PAGO (1)410" totalsRowDxfId="892"/>
    <tableColumn id="38" xr3:uid="{1C2E1D5B-FFD3-4FCE-A370-21826A3F57D5}" name="Variação Consumo (3)11" dataDxfId="890" totalsRowDxfId="891"/>
    <tableColumn id="39" xr3:uid="{35B9D9DC-5232-4447-9D4B-CE8BCE3A4501}" name="Variação Financeiro (3)12" dataDxfId="888" totalsRowDxfId="889"/>
    <tableColumn id="125" xr3:uid="{56B25AFE-A524-4C81-AD78-DECD2BC5E8EF}" name="BRUTO (4)13" dataDxfId="886" totalsRowDxfId="887"/>
    <tableColumn id="40" xr3:uid="{4654FB3C-C939-49DE-BE7C-F58F369FD876}" name="IR (4)14" dataDxfId="884" totalsRowDxfId="885"/>
    <tableColumn id="41" xr3:uid="{C49402E7-5C0A-42B6-A616-646C023AFBD6}" name="ENCARGOS (4)15" dataDxfId="882" totalsRowDxfId="883"/>
    <tableColumn id="42" xr3:uid="{F97D8286-1255-4593-96CF-910F66085262}" name="LÍQUIDO (4)16" dataDxfId="880" totalsRowDxfId="881"/>
    <tableColumn id="43" xr3:uid="{6E62FC85-CB4E-4643-A5FB-9C41B284C465}" name="M³ (4)17" dataDxfId="878" totalsRowDxfId="879"/>
    <tableColumn id="101" xr3:uid="{33F2977E-8D87-4E57-8EEE-63997C1874A3}" name="VENCIMENTO (4)18" dataDxfId="876" totalsRowDxfId="877"/>
    <tableColumn id="102" xr3:uid="{B1E33CBA-7EB6-4846-BE0B-157989B54DD9}" name="Nº SEI (4)19" dataDxfId="874" totalsRowDxfId="875"/>
    <tableColumn id="44" xr3:uid="{DE308A64-247C-42FC-B0AF-96FB1F66599C}" name="ENVIADO AO DED (1)2220" dataDxfId="872" totalsRowDxfId="873"/>
    <tableColumn id="45" xr3:uid="{0B6F6822-CEAA-4AA9-98A1-3DB23A68D665}" name="PAGO (1)3321" dataDxfId="870" totalsRowDxfId="871"/>
    <tableColumn id="126" xr3:uid="{4C8FA210-E23F-4E78-87BC-FE877B99917C}" name="Variação Consumo (4)22" dataDxfId="868" totalsRowDxfId="869"/>
    <tableColumn id="46" xr3:uid="{2583D89E-BB06-444B-BC00-92B96850F63B}" name="Variação Financeiro (4)23" dataDxfId="866" totalsRowDxfId="867"/>
    <tableColumn id="47" xr3:uid="{B4327A9B-E7F5-45DA-8C46-D0C17C154FBA}" name="BRUTO (3)3" dataDxfId="864" totalsRowDxfId="865"/>
    <tableColumn id="48" xr3:uid="{0DB0A1FD-1B09-459C-8897-3492AC5690E2}" name="IR (3)34" dataDxfId="862" totalsRowDxfId="863"/>
    <tableColumn id="49" xr3:uid="{2A2BCE00-1585-498F-BAC3-7DCCF15B8927}" name="ENCARGOS (3)5" dataDxfId="860" totalsRowDxfId="861"/>
    <tableColumn id="103" xr3:uid="{5F3BBBB2-AF12-455A-96AC-7620889401F3}" name="LÍQUIDO (3)6" dataDxfId="858" totalsRowDxfId="859"/>
    <tableColumn id="104" xr3:uid="{0EF91E09-3632-440B-B8A2-2BF3451881AA}" name="M³ (3)7" dataDxfId="856" totalsRowDxfId="857"/>
    <tableColumn id="50" xr3:uid="{10B92432-5264-422C-9C06-A09A8036C306}" name="VENCIMENTO (3)8" dataDxfId="854" totalsRowDxfId="855"/>
    <tableColumn id="51" xr3:uid="{533564A8-6332-4B07-97E8-CF54105B3FF1}" name="Nº SEI (3)9" dataDxfId="852" totalsRowDxfId="853"/>
    <tableColumn id="127" xr3:uid="{74A7E5C5-7976-4553-94D3-5471AE464DE8}" name="ENVIADO AO DED (1)310" dataDxfId="850" totalsRowDxfId="851"/>
    <tableColumn id="52" xr3:uid="{C2C562BA-1E25-4F73-9F1E-E173A8110CFF}" name="PAGO (1)411" dataDxfId="848" totalsRowDxfId="849"/>
    <tableColumn id="53" xr3:uid="{85CFC9D2-2579-41C7-923C-1308E465C4DC}" name="Variação Consumo (3)12" dataDxfId="846" totalsRowDxfId="847"/>
    <tableColumn id="54" xr3:uid="{BDE54857-B4AB-48E6-947B-3245D06FA210}" name="Variação Financeiro (3)13" dataDxfId="844" totalsRowDxfId="845"/>
    <tableColumn id="55" xr3:uid="{F879759E-1CCC-4C2E-9B0F-666B3EAB1184}" name="BRUTO (4)14" dataDxfId="842" totalsRowDxfId="843"/>
    <tableColumn id="105" xr3:uid="{C0B31518-1575-4E54-9D79-0AB8F32EB47C}" name="IR (4)15" dataDxfId="840" totalsRowDxfId="841"/>
    <tableColumn id="106" xr3:uid="{D749F8A2-32B9-42E8-BBD7-A3E9A0FF4351}" name="ENCARGOS (4)16" dataDxfId="838" totalsRowDxfId="839"/>
    <tableColumn id="56" xr3:uid="{6B60E272-4BB0-44F2-B29D-E7F1933A2607}" name="LÍQUIDO (4)17" dataDxfId="836" totalsRowDxfId="837"/>
    <tableColumn id="57" xr3:uid="{7A6F409A-C9D2-4828-AF5F-E0FC833C3329}" name="M³ (4)18" dataDxfId="834" totalsRowDxfId="835"/>
    <tableColumn id="128" xr3:uid="{1E9F3602-3A70-4F9D-8871-D806636C3CE1}" name="VENCIMENTO (4)19" dataDxfId="832" totalsRowDxfId="833"/>
    <tableColumn id="58" xr3:uid="{DDF19CB7-9891-4AC6-A548-3488D29F91DA}" name="Nº SEI (4)20" dataDxfId="830" totalsRowDxfId="831"/>
    <tableColumn id="59" xr3:uid="{71C4B233-1A46-46F2-8FF9-731B93396A82}" name="ENVIADO AO DED (1)2221" dataDxfId="828" totalsRowDxfId="829"/>
    <tableColumn id="60" xr3:uid="{42E1189C-9327-41A3-AEE9-4641E54B7A84}" name="PAGO (1)3322" dataDxfId="826" totalsRowDxfId="827"/>
    <tableColumn id="61" xr3:uid="{1843683B-F246-4C8E-8AFC-0810A70B88E5}" name="Variação Consumo (4)23" dataDxfId="824" totalsRowDxfId="825"/>
    <tableColumn id="107" xr3:uid="{8BCD477B-F160-4080-813B-AD820E1A960B}" name="Variação Financeiro (4)24" dataDxfId="822" totalsRowDxfId="823"/>
    <tableColumn id="151" xr3:uid="{F3247D83-2BB0-4B2B-98B9-C3C449A1205B}" name="BRUTO (3)32" totalsRowDxfId="821"/>
    <tableColumn id="150" xr3:uid="{BEA0132E-11AA-470C-AA04-FAD19D63A9D7}" name="IR (3)343" totalsRowDxfId="820"/>
    <tableColumn id="149" xr3:uid="{66D5D5DF-692E-4B1E-88F2-A6B63DF43001}" name="ENCARGOS (3)54" totalsRowDxfId="819"/>
    <tableColumn id="148" xr3:uid="{34D1A32B-3420-4143-B071-E5A8E3FA7F84}" name="LÍQUIDO (3)65" totalsRowDxfId="818"/>
    <tableColumn id="147" xr3:uid="{37BA22F2-C1BF-4246-962F-7E6C6603E727}" name="M³ (3)76" totalsRowDxfId="817"/>
    <tableColumn id="146" xr3:uid="{77E5610F-1533-47EB-ACFB-7B78E945F381}" name="VENCIMENTO (3)87" totalsRowDxfId="816"/>
    <tableColumn id="145" xr3:uid="{140BD557-6620-4708-AF71-84462CC79873}" name="Nº SEI (3)98" totalsRowDxfId="815"/>
    <tableColumn id="144" xr3:uid="{C184A6DB-1944-4CCA-8BF6-455F68973370}" name="ENVIADO AO DED (1)3109" totalsRowDxfId="814"/>
    <tableColumn id="143" xr3:uid="{B7B18419-B8DC-4779-9106-0C0CF600DF0A}" name="PAGO (1)41110" totalsRowDxfId="813"/>
    <tableColumn id="142" xr3:uid="{C6E54F0F-7F72-4942-BDE7-4D846CBAA061}" name="Variação Consumo (3)1211" totalsRowDxfId="812"/>
    <tableColumn id="92" xr3:uid="{6116E623-2DC3-42AA-ACBC-6EA066350183}" name="Variação Financeiro (3)1312" totalsRowDxfId="811"/>
    <tableColumn id="22" xr3:uid="{B4C9A4FC-F5B7-4467-84A8-1BC296F717D8}" name="BRUTO (4)1413" totalsRowDxfId="810"/>
    <tableColumn id="108" xr3:uid="{ADF0DCBB-FAF9-4B04-985A-0293113FFB00}" name="IR (4)1514" dataDxfId="808" totalsRowDxfId="809"/>
    <tableColumn id="62" xr3:uid="{2095DEA0-790E-42DE-A17D-7AAC3191F7E2}" name="ENCARGOS (4)1615" dataDxfId="806" totalsRowDxfId="807"/>
    <tableColumn id="63" xr3:uid="{0A76DB57-594A-4CFF-8404-5F5E9531BA8F}" name="LÍQUIDO (4)1716" dataDxfId="804" totalsRowDxfId="805"/>
    <tableColumn id="129" xr3:uid="{C5647B31-9354-4131-A530-B1F56FA08A89}" name="M³ (4)1817" dataDxfId="802" totalsRowDxfId="803"/>
    <tableColumn id="64" xr3:uid="{2B373826-5CC6-4521-A9D4-D2E88B4A1198}" name="VENCIMENTO (4)1918" dataDxfId="800" totalsRowDxfId="801"/>
    <tableColumn id="65" xr3:uid="{F135898E-7016-4F0F-97EA-1535A6735E5F}" name="Nº SEI (4)2019" dataDxfId="798" totalsRowDxfId="799"/>
    <tableColumn id="66" xr3:uid="{D69E2B80-63CD-4E6E-8FB9-B35510DAD110}" name="ENVIADO AO DED (1)222120" dataDxfId="796" totalsRowDxfId="797"/>
    <tableColumn id="67" xr3:uid="{B2AE206F-62CE-4A77-8BBF-28DD658155BB}" name="PAGO (1)332221" dataDxfId="794" totalsRowDxfId="795"/>
    <tableColumn id="109" xr3:uid="{E1F21679-7FFA-4954-81CE-B0CF62986177}" name="Variação Consumo (4)2322" dataDxfId="792" totalsRowDxfId="793"/>
    <tableColumn id="110" xr3:uid="{93B027D7-7CD8-41F7-A82B-27B36486748E}" name="Variação Financeiro (4)2423" dataDxfId="790" totalsRowDxfId="791"/>
    <tableColumn id="130" xr3:uid="{71430D76-05BC-4B9F-8E95-E8AC6E10ECBD}" name="BRUTO (3)322" dataDxfId="788" totalsRowDxfId="789"/>
    <tableColumn id="70" xr3:uid="{2FA7AA5B-0C40-42ED-A674-9CD1745952C1}" name="IR (3)3433" dataDxfId="786" totalsRowDxfId="787"/>
    <tableColumn id="71" xr3:uid="{85032FA7-0D81-4E17-81C3-7C521AF3A00D}" name="ENCARGOS (3)544" dataDxfId="784" totalsRowDxfId="785"/>
    <tableColumn id="72" xr3:uid="{C4AFBC02-6DC4-4E6F-B19A-1F8D9EFF178C}" name="LÍQUIDO (3)655" dataDxfId="782" totalsRowDxfId="783"/>
    <tableColumn id="73" xr3:uid="{6431E873-798F-45AD-BD21-C25D3F309095}" name="M³ (3)766" dataDxfId="780" totalsRowDxfId="781"/>
    <tableColumn id="111" xr3:uid="{27B2145E-3731-43A4-926D-92C3B97C3688}" name="VENCIMENTO (3)877" dataDxfId="778" totalsRowDxfId="779"/>
    <tableColumn id="112" xr3:uid="{408C2676-FA4A-4F34-AA50-31E10FCDB874}" name="Nº SEI (3)988" dataDxfId="776" totalsRowDxfId="777"/>
    <tableColumn id="74" xr3:uid="{5975F4C4-4F98-4160-BB24-E812E3E6B409}" name="ENVIADO AO DED (1)31099" dataDxfId="774" totalsRowDxfId="775"/>
    <tableColumn id="75" xr3:uid="{3BF4E1C7-7564-4CE6-AE22-7C7274805980}" name="PAGO (1)4111010" dataDxfId="772" totalsRowDxfId="773"/>
    <tableColumn id="131" xr3:uid="{DE93F6AF-9FC8-44DC-B134-D45742E04E50}" name="Variação Consumo (3)121111" dataDxfId="770" totalsRowDxfId="771"/>
    <tableColumn id="76" xr3:uid="{0C4940B7-AC98-4080-8E60-9F22515D7567}" name="Variação Financeiro (3)131212" dataDxfId="768" totalsRowDxfId="769"/>
    <tableColumn id="77" xr3:uid="{83D50E7A-1A37-406F-A587-C114745F3613}" name="BRUTO (4)141313" dataDxfId="766" totalsRowDxfId="767"/>
    <tableColumn id="78" xr3:uid="{BCD178B1-6F09-45F0-AB07-9FB2CFAE20A0}" name="IR (4)151414" dataDxfId="764" totalsRowDxfId="765"/>
    <tableColumn id="79" xr3:uid="{9AE77FA4-4AF7-49E9-ABE3-29C565A684B3}" name="ENCARGOS (4)161515" dataDxfId="762" totalsRowDxfId="763"/>
    <tableColumn id="155" xr3:uid="{1026D9D8-9F83-4A53-AAA9-CBFBCD856F9C}" name="LÍQUIDO (4)171616" totalsRowDxfId="761"/>
    <tableColumn id="154" xr3:uid="{954798A0-9FDC-495E-87C4-6A01334B754E}" name="M³ (4)181717" totalsRowDxfId="760"/>
    <tableColumn id="153" xr3:uid="{4BAA5F92-12A0-439E-BF2E-DA7B80EDB7B8}" name="VENCIMENTO (4)191818" totalsRowDxfId="759"/>
    <tableColumn id="152" xr3:uid="{F373FF28-CC72-400A-801B-0326A53CEB5C}" name="Nº SEI (4)201919" totalsRowDxfId="758"/>
    <tableColumn id="113" xr3:uid="{41F8B228-E8AA-4B6C-97F8-39D24904A2EE}" name="ENVIADO AO DED (1)22212020" dataDxfId="756" totalsRowDxfId="757"/>
    <tableColumn id="114" xr3:uid="{3904D2E7-E452-4E5A-B867-F22829D94FEC}" name="PAGO (1)33222121" dataDxfId="754" totalsRowDxfId="755"/>
    <tableColumn id="80" xr3:uid="{8E64CC48-5552-4E46-94CF-997EB1379A92}" name="Variação Consumo (4)232222" dataDxfId="752" totalsRowDxfId="753"/>
    <tableColumn id="81" xr3:uid="{BE973F7E-C117-4B88-97FA-C8A9F0C01ECF}" name="Variação Financeiro (4)242323" dataDxfId="750" totalsRowDxfId="75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CC7A13-981B-48C6-8FDC-D973255B7150}" name="GLOBALIZADA_CESAMA" displayName="GLOBALIZADA_CESAMA" ref="C4:EW13" totalsRowShown="0" headerRowDxfId="748" dataDxfId="747" tableBorderDxfId="746">
  <autoFilter ref="C4:EW13" xr:uid="{ADCC7A13-981B-48C6-8FDC-D973255B7150}"/>
  <tableColumns count="151">
    <tableColumn id="1" xr3:uid="{EE250326-A26D-40AE-8276-DD0BF9283EB0}" name="UNIDADES PRISIONAIS" dataDxfId="745"/>
    <tableColumn id="2" xr3:uid="{34A47B6C-1A21-4802-8E60-DF8CFBD98963}" name="UNIDADE EXECUTORA" dataDxfId="744"/>
    <tableColumn id="3" xr3:uid="{F7B3B52D-13B4-4A53-BA67-723D4D46DD78}" name="UPG" dataDxfId="743"/>
    <tableColumn id="4" xr3:uid="{F092BDED-51C8-4279-98CE-2133C4A38962}" name="HIDRÔMETRO" dataDxfId="742"/>
    <tableColumn id="5" xr3:uid="{A7C85659-9439-456B-8714-C2830C9EF6EA}" name="CONCESSIONÁRIA (ABREV)" dataDxfId="741"/>
    <tableColumn id="6" xr3:uid="{97AAF7F1-B702-4659-A8FD-85DE5D064792}" name="CONCESSIONÁRIA" dataDxfId="740"/>
    <tableColumn id="7" xr3:uid="{7FCE5F60-9BD5-444A-98AD-BDF991D68E1C}" name="CNPJ" dataDxfId="739"/>
    <tableColumn id="10" xr3:uid="{94FD6FB9-F6B1-4C8E-A7FF-45BAD96335E6}" name="EMPENHO (FONTE 60)" dataDxfId="738"/>
    <tableColumn id="11" xr3:uid="{1E76B6D4-0D18-4B41-963A-FF16F5DFED7C}" name="EMPENHO DE ENCARGOS (FONTE 60)" dataDxfId="737"/>
    <tableColumn id="12" xr3:uid="{5162998C-818D-4719-A0F3-C95076015616}" name="MATRICULA" dataDxfId="736"/>
    <tableColumn id="13" xr3:uid="{FDE2C28C-B0F0-4A15-8F5D-F183A7CD302D}" name="BRUTO" dataDxfId="735"/>
    <tableColumn id="14" xr3:uid="{38787492-804F-429D-8172-C9E9E46A8347}" name="IR" dataDxfId="734"/>
    <tableColumn id="15" xr3:uid="{9C1A0E59-B28C-46F3-B32B-0DF2193E2E70}" name="ENCARGOS" dataDxfId="733"/>
    <tableColumn id="16" xr3:uid="{78D68C36-C66A-4D1E-B445-F8F794CBC368}" name="LÍQUIDO" dataDxfId="732"/>
    <tableColumn id="17" xr3:uid="{E55668BA-7ED5-4B8C-BBA1-A1A5C7832846}" name="M³" dataDxfId="731"/>
    <tableColumn id="18" xr3:uid="{6A9E0856-937F-4AAB-B185-5199A5F5F65C}" name="VENCIMENTO" dataDxfId="730"/>
    <tableColumn id="19" xr3:uid="{D2EEAEAF-DF23-4BA5-88CB-89BA573D373F}" name="N° SEI" dataDxfId="729"/>
    <tableColumn id="20" xr3:uid="{8F39F4BD-B0E0-40CB-ACAF-227DA55954DC}" name="ENVIADO AO DED" dataDxfId="728"/>
    <tableColumn id="21" xr3:uid="{C62815D6-5E16-477B-BCF7-467BFDFFCA4D}" name="PAGO" dataDxfId="727"/>
    <tableColumn id="22" xr3:uid="{FE11B552-BC98-4EC0-A1BB-88A52E98D818}" name="BRUTO (1)" dataDxfId="726"/>
    <tableColumn id="23" xr3:uid="{D8C7E8A6-9C4B-4794-89A5-4724A5F82EA7}" name="IR (1)" dataDxfId="725"/>
    <tableColumn id="24" xr3:uid="{C018AA99-2D92-4759-ACEA-53B30C8D63BE}" name="ENCARGOS (1)" dataDxfId="724"/>
    <tableColumn id="25" xr3:uid="{66F900C3-6EC4-4743-B545-F476ACE8E616}" name="LÍQUIDO (1)" dataDxfId="723"/>
    <tableColumn id="26" xr3:uid="{DD15ED6A-B6D2-4F9C-9B4B-9147884988E2}" name="M³ (1)" dataDxfId="722"/>
    <tableColumn id="27" xr3:uid="{32F1A7C7-6768-4A57-89B4-07BD4A2673CE}" name="VENCIMENTO (1)" dataDxfId="721"/>
    <tableColumn id="28" xr3:uid="{D5FDB746-26CC-4969-AE7B-EE69347F0550}" name="Nº SEI (1)" dataDxfId="720"/>
    <tableColumn id="29" xr3:uid="{21419700-6B59-4013-BCC5-F420E4BD5E0E}" name="ENVIADO AO DED (1)" dataDxfId="719"/>
    <tableColumn id="30" xr3:uid="{D8BFE176-4E78-4722-9FBD-ED91D2736DF4}" name="PAGO (1)" dataDxfId="718"/>
    <tableColumn id="31" xr3:uid="{D3F7F7CD-D4C3-4FFB-B291-ECCBEE45100F}" name="Variação Consumo (1)" dataDxfId="717">
      <calculatedColumnFormula>(Z5-Q5)/Q5</calculatedColumnFormula>
    </tableColumn>
    <tableColumn id="32" xr3:uid="{D293AA2A-B94A-4844-A883-603E2A7C7F74}" name="Variação Financeiro (1)" dataDxfId="716">
      <calculatedColumnFormula>(V5-M5)/M5</calculatedColumnFormula>
    </tableColumn>
    <tableColumn id="33" xr3:uid="{556D6D8E-8FEE-4BB1-96DA-E040F916404B}" name="BRUTO (2)" dataDxfId="715"/>
    <tableColumn id="34" xr3:uid="{C52E703F-3030-4856-9240-7B2C33D0B3A1}" name="IR (2)" dataDxfId="714"/>
    <tableColumn id="35" xr3:uid="{67664813-BE87-40F8-B1F5-2290C9EDEC6D}" name="ENCARGOS (2)" dataDxfId="713"/>
    <tableColumn id="36" xr3:uid="{B420A2B1-C62F-421F-894B-EB87B60C8F29}" name="LÍQUIDO (1)2" dataDxfId="712"/>
    <tableColumn id="37" xr3:uid="{06D8184F-2A40-4C73-8B36-D4FD9FBE515B}" name="M³ (2)" dataDxfId="711"/>
    <tableColumn id="38" xr3:uid="{07BF5F4C-F52B-4433-A530-578CE8D601E4}" name="VENCIMENTO (2)" dataDxfId="710"/>
    <tableColumn id="39" xr3:uid="{8D7941CD-EEBC-4993-9114-1E20FE76DC1F}" name="Nº SEI (2)" dataDxfId="709"/>
    <tableColumn id="40" xr3:uid="{922C3174-C64B-42A1-A1B0-D6F8CD9BEDE0}" name="ENVIADO AO DED (2)" dataDxfId="708"/>
    <tableColumn id="41" xr3:uid="{07544F76-0357-4E92-9E18-3F3EFECEDB57}" name="PAGO (2)" dataDxfId="707"/>
    <tableColumn id="42" xr3:uid="{4D6FDEAE-83D5-4192-A8D8-B7D1A3D827F0}" name="Variação Consumo (2)" dataDxfId="706"/>
    <tableColumn id="43" xr3:uid="{33E2230A-0DC9-4156-BC69-759E8530593A}" name="Variação Financeiro (2)" dataDxfId="705"/>
    <tableColumn id="44" xr3:uid="{C03F93CC-B160-42C0-B90B-30E879A7047B}" name="BRUTO (3)" dataDxfId="704"/>
    <tableColumn id="45" xr3:uid="{B041478D-575C-4B50-855C-96DF6E727242}" name="IR (3)" dataDxfId="703"/>
    <tableColumn id="46" xr3:uid="{1413B7E3-2DB7-4A2B-ADA8-8607529D183F}" name="ENCARGOS (3)" dataDxfId="702"/>
    <tableColumn id="47" xr3:uid="{170F6DB5-EDDE-4623-B38D-84F50300C732}" name="LÍQUIDO (3)" dataDxfId="701"/>
    <tableColumn id="48" xr3:uid="{83FB53BC-B1BD-449A-9AB4-073AF264DDA1}" name="M³ (3)" dataDxfId="700"/>
    <tableColumn id="49" xr3:uid="{2BFA6C27-0E3B-433F-BB5C-B9A94EC467E3}" name="VENCIMENTO (3)" dataDxfId="699"/>
    <tableColumn id="50" xr3:uid="{F4E05FEC-F3B0-4452-94A6-924EFC058E20}" name="Nº SEI (3)" dataDxfId="698"/>
    <tableColumn id="51" xr3:uid="{5B0EF403-44C0-4D96-B6A9-45841A9EABAA}" name="ENVIADO AO DED (3)" dataDxfId="697"/>
    <tableColumn id="52" xr3:uid="{01DF364F-C677-4E6E-8F36-1EBDE1D96B0A}" name="PAGO (3)" dataDxfId="696"/>
    <tableColumn id="53" xr3:uid="{2BA30324-D6B2-4A47-9002-1A682A913BEF}" name="Variação Consumo (3)" dataDxfId="695"/>
    <tableColumn id="54" xr3:uid="{30558A92-3918-4776-9ACB-A4077355215F}" name="Variação Financeiro (3)" dataDxfId="694"/>
    <tableColumn id="55" xr3:uid="{B5E21BC8-AEBA-4A15-A9BD-E276D1E57B16}" name="BRUTO (4)" dataDxfId="693"/>
    <tableColumn id="56" xr3:uid="{92329A43-ACBC-4154-87D6-178092B0E09B}" name="IR (4)" dataDxfId="692"/>
    <tableColumn id="57" xr3:uid="{AFA4D3B8-BC07-4DFE-83D3-E90808932626}" name="ENCARGOS (4)" dataDxfId="691"/>
    <tableColumn id="58" xr3:uid="{DD7D7173-F359-4F75-8A11-21653B23FF95}" name="LÍQUIDO (4)" dataDxfId="690"/>
    <tableColumn id="59" xr3:uid="{567DBF57-0A17-4D27-BDF4-4AA31ACDC504}" name="M³ (4)" dataDxfId="689"/>
    <tableColumn id="60" xr3:uid="{224B8B50-D13C-4BAD-A229-48DABA27C4F5}" name="VENCIMENTO (4)" dataDxfId="688"/>
    <tableColumn id="61" xr3:uid="{E2022AF8-71D5-4AFE-A267-CA0240978996}" name="Nº SEI (4)" dataDxfId="687"/>
    <tableColumn id="62" xr3:uid="{775E01D8-D9FF-404A-BDA1-C008DF67D4D1}" name="ENVIADO AO DED (4)" dataDxfId="686"/>
    <tableColumn id="63" xr3:uid="{36E3D97E-EA71-4C91-955F-DA4905318788}" name="PAGO (4)" dataDxfId="685"/>
    <tableColumn id="64" xr3:uid="{A14F0C0B-7A75-4685-AFF1-54DA88E2CB87}" name="Variação Consumo (4)" dataDxfId="684"/>
    <tableColumn id="65" xr3:uid="{F0FF9611-D91A-4A23-AE87-29AB51BD4528}" name="Variação Financeiro (4)" dataDxfId="683"/>
    <tableColumn id="66" xr3:uid="{2E992626-613C-416F-8E64-1DC647ADBE1B}" name="BRUTO (5)" dataDxfId="682"/>
    <tableColumn id="67" xr3:uid="{82CC8AFB-F0C9-4E52-9615-297EEDB48795}" name="IR (5)" dataDxfId="681"/>
    <tableColumn id="68" xr3:uid="{4E1072A2-E547-46FE-97DE-143D9CD93395}" name="ENCARGOS (5)" dataDxfId="680"/>
    <tableColumn id="69" xr3:uid="{C9D1DB8C-4517-4983-9259-FBBBB9AB1714}" name="LÍQUIDO (5)" dataDxfId="679"/>
    <tableColumn id="70" xr3:uid="{683DBE4B-ECCA-416E-B59F-013D60B0BB0E}" name="M³ (5)" dataDxfId="678"/>
    <tableColumn id="71" xr3:uid="{7B7A3337-36E4-4068-BFBE-02D7FFA7336C}" name="VENCIMENTO (5)" dataDxfId="677"/>
    <tableColumn id="72" xr3:uid="{7DEBCFBC-164B-4F22-B82C-8C4738D5D040}" name="Nº SEI (5)" dataDxfId="676"/>
    <tableColumn id="73" xr3:uid="{A79DE6CE-3741-4C1E-9AE1-76CFA29EED46}" name="ENVIADO AO DED (5)" dataDxfId="675"/>
    <tableColumn id="74" xr3:uid="{0C8F85B5-34DB-4C77-ADC2-3E33265D4341}" name="PAGO (5)" dataDxfId="674"/>
    <tableColumn id="75" xr3:uid="{1D0A055C-FAD6-4D02-9206-E40A2F5B5248}" name="Variação Consumo (5)" dataDxfId="673"/>
    <tableColumn id="76" xr3:uid="{54E9FCDF-4301-4A1F-A1E3-F9E0DDF817F8}" name="Variação Financeiro (5)" dataDxfId="672"/>
    <tableColumn id="77" xr3:uid="{DF6D66CB-FA32-48B5-820B-AB1E656D12C6}" name="BRUTO (6)" dataDxfId="671"/>
    <tableColumn id="78" xr3:uid="{A0A22982-BA18-4856-9C77-7822E5E420D4}" name="IR (6)" dataDxfId="670"/>
    <tableColumn id="79" xr3:uid="{849B097C-01AA-4616-979C-2CBB9B09CA4B}" name="ENCARGOS (6)" dataDxfId="669"/>
    <tableColumn id="80" xr3:uid="{EBB203FE-721F-404B-91D7-C0F43D56287A}" name="LÍQUIDO (6)" dataDxfId="668"/>
    <tableColumn id="81" xr3:uid="{C6372768-D38C-4690-BB09-03F3EB63694B}" name="M³ (6)" dataDxfId="667"/>
    <tableColumn id="82" xr3:uid="{5CD0C269-2218-4AC3-A8C6-C0DEFD54D248}" name="VENCIMENTO (5)2" dataDxfId="666"/>
    <tableColumn id="83" xr3:uid="{11ED2629-4A20-4BB3-B4E7-D4AEDF0E0D04}" name="Nº SEI (6)" dataDxfId="665"/>
    <tableColumn id="84" xr3:uid="{7BAC6933-F52F-45F3-ABAB-38E591484569}" name="ENVIADO AO DED (6)" dataDxfId="664"/>
    <tableColumn id="85" xr3:uid="{71FF11DD-1A2C-4857-8DBF-3A6E7614A175}" name="PAGO (6)" dataDxfId="663"/>
    <tableColumn id="86" xr3:uid="{9C8AC27C-4CF0-48D9-B174-5A03A828EF9D}" name="Variação Consumo (6)" dataDxfId="662"/>
    <tableColumn id="87" xr3:uid="{0E07BBD5-765B-424D-B8C6-297CC60DD65B}" name="Variação Financeiro (6)" dataDxfId="661"/>
    <tableColumn id="88" xr3:uid="{5E981FC5-83AF-49CE-99E9-6A87298C336F}" name="BRUTO (7)" dataDxfId="660"/>
    <tableColumn id="89" xr3:uid="{7BBA98A4-D571-4963-8DDF-26CABB5236CD}" name="IR (7)" dataDxfId="659"/>
    <tableColumn id="90" xr3:uid="{28D2D6F8-17A7-45F5-B9A9-A86B1AA1A10A}" name="ENCARGOS (7)" dataDxfId="658"/>
    <tableColumn id="91" xr3:uid="{04FA7AB5-7F6E-4923-A1F4-512BCB194355}" name="LÍQUIDO (7)" dataDxfId="657"/>
    <tableColumn id="92" xr3:uid="{4323E3D9-22F7-40AE-AA95-771D4F9AF878}" name="M³ (7)" dataDxfId="656"/>
    <tableColumn id="93" xr3:uid="{7CF56D8B-25C8-4CE6-8FB2-2100A65B20B6}" name="VENCIMENTO (7)" dataDxfId="655"/>
    <tableColumn id="94" xr3:uid="{F7CFDF82-4719-4C35-9E10-C9C0A2773496}" name="Nº SEI (7)" dataDxfId="654"/>
    <tableColumn id="95" xr3:uid="{52982FFE-A8E2-48C7-9F06-1EB99DDDA3A0}" name="ENVIADO AO DED (7)" dataDxfId="653"/>
    <tableColumn id="96" xr3:uid="{2F8F86E2-2668-494D-A9BA-AB0F0EE49342}" name="PAGO (7)" dataDxfId="652"/>
    <tableColumn id="97" xr3:uid="{282E8040-EDFC-476A-9AFC-140EF3C7AD87}" name="Variação Consumo (7)" dataDxfId="651"/>
    <tableColumn id="98" xr3:uid="{83DF0490-A42A-4F95-8E4B-45032ACDE5CB}" name="Variação Financeiro (7)" dataDxfId="650"/>
    <tableColumn id="99" xr3:uid="{9BA3C6A6-7A0E-4B8E-AA85-DE1EFB3EE6FF}" name="BRUTO (8)" dataDxfId="649"/>
    <tableColumn id="100" xr3:uid="{2745B0FB-614E-4B1C-9A76-1F9F8688A75C}" name="IR (8)" dataDxfId="648"/>
    <tableColumn id="101" xr3:uid="{1BD97AE3-05E0-450D-B022-4C847FAB15EF}" name="ENCARGOS (8)" dataDxfId="647"/>
    <tableColumn id="102" xr3:uid="{48940E87-74E7-4E74-9B2F-2318EFEB1F03}" name="LÍQUIDO (8)" dataDxfId="646"/>
    <tableColumn id="103" xr3:uid="{AA8C423A-E545-4588-B3D5-5D093D3FA88C}" name="M³ (8)" dataDxfId="645"/>
    <tableColumn id="104" xr3:uid="{5CD5F172-32AB-4403-A005-D451C884F9F4}" name="VENCIMENTO (8)" dataDxfId="644"/>
    <tableColumn id="105" xr3:uid="{61F29550-A8F8-4DB5-9B8E-D2CF6FC90384}" name="Nº SEI (8)" dataDxfId="643"/>
    <tableColumn id="106" xr3:uid="{9A812363-3BBE-421B-A740-2B10EE71ECB8}" name="ENVIADO AO DED (8)" dataDxfId="642"/>
    <tableColumn id="107" xr3:uid="{E901E7EE-EEBE-41FF-82A1-3C8D2A6E5973}" name="PAGO (8)" dataDxfId="641"/>
    <tableColumn id="108" xr3:uid="{5EDD3665-4E8F-436C-AF9C-8C63A1045314}" name="Variação Consumo (8)" dataDxfId="640"/>
    <tableColumn id="109" xr3:uid="{0541DA9E-5AA3-465A-BFE4-8258757F6FCF}" name="Variação Financeiro (8)" dataDxfId="639"/>
    <tableColumn id="110" xr3:uid="{F7BE48DA-5357-48E4-9343-5563A3F2EF33}" name="BRUTO (9)" dataDxfId="638"/>
    <tableColumn id="111" xr3:uid="{F296A260-646D-4B45-9F80-66DC0CD671BF}" name="IR (9)" dataDxfId="637"/>
    <tableColumn id="112" xr3:uid="{96C6F1AF-1CA6-48B6-BB95-BA096165A465}" name="ENCARGOS (9)" dataDxfId="636"/>
    <tableColumn id="113" xr3:uid="{E10FE9AF-8E86-4877-9F25-EB80721E3043}" name="LÍQUIDO (9)" dataDxfId="635"/>
    <tableColumn id="114" xr3:uid="{AC955729-9517-4198-B54C-BEA4A9F575E8}" name="M³ (9)" dataDxfId="634"/>
    <tableColumn id="115" xr3:uid="{8E9288FB-D324-4083-90C2-CAF2ED6D4ECA}" name="VENCIMENTO (9)" dataDxfId="633"/>
    <tableColumn id="116" xr3:uid="{34956959-5BC8-4ED8-9327-4342D02F10F8}" name="Nº SEI (9)" dataDxfId="632"/>
    <tableColumn id="117" xr3:uid="{DE85AB0F-0A28-43B0-B2C8-517388316B52}" name="ENVIADO AO DED (9)" dataDxfId="631"/>
    <tableColumn id="118" xr3:uid="{5A828DA2-D505-4643-AB4B-BADB443ED6BA}" name="PAGO (9)" dataDxfId="630"/>
    <tableColumn id="119" xr3:uid="{3D8304BE-CB88-43E6-91B0-89F1D7F551F8}" name="Variação Consumo (9)" dataDxfId="629"/>
    <tableColumn id="120" xr3:uid="{961A02AF-570E-4B70-85F4-31E4BBC3CD5E}" name="Variação Financeiro (9)" dataDxfId="628"/>
    <tableColumn id="121" xr3:uid="{C16F6F7B-D82F-4976-8929-BE73CEF685DC}" name="BRUTO (10)" dataDxfId="627"/>
    <tableColumn id="122" xr3:uid="{AEC18466-AB07-46F6-8610-E7EB6D2310B9}" name="IR (10)" dataDxfId="626"/>
    <tableColumn id="123" xr3:uid="{2AE79877-598A-4F24-9E8F-8860674A1F5A}" name="ENCARGOS (10)" dataDxfId="625"/>
    <tableColumn id="124" xr3:uid="{0A0A6F89-D3F5-4DB6-BCD7-B4854B2875F6}" name="LÍQUIDO (10)" dataDxfId="624"/>
    <tableColumn id="125" xr3:uid="{943B5E2A-5631-4309-9F44-8D35075AAD88}" name="M³ (10)" dataDxfId="623"/>
    <tableColumn id="126" xr3:uid="{95325823-30ED-49E1-8D00-2909AF5704C8}" name="VENCIMENTO (10)" dataDxfId="622"/>
    <tableColumn id="127" xr3:uid="{08D5C5B4-8C4E-421E-B149-61398FC6C5A5}" name="Nº SEI (10)" dataDxfId="621"/>
    <tableColumn id="128" xr3:uid="{B5B0C2D2-C993-4712-9894-8B5C81B4A97D}" name="ENVIADO AO DED (10)" dataDxfId="620"/>
    <tableColumn id="129" xr3:uid="{502A9925-F411-417D-BC74-928E5DB275B9}" name="PAGO (10)" dataDxfId="619"/>
    <tableColumn id="130" xr3:uid="{725A428A-72CA-48F5-BDD8-CE5BE2DE54CA}" name="Variação Consumo (10)" dataDxfId="618"/>
    <tableColumn id="131" xr3:uid="{0D4E13F7-D60C-4F37-9323-9FC08BFEEC24}" name="Variação Financeiro (10)" dataDxfId="617"/>
    <tableColumn id="132" xr3:uid="{5CAB59DA-AC5D-4FDF-8126-97746A408F39}" name="BRUTO (11)" dataDxfId="616"/>
    <tableColumn id="133" xr3:uid="{DFE9B936-41BE-4BF5-A908-B4A21A16F92E}" name="IR (11)" dataDxfId="615"/>
    <tableColumn id="134" xr3:uid="{5B8C6850-4B7A-4BFE-BA62-2B246D9D3A32}" name="ENCARGOS (11)" dataDxfId="614"/>
    <tableColumn id="135" xr3:uid="{DD9FC3B8-B66B-4874-AAF5-729135083A97}" name="LÍQUIDO (11)" dataDxfId="613"/>
    <tableColumn id="136" xr3:uid="{756E9705-5598-49FF-88B4-D4E07264E851}" name="M³ (11)" dataDxfId="612"/>
    <tableColumn id="137" xr3:uid="{6BB1C131-45A1-434D-9936-647DBA59B082}" name="VENCIMENTO (11)" dataDxfId="611"/>
    <tableColumn id="138" xr3:uid="{11251292-C6B3-49C5-A09A-CD6E058924C5}" name="Nº SEi (11)" dataDxfId="610"/>
    <tableColumn id="139" xr3:uid="{D868C117-259F-4B9A-B3BD-786F0128828C}" name="ENVIADO AO DED (11)" dataDxfId="609"/>
    <tableColumn id="140" xr3:uid="{AB1E56CA-631C-46AF-8FB5-FD797F3387A4}" name="PAGO (11)" dataDxfId="608"/>
    <tableColumn id="141" xr3:uid="{D27A38C8-8030-441E-A9D2-A387162D7ECF}" name="Variação Consumo (11)" dataDxfId="607"/>
    <tableColumn id="142" xr3:uid="{A49D0D5D-A1E7-4983-9367-6B497A5158CA}" name="Variação Financeiro (11)" dataDxfId="606"/>
    <tableColumn id="143" xr3:uid="{5D5F4D93-2705-4D16-B3E9-A8D534A858AC}" name="BRUTO (12)" dataDxfId="605"/>
    <tableColumn id="144" xr3:uid="{55AB64BA-FC8E-4B28-8882-342E990B09FA}" name="IR (12)" dataDxfId="604"/>
    <tableColumn id="145" xr3:uid="{A31CEC9F-23DC-41AB-8D73-D031F56D39F1}" name="ENCARGOS (12)" dataDxfId="603"/>
    <tableColumn id="146" xr3:uid="{A5D33251-727F-4813-90A5-65CEAA29B1EC}" name="LÍQUIDO (12)" dataDxfId="602"/>
    <tableColumn id="147" xr3:uid="{1DFC7362-7EF7-459D-8CE3-7B0DE8F665C3}" name="M³ (12)" dataDxfId="601"/>
    <tableColumn id="148" xr3:uid="{B2900C92-0866-43D5-91CA-E0CE496E3D4B}" name="VENCIMENTO (12)" dataDxfId="600"/>
    <tableColumn id="149" xr3:uid="{ABE2DD1B-0BB6-449D-BDB9-12B8E33B5CF5}" name="Nº SEI (12)" dataDxfId="599"/>
    <tableColumn id="150" xr3:uid="{9CAC5D70-77B3-4EE8-956E-8D623F97EC2B}" name="ENVIADO AO DED (12)" dataDxfId="598"/>
    <tableColumn id="151" xr3:uid="{3251D409-F6C6-4F02-965C-E7288A409983}" name="PAGO (12)" dataDxfId="597"/>
    <tableColumn id="152" xr3:uid="{8EF53B66-EDD6-4ED9-A2B2-2678934B467A}" name="Variação Consumo (12)" dataDxfId="596"/>
    <tableColumn id="153" xr3:uid="{9F0DD4B5-64D3-427F-A6E0-C05792FCAD9A}" name="Variação Financeiro (12)" dataDxfId="5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F44D9-3282-43F9-B721-42A4787369E7}" name="DIVERSAS" displayName="DIVERSAS" ref="C4:EZ84" totalsRowCount="1" headerRowDxfId="589" headerRowBorderDxfId="587" tableBorderDxfId="588" totalsRowBorderDxfId="586">
  <autoFilter ref="C4:EZ83" xr:uid="{979F44D9-3282-43F9-B721-42A4787369E7}"/>
  <sortState xmlns:xlrd2="http://schemas.microsoft.com/office/spreadsheetml/2017/richdata2" ref="C5:EZ80">
    <sortCondition ref="C4:C80"/>
  </sortState>
  <tableColumns count="154">
    <tableColumn id="1" xr3:uid="{DB2B94BB-A6F5-4092-8D12-8BCF4F9B8DA6}" name="UNIDADES PRISIONAIS" totalsRowDxfId="585"/>
    <tableColumn id="2" xr3:uid="{4FC0768D-5D78-4B9F-86CC-E48335A9066A}" name="UNIDADE EXECUTORA" totalsRowDxfId="584"/>
    <tableColumn id="3" xr3:uid="{DAD8706C-A737-4312-B5EE-74365C5529B7}" name="UPG" totalsRowDxfId="583"/>
    <tableColumn id="155" xr3:uid="{DE9B43A6-0E67-455F-B363-D3B5754B4339}" name="MATRÍCULA" dataDxfId="581" totalsRowDxfId="582"/>
    <tableColumn id="4" xr3:uid="{CD4154B0-4E64-4BD6-B213-08812FF785EE}" name="HIDRÔMETRO" dataDxfId="579" totalsRowDxfId="580"/>
    <tableColumn id="135" xr3:uid="{9A70A88A-74F8-40E8-998F-AA7EAD24CDB3}" name="CONCESSIONÁRIA (ABREV)" totalsRowDxfId="578"/>
    <tableColumn id="5" xr3:uid="{66933F88-C448-4C5F-9025-01B701D64749}" name="CONCESSIONÁRIA" totalsRowDxfId="577"/>
    <tableColumn id="6" xr3:uid="{97B254C2-021D-45BE-BF50-282A03FFE8E9}" name="CNPJ" totalsRowDxfId="576"/>
    <tableColumn id="7" xr3:uid="{8E370708-4526-4DC0-8DD9-B914964E01D8}" name="IDENTIFICADOR (1)" dataDxfId="574" totalsRowDxfId="575"/>
    <tableColumn id="8" xr3:uid="{6F0043DB-562D-4EC2-B579-AF58318A2483}" name="IDENTIFICADOR (2)" dataDxfId="572" totalsRowDxfId="573"/>
    <tableColumn id="9" xr3:uid="{C935F934-FB7D-4C9A-A9F3-E6BF8D1B0D4F}" name="EMPENHO (FONTE 10)" totalsRowDxfId="571"/>
    <tableColumn id="10" xr3:uid="{7252F228-D679-4AEA-9175-15FB87E87AA2}" name="EMPENHO DE ENCARGOS (FONTE 10)" totalsRowDxfId="570"/>
    <tableColumn id="11" xr3:uid="{CAC512A1-3FCC-4BEF-B19F-8473B767CCD4}" name="EMPENHO (FONTE 60)" totalsRowDxfId="569"/>
    <tableColumn id="12" xr3:uid="{0F9A0B49-1824-4F58-A621-918125EC7D54}" name="EMPENHO DE ENCARGOS (FONTE 60)" totalsRowDxfId="568"/>
    <tableColumn id="148" xr3:uid="{DDC98F0B-27A8-4C98-88A4-901314F85D5D}" name="BRUTO (12)" totalsRowDxfId="567"/>
    <tableColumn id="149" xr3:uid="{638E5D85-B907-4CFE-8F0A-37A8CFF15B9C}" name="IRPJ (12)" totalsRowDxfId="566"/>
    <tableColumn id="150" xr3:uid="{C6734DD6-E9E2-4090-BD51-010953629416}" name="ENCARGOS (12)" totalsRowDxfId="565"/>
    <tableColumn id="151" xr3:uid="{85D2B82E-5B05-421E-AD2A-A830F71BCFBE}" name="LÍQUIDO (12)" totalsRowDxfId="564"/>
    <tableColumn id="152" xr3:uid="{D066890C-C9A2-44B9-B749-2A7BECDD22A7}" name="M³ (12)" totalsRowDxfId="563"/>
    <tableColumn id="153" xr3:uid="{C70416CC-F209-4F0D-9DA6-3714EEF45690}" name="VENCIMENTO (12)" totalsRowDxfId="562"/>
    <tableColumn id="154" xr3:uid="{A62F3118-3BBA-42F1-A9BC-1E61948FA201}" name="Nº SEI (12)" totalsRowDxfId="561"/>
    <tableColumn id="14" xr3:uid="{8D318DE0-BCB7-4872-B0F3-E92806AEB619}" name="BRUTO (1)" totalsRowFunction="sum" dataDxfId="559" totalsRowDxfId="560">
      <calculatedColumnFormula>SUM(AA5, ABS(Y5))</calculatedColumnFormula>
    </tableColumn>
    <tableColumn id="136" xr3:uid="{7CFC8A0C-8FB1-4301-8952-7B86D5A909AB}" name="IRPJ (1)" totalsRowFunction="sum" dataDxfId="557" totalsRowDxfId="558"/>
    <tableColumn id="15" xr3:uid="{AB19F3CF-3A99-4240-8B8C-40E7260C459B}" name="ENCARGOS (1)" totalsRowFunction="sum" totalsRowDxfId="556"/>
    <tableColumn id="16" xr3:uid="{F1628280-5E7B-47D9-999B-C98848BFDB46}" name="LÍQUIDO (1)" totalsRowFunction="sum" totalsRowDxfId="555"/>
    <tableColumn id="17" xr3:uid="{D805F17A-27D1-4DB5-8A5C-ECDCA576A646}" name="M³ (1)" totalsRowDxfId="554"/>
    <tableColumn id="18" xr3:uid="{1DE036F7-1094-448B-A8E8-415B400D80FA}" name="VENCIMENTO (1)" totalsRowDxfId="553"/>
    <tableColumn id="19" xr3:uid="{64B22125-865C-4B63-BA1C-578DAF3ED9C5}" name="Nº SEI (1)" totalsRowDxfId="552"/>
    <tableColumn id="20" xr3:uid="{B1A1C035-110C-4315-BAF0-4C6DB060B58E}" name="ENVIADO AO DED (1)" totalsRowDxfId="551"/>
    <tableColumn id="21" xr3:uid="{88A2193D-9995-458F-974F-A1DDC05287B1}" name="PAGO (1)" totalsRowDxfId="550"/>
    <tableColumn id="22" xr3:uid="{D5C26BE7-E93F-4BD2-A3F7-2949D3C4B72E}" name="Variação Consumo (1)" totalsRowDxfId="549">
      <calculatedColumnFormula>(AB5-U5)/U5</calculatedColumnFormula>
    </tableColumn>
    <tableColumn id="23" xr3:uid="{95583DB3-406F-4F1A-900E-C4633C6EAC7E}" name="Variação Financeiro (1)" dataDxfId="547" totalsRowDxfId="548">
      <calculatedColumnFormula>(X5-Q5)/Q5</calculatedColumnFormula>
    </tableColumn>
    <tableColumn id="24" xr3:uid="{011DAFAC-3506-4934-B637-01CDBD6721FF}" name="BRUTO (2)" totalsRowDxfId="546">
      <calculatedColumnFormula>SUM(AL5, ABS(AJ5))</calculatedColumnFormula>
    </tableColumn>
    <tableColumn id="137" xr3:uid="{E16182E9-DA8E-4B67-BE07-26E6837D9F18}" name="IRPJ (2)" totalsRowDxfId="545"/>
    <tableColumn id="25" xr3:uid="{4C00B9CF-E16C-423C-943E-6D211BEB3B63}" name="ENCARGOS (2)" totalsRowDxfId="544"/>
    <tableColumn id="26" xr3:uid="{3449E8E4-AAFB-43B4-B3EB-AA93F700E9E7}" name="LÍQUIDO (2)" totalsRowDxfId="543"/>
    <tableColumn id="27" xr3:uid="{D674E6C5-DF11-4E93-BB04-D5D831E38784}" name="M³ (2)" totalsRowDxfId="542"/>
    <tableColumn id="28" xr3:uid="{C1ED77BC-7AC0-45AE-BA02-E95B587325D6}" name="VENCIMENTO (2)" dataDxfId="540" totalsRowDxfId="541"/>
    <tableColumn id="29" xr3:uid="{6B05703A-B7FF-469D-B87E-0B9FAA30BBF3}" name="Nº SEI (2)" totalsRowDxfId="539"/>
    <tableColumn id="30" xr3:uid="{D1C20FF9-CCF4-4E73-938C-1ABF77EB52A4}" name="ENVIADO AO DED (2)" totalsRowDxfId="538"/>
    <tableColumn id="31" xr3:uid="{FE72E785-7366-4D99-B48B-E200E9106352}" name="PAGO (2)" totalsRowDxfId="537"/>
    <tableColumn id="32" xr3:uid="{FAC64FF5-9BDE-41B3-A7EF-587559F73A07}" name="Variação Consumo (2)" dataDxfId="535" totalsRowDxfId="536">
      <calculatedColumnFormula>(AM5-AB5)/AB5</calculatedColumnFormula>
    </tableColumn>
    <tableColumn id="33" xr3:uid="{8CA0E1F7-0BB0-484D-B17A-CFF2DEEFAC55}" name="Variação Financeiro (2)" dataDxfId="533" totalsRowDxfId="534">
      <calculatedColumnFormula>(AI5-X5)/X5</calculatedColumnFormula>
    </tableColumn>
    <tableColumn id="44" xr3:uid="{D2308F86-79F1-47A0-AFF7-FAF2EB3F4285}" name="BRUTO (3)" dataDxfId="531" totalsRowDxfId="532">
      <calculatedColumnFormula>SUM(AW5, ABS(AU5))</calculatedColumnFormula>
    </tableColumn>
    <tableColumn id="138" xr3:uid="{9A3E8CE6-97D9-489A-A059-533913D01517}" name="IRPJ (3)" dataDxfId="529" totalsRowDxfId="530"/>
    <tableColumn id="35" xr3:uid="{4FEBC90C-FD85-4754-B0BF-101EFD3A98E2}" name="ENCARGOS (3)" dataDxfId="527" totalsRowDxfId="528"/>
    <tableColumn id="36" xr3:uid="{6D0169B5-CD35-4FA5-B93C-3E2C6D58621C}" name="LÍQUIDO (3)" dataDxfId="525" totalsRowDxfId="526"/>
    <tableColumn id="37" xr3:uid="{0723603B-9DE6-4F14-A50F-0A6F2C65E616}" name="M³ (3)" dataDxfId="523" totalsRowDxfId="524"/>
    <tableColumn id="38" xr3:uid="{26DECA02-A70A-49D1-BCFE-E2F4B70DA389}" name="VENCIMENTO (3)" dataDxfId="521" totalsRowDxfId="522"/>
    <tableColumn id="39" xr3:uid="{1DD22416-378C-4FCA-B72D-79B85269F127}" name="Nº SEI (3)" dataDxfId="519" totalsRowDxfId="520"/>
    <tableColumn id="40" xr3:uid="{545296C6-2A37-4714-A757-42ADC70F48C6}" name="ENVIADO AO DED (3)" totalsRowDxfId="518"/>
    <tableColumn id="41" xr3:uid="{90E62385-D7EF-464B-B9BA-4406244C1142}" name="PAGO (3)" totalsRowDxfId="517"/>
    <tableColumn id="42" xr3:uid="{B3B65398-29EC-460F-877C-07A813767A80}" name="Variação Consumo (3)" dataDxfId="515" totalsRowDxfId="516">
      <calculatedColumnFormula>(AX5-AM5)/AM5</calculatedColumnFormula>
    </tableColumn>
    <tableColumn id="43" xr3:uid="{C6BF6AC7-3861-4199-A9BB-2E414660C09B}" name="Variação Financeiro (3)" dataDxfId="513" totalsRowDxfId="514">
      <calculatedColumnFormula>(AW5-AL5)/AL5</calculatedColumnFormula>
    </tableColumn>
    <tableColumn id="54" xr3:uid="{8F4090BD-41AD-466B-8535-B1DD55750E52}" name="BRUTO (4)" dataDxfId="511" totalsRowDxfId="512">
      <calculatedColumnFormula>SUM(BH5, ABS(BF5))</calculatedColumnFormula>
    </tableColumn>
    <tableColumn id="139" xr3:uid="{9E84862F-C197-484D-A953-C3F679CB754E}" name="IRPJ (4)" dataDxfId="509" totalsRowDxfId="510"/>
    <tableColumn id="45" xr3:uid="{77513736-CA12-4DBC-83E7-06BDDF016806}" name="ENCARGOS (4)" dataDxfId="507" totalsRowDxfId="508"/>
    <tableColumn id="46" xr3:uid="{4FA3646F-0868-4787-A2BD-F2460B443F58}" name="LÍQUIDO (4)" dataDxfId="505" totalsRowDxfId="506"/>
    <tableColumn id="47" xr3:uid="{5B2185AB-02C7-43C1-BB62-003058963594}" name="M³ (4)" dataDxfId="503" totalsRowDxfId="504"/>
    <tableColumn id="48" xr3:uid="{46BE5199-E7ED-4DE4-9939-97B62B187E33}" name="VENCIMENTO (4)" dataDxfId="501" totalsRowDxfId="502"/>
    <tableColumn id="49" xr3:uid="{61F7B6F9-6A2D-41B8-8EE2-AD93722CBCBF}" name="Nº SEI (4)" dataDxfId="499" totalsRowDxfId="500"/>
    <tableColumn id="50" xr3:uid="{9CADEA39-8AB9-4070-90C5-4980E1EED800}" name="ENVIADO AO DED (4)" totalsRowDxfId="498"/>
    <tableColumn id="51" xr3:uid="{263C68B5-B052-413E-9B58-11AF16715D4E}" name="PAGO (4)" totalsRowDxfId="497"/>
    <tableColumn id="52" xr3:uid="{565023FA-3131-4E21-8178-A8B9AA82F677}" name="Variação Consumo (4)" dataDxfId="495" totalsRowDxfId="496">
      <calculatedColumnFormula>(BI5-AX5)/AX5</calculatedColumnFormula>
    </tableColumn>
    <tableColumn id="53" xr3:uid="{4C2945EA-0B65-48D1-B3C7-7920FEA9F1B7}" name="Variação Financeiro (4)" dataDxfId="493" totalsRowDxfId="494">
      <calculatedColumnFormula>(BH5-AW5)/AW5</calculatedColumnFormula>
    </tableColumn>
    <tableColumn id="64" xr3:uid="{90EF602C-FFA0-4579-8EC6-59F2FDC8D442}" name="BRUTO (5)" dataDxfId="491" totalsRowDxfId="492">
      <calculatedColumnFormula>SUM(BS5, ABS(BQ5))</calculatedColumnFormula>
    </tableColumn>
    <tableColumn id="140" xr3:uid="{68BF2105-79F6-4435-8DBA-2868E2BCC6B5}" name="IRPJ (5)" totalsRowDxfId="490"/>
    <tableColumn id="55" xr3:uid="{8DFA640D-BDCC-49CF-996A-8D526E84F06D}" name="ENCARGOS (5)" totalsRowDxfId="489"/>
    <tableColumn id="56" xr3:uid="{27C29024-DFA8-407D-A4D1-A0F73594907C}" name="LÍQUIDO (5)" totalsRowDxfId="488"/>
    <tableColumn id="57" xr3:uid="{94044C22-FAA7-4439-8C42-DBE98FBFE903}" name="M³ (5)" totalsRowDxfId="487"/>
    <tableColumn id="58" xr3:uid="{16BFF1A1-F0AA-42FB-A77B-7A8609244325}" name="VENCIMENTO (5)" dataDxfId="485" totalsRowDxfId="486"/>
    <tableColumn id="59" xr3:uid="{6DAB7B69-613C-490A-89F6-2B262FED4579}" name="Nº SEI (5)" totalsRowDxfId="484"/>
    <tableColumn id="60" xr3:uid="{2C895DC4-D66D-4DF3-A574-C2EFBF5D4302}" name="ENVIADO AO DED (5)" totalsRowDxfId="483"/>
    <tableColumn id="61" xr3:uid="{0B68D568-3581-4C43-A010-48016F0F5EC3}" name="PAGO (5)" totalsRowDxfId="482"/>
    <tableColumn id="62" xr3:uid="{980DFC86-E302-46F0-AD9C-DCC709210F41}" name="Variação Consumo (5)" dataDxfId="480" totalsRowDxfId="481">
      <calculatedColumnFormula>(BT5-BI5)/BI5</calculatedColumnFormula>
    </tableColumn>
    <tableColumn id="63" xr3:uid="{F9AB78FB-0AE6-428D-9BC2-6B49E9D8F3F6}" name="Variação Financeiro (5)" dataDxfId="478" totalsRowDxfId="479">
      <calculatedColumnFormula>(BS5-BH5)/BH5</calculatedColumnFormula>
    </tableColumn>
    <tableColumn id="74" xr3:uid="{90DCDC0F-54A7-435F-9C4C-7F88169145CC}" name="BRUTO (6)" dataDxfId="476" totalsRowDxfId="477">
      <calculatedColumnFormula>SUM(CD5, ABS(CB5))</calculatedColumnFormula>
    </tableColumn>
    <tableColumn id="141" xr3:uid="{23BA0268-5A97-4171-8EA8-3502444539A3}" name="IRPJ (6)" totalsRowDxfId="475"/>
    <tableColumn id="65" xr3:uid="{1D0F3EB7-98CC-498A-81C7-74F485EC898F}" name="ENCARGOS (6)" totalsRowDxfId="474"/>
    <tableColumn id="66" xr3:uid="{78D63FAE-CC84-4E04-9A8B-5657109EA8D8}" name="LÍQUIDO (6)" totalsRowDxfId="473"/>
    <tableColumn id="67" xr3:uid="{EF974687-279D-4D9B-8074-5CC71EA4E304}" name="M³ (6)" totalsRowDxfId="472"/>
    <tableColumn id="68" xr3:uid="{64EE2534-E54E-41DC-8F26-7F5B32170AAF}" name="VENCIMENTO (5)2" dataDxfId="470" totalsRowDxfId="471"/>
    <tableColumn id="69" xr3:uid="{6243F4F5-4561-4684-A081-7F2E6574792A}" name="Nº SEI (6)" totalsRowDxfId="469"/>
    <tableColumn id="70" xr3:uid="{C55D54BD-A13C-48C3-A771-5D0D304D2910}" name="ENVIADO AO DED (6)" totalsRowDxfId="468"/>
    <tableColumn id="71" xr3:uid="{5DB8D01A-B4FF-4EB5-AAC7-71E4825A9A6B}" name="PAGO (6)" totalsRowDxfId="467"/>
    <tableColumn id="72" xr3:uid="{4223AA7E-FCD0-4AA6-A8F6-9579D6B6B41D}" name="Variação Consumo (6)" dataDxfId="465" totalsRowDxfId="466">
      <calculatedColumnFormula>(CE5-BT5)/BT5</calculatedColumnFormula>
    </tableColumn>
    <tableColumn id="73" xr3:uid="{7E794D7A-D06F-408A-BF6F-3AED1A6BC20A}" name="Variação Financeiro (6)" dataDxfId="463" totalsRowDxfId="464">
      <calculatedColumnFormula>(CD5-BS5)/BS5</calculatedColumnFormula>
    </tableColumn>
    <tableColumn id="84" xr3:uid="{180F36AF-5FC4-411E-8CFF-4C3BCEF80B3D}" name="BRUTO (7)" dataDxfId="461" totalsRowDxfId="462">
      <calculatedColumnFormula>SUM(CO5, ABS(CM5))</calculatedColumnFormula>
    </tableColumn>
    <tableColumn id="142" xr3:uid="{8B9E055C-2729-4747-9ADB-C70F05ED7D68}" name="IRPJ (7)" totalsRowDxfId="460"/>
    <tableColumn id="75" xr3:uid="{448183D1-D718-4A28-BEA6-EB9AE7FAE0F4}" name="ENCARGOS (7)" totalsRowDxfId="459"/>
    <tableColumn id="76" xr3:uid="{9E1B5DF9-65B6-4B20-8233-4B102A60192B}" name="LÍQUIDO (7)" totalsRowDxfId="458"/>
    <tableColumn id="77" xr3:uid="{067A2339-854D-4AC1-9245-0DC03E77EDA0}" name="M³ (7)" totalsRowDxfId="457"/>
    <tableColumn id="78" xr3:uid="{B71A2BD1-5045-42F6-A383-E23729B3772E}" name="VENCIMENTO (7)" dataDxfId="455" totalsRowDxfId="456"/>
    <tableColumn id="79" xr3:uid="{87411292-F98D-4FAE-9393-E1B65A92F14E}" name="Nº SEI (7)" totalsRowDxfId="454"/>
    <tableColumn id="80" xr3:uid="{8367236A-548F-401A-911D-64FB670A6091}" name="ENVIADO AO DED (7)" totalsRowDxfId="453"/>
    <tableColumn id="81" xr3:uid="{C6D94DC1-AD33-4BF5-A923-9492BAA6AFFB}" name="PAGO (7)" totalsRowDxfId="452"/>
    <tableColumn id="82" xr3:uid="{71DC3279-9A80-4585-A887-9F3CC3CF3F82}" name="Variação Consumo (7)" totalsRowDxfId="451">
      <calculatedColumnFormula>(CP5-CE5)/CE5</calculatedColumnFormula>
    </tableColumn>
    <tableColumn id="83" xr3:uid="{D020E21A-EF98-400D-AB88-903BCB7421C3}" name="Variação Financeiro (7)" totalsRowDxfId="450">
      <calculatedColumnFormula>(CO5-CD5)/CD5</calculatedColumnFormula>
    </tableColumn>
    <tableColumn id="94" xr3:uid="{2AB9D5BE-7EA1-4BED-B9E9-FFB2E4B56C6C}" name="BRUTO (8)" dataDxfId="448" totalsRowDxfId="449">
      <calculatedColumnFormula>SUM(CZ5, ABS(CX5))</calculatedColumnFormula>
    </tableColumn>
    <tableColumn id="143" xr3:uid="{C0A670C6-0E2D-44CC-8351-151A42CEB4EE}" name="IRPJ (8)" totalsRowDxfId="447"/>
    <tableColumn id="85" xr3:uid="{12354263-6B24-4AFE-8AB4-5A3FED7E25E0}" name="ENCARGOS (8)" totalsRowDxfId="446"/>
    <tableColumn id="86" xr3:uid="{B8EA5F42-70B2-4D54-982A-71BD74ED430C}" name="LÍQUIDO (8)" totalsRowDxfId="445"/>
    <tableColumn id="87" xr3:uid="{E0E6D278-C14C-4827-817C-B26352D083A0}" name="M³ (8)" totalsRowDxfId="444"/>
    <tableColumn id="88" xr3:uid="{073FBB39-C88E-4C11-9F5E-8A2A0649D410}" name="VENCIMENTO (8)" dataDxfId="442" totalsRowDxfId="443"/>
    <tableColumn id="89" xr3:uid="{6B2908C9-315E-4FBB-B7A9-D52403B81049}" name="Nº SEI (8)" totalsRowDxfId="441"/>
    <tableColumn id="90" xr3:uid="{AB452BB9-EC0C-4E8A-A045-DAD56231E48F}" name="ENVIADO AO DED (8)" totalsRowDxfId="440"/>
    <tableColumn id="91" xr3:uid="{69070096-D73E-416E-BD9B-A003421C2E58}" name="PAGO (8)" totalsRowDxfId="439"/>
    <tableColumn id="92" xr3:uid="{15CF893C-640E-4ED3-BA4D-4BBB18B2822C}" name="Variação Consumo (8)" dataDxfId="437" totalsRowDxfId="438">
      <calculatedColumnFormula>(DA5-CP5)/CP5</calculatedColumnFormula>
    </tableColumn>
    <tableColumn id="93" xr3:uid="{D224138F-ACFE-4C43-8A35-2E1CD70B6A81}" name="Variação Financeiro (8)" dataDxfId="435" totalsRowDxfId="436">
      <calculatedColumnFormula>(CZ5-CO5)/CO5</calculatedColumnFormula>
    </tableColumn>
    <tableColumn id="104" xr3:uid="{63703A61-0853-453F-96B4-63F32AF99C3B}" name="Coluna6" dataDxfId="433" totalsRowDxfId="434">
      <calculatedColumnFormula>SUM(DK5, ABS(DI5))</calculatedColumnFormula>
    </tableColumn>
    <tableColumn id="95" xr3:uid="{118C61A0-5D95-4285-9E6D-5F1022CB56B3}" name="BRUTO (9)" totalsRowDxfId="432"/>
    <tableColumn id="144" xr3:uid="{C44BBEA6-1852-4E5C-BAD0-3CFA4E9C0984}" name="IRPJ (9)" totalsRowDxfId="431"/>
    <tableColumn id="34" xr3:uid="{26AD247C-10BF-463F-A73B-6DE34C9005C3}" name="ENCARGOS (9)" totalsRowDxfId="430"/>
    <tableColumn id="96" xr3:uid="{5879707E-913A-4EA6-9AAF-8509D8CE2ABB}" name="LÍQUIDO (9)" totalsRowDxfId="429"/>
    <tableColumn id="97" xr3:uid="{DC195810-608D-4B6D-B495-7876ED115171}" name="M³ (9)" totalsRowDxfId="428"/>
    <tableColumn id="98" xr3:uid="{CB119CAC-03F3-4143-A2D3-5B10A1C09386}" name="VENCIMENTO (9)" dataDxfId="426" totalsRowDxfId="427"/>
    <tableColumn id="99" xr3:uid="{D07F98C5-BBEB-4785-AAA2-E91A8677E271}" name="Nº SEI (9)" totalsRowDxfId="425"/>
    <tableColumn id="100" xr3:uid="{EC8F4FC9-4304-45E6-80F8-967AAB43074E}" name="ENVIADO AO DED (9)" totalsRowDxfId="424"/>
    <tableColumn id="101" xr3:uid="{29FBC725-1981-4B1C-B86F-DDB78110FEDE}" name="PAGO (9)" totalsRowDxfId="423"/>
    <tableColumn id="102" xr3:uid="{4E238CF1-98C7-45EC-8C5A-931180500F05}" name="Variação Consumo (9)" dataDxfId="421" totalsRowDxfId="422">
      <calculatedColumnFormula>(DM5-DA5)/DA5</calculatedColumnFormula>
    </tableColumn>
    <tableColumn id="103" xr3:uid="{802FB47E-61FB-49C9-A7B8-FFFC0782C99D}" name="Variação Financeiro (9)" dataDxfId="419" totalsRowDxfId="420">
      <calculatedColumnFormula>SUM(DV5, ABS(DT5))</calculatedColumnFormula>
    </tableColumn>
    <tableColumn id="114" xr3:uid="{646C6998-5618-4BF1-8896-B931E56BF25B}" name="BRUTO (10)" totalsRowDxfId="418"/>
    <tableColumn id="145" xr3:uid="{792A0CBF-15B1-424E-985C-E21760AA8A77}" name="IRPJ (10)" totalsRowDxfId="417"/>
    <tableColumn id="105" xr3:uid="{C10E6C3F-AC61-481D-8290-B8D57C33C80C}" name="ENCARGOS (10)" totalsRowDxfId="416"/>
    <tableColumn id="106" xr3:uid="{6E313AF5-BEAE-465F-B3FD-95FB6CBDA2FD}" name="LÍQUIDO (10)" totalsRowDxfId="415"/>
    <tableColumn id="107" xr3:uid="{D05D52C3-1D3C-400C-9505-04F8724ACB14}" name="M³ (10)" totalsRowDxfId="414"/>
    <tableColumn id="108" xr3:uid="{18B774B8-6640-4D94-B296-00554861681B}" name="VENCIMENTO (10)" dataDxfId="412" totalsRowDxfId="413"/>
    <tableColumn id="109" xr3:uid="{FC3AD150-B8E5-4931-864D-DB59D914936B}" name="Nº SEI (10)" totalsRowDxfId="411"/>
    <tableColumn id="110" xr3:uid="{5E64F9E2-A131-4793-90F7-951417CC7F37}" name="ENVIADO AO DED (10)" totalsRowDxfId="410"/>
    <tableColumn id="111" xr3:uid="{B8F17B4B-072B-4B20-B165-5E5C8608B5BB}" name="PAGO (10)" totalsRowDxfId="409"/>
    <tableColumn id="112" xr3:uid="{6C89EAD0-26B5-47F4-B308-16C2C27D3138}" name="Variação Consumo (10)" dataDxfId="407" totalsRowDxfId="408">
      <calculatedColumnFormula>(DX5-DM5)/DM5</calculatedColumnFormula>
    </tableColumn>
    <tableColumn id="113" xr3:uid="{1D5F1795-7875-489F-BD7C-5EADD9A51B5E}" name="Variação Financeiro (10)" dataDxfId="405" totalsRowDxfId="406">
      <calculatedColumnFormula>SUM(EG5, ABS(EE5))</calculatedColumnFormula>
    </tableColumn>
    <tableColumn id="124" xr3:uid="{61858727-32CF-4BD4-A148-8094CF647C9F}" name="BRUTO (11)" totalsRowDxfId="404"/>
    <tableColumn id="146" xr3:uid="{8802D5D3-B237-4C53-89AF-A33CC25D60D3}" name="IRPJ (11)" totalsRowDxfId="403"/>
    <tableColumn id="115" xr3:uid="{7C7E1C58-6AC2-441B-BB1C-BE7882F381C3}" name="ENCARGOS (11)" totalsRowDxfId="402"/>
    <tableColumn id="116" xr3:uid="{5E0AE55A-1A93-410B-85FF-31058B61189B}" name="LÍQUIDO (11)" totalsRowDxfId="401"/>
    <tableColumn id="117" xr3:uid="{2513B363-C299-4679-8A58-29D2A798DACA}" name="M³ (11)" totalsRowDxfId="400"/>
    <tableColumn id="118" xr3:uid="{695DB4D0-EC5A-49D0-B8D6-C7C8EE2B45F2}" name="VENCIMENTO (11)" dataDxfId="398" totalsRowDxfId="399"/>
    <tableColumn id="119" xr3:uid="{E7D71801-94C7-48B3-BDB7-51010EF34217}" name="Nº SEi (11)" totalsRowDxfId="397"/>
    <tableColumn id="120" xr3:uid="{10FE1746-7754-45C5-93B8-D35A8C365889}" name="ENVIADO AO DED (11)" totalsRowDxfId="396"/>
    <tableColumn id="121" xr3:uid="{C19E6919-EC9B-42A5-8467-2CAEC16375C9}" name="PAGO (11)" totalsRowDxfId="395"/>
    <tableColumn id="122" xr3:uid="{F41875E1-E295-4AF8-9FB8-FC79B791B4AD}" name="Variação Consumo (11)" dataDxfId="393" totalsRowDxfId="394">
      <calculatedColumnFormula>(EI5-DX5)/DX5</calculatedColumnFormula>
    </tableColumn>
    <tableColumn id="123" xr3:uid="{E1721C31-F49E-4BCF-97D5-11FDA4F13E30}" name="Variação Financeiro (11)" dataDxfId="391" totalsRowDxfId="392">
      <calculatedColumnFormula>SUM(ER5, ABS(EP5))</calculatedColumnFormula>
    </tableColumn>
    <tableColumn id="134" xr3:uid="{8B685305-7E8E-4045-9CAC-1DB0DEA5CA0D}" name="BRUTO (12)2" totalsRowDxfId="390"/>
    <tableColumn id="147" xr3:uid="{DFE4E829-7C28-4D0A-8822-099A4DE20C86}" name="IRPJ (12)2" totalsRowDxfId="389"/>
    <tableColumn id="125" xr3:uid="{8670C698-0AAA-4CB3-80B9-A36B61281C0E}" name="ENCARGOS (12)2" totalsRowDxfId="388"/>
    <tableColumn id="126" xr3:uid="{A0A8D458-51EE-4D2E-AA7C-E4D906E1AFE9}" name="LÍQUIDO (12)2" totalsRowDxfId="387"/>
    <tableColumn id="127" xr3:uid="{729C1D66-157B-4856-9A7E-0F35DFAA45E1}" name="M³ (12)2" totalsRowDxfId="386"/>
    <tableColumn id="128" xr3:uid="{E7F10FBA-B371-4739-ABDC-1DF79E493DA0}" name="VENCIMENTO (12)2" dataDxfId="384" totalsRowDxfId="385"/>
    <tableColumn id="129" xr3:uid="{73D56CE2-8D06-493D-B26D-5A4E6C8DFE85}" name="Nº SEI (12)2" totalsRowDxfId="383"/>
    <tableColumn id="130" xr3:uid="{A808377D-CDF2-4E69-A446-2FD9A1478ADC}" name="ENVIADO AO DED (12)2" totalsRowDxfId="382"/>
    <tableColumn id="131" xr3:uid="{8A41E07E-3452-47DF-9F61-C51BDA95A995}" name="PAGO (12)2" totalsRowDxfId="381"/>
    <tableColumn id="132" xr3:uid="{24D4A557-640B-4606-B0D5-9D7E8E466FC1}" name="Variação Consumo (12)" dataDxfId="379" totalsRowDxfId="380">
      <calculatedColumnFormula>(ET5-EI5)/EI5</calculatedColumnFormula>
    </tableColumn>
    <tableColumn id="133" xr3:uid="{2DAE3790-B3B9-42AF-8E2F-358FA78B0971}" name="Variação Financeiro (12)" dataDxfId="377" totalsRowDxfId="378">
      <calculatedColumnFormula>(ES5-EH5)/EH5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E2A950-6E7F-45EB-B886-4D3E0C173755}" name="SUASE" displayName="SUASE" ref="C4:EY15" totalsRowShown="0" headerRowDxfId="364" dataDxfId="363" tableBorderDxfId="362">
  <autoFilter ref="C4:EY15" xr:uid="{C7E2A950-6E7F-45EB-B886-4D3E0C173755}"/>
  <tableColumns count="153">
    <tableColumn id="1" xr3:uid="{E43ABFEE-433E-4539-B9A2-B67F4C458ED5}" name="UNIDADES PRISIONAIS" dataDxfId="361"/>
    <tableColumn id="2" xr3:uid="{1DF7F296-8BEC-474F-9ECE-09F3E5E2E18F}" name="UNIDADE EXECUTORA" dataDxfId="360"/>
    <tableColumn id="3" xr3:uid="{9F6ACB75-8DAC-423A-8240-117751BF08E7}" name="UPG" dataDxfId="359"/>
    <tableColumn id="4" xr3:uid="{12117B57-EAFB-4D63-BF48-0CD5696EB3BA}" name="HIDRÔMETRO" dataDxfId="358"/>
    <tableColumn id="134" xr3:uid="{E44DB150-D81E-4DFF-B6B4-4B867FB38844}" name="CONCESSIONÁRIA (ABREV)" dataDxfId="357"/>
    <tableColumn id="5" xr3:uid="{45E09002-7DE9-47BE-AC13-FFADE1B01A71}" name="CONCESSIONÁRIA" dataDxfId="356"/>
    <tableColumn id="6" xr3:uid="{3BEFB727-EB37-44E1-89B8-4D859F1206E6}" name="CNPJ" dataDxfId="355"/>
    <tableColumn id="7" xr3:uid="{1ADED633-34FD-47CD-919D-44E50946A01E}" name="IDENTIFICADOR (1)" dataDxfId="354"/>
    <tableColumn id="8" xr3:uid="{86F73E14-C4D8-4DE1-99A5-76779A6F6C4F}" name="IDENTIFICADOR (2)" dataDxfId="353"/>
    <tableColumn id="11" xr3:uid="{6BEAD84A-A3EE-41C0-A09D-351DC38CC7BC}" name="EMPENHO (FONTE 60)" dataDxfId="352"/>
    <tableColumn id="12" xr3:uid="{31616621-774C-4D17-8CBF-EAF870A27789}" name="EMPENHO DE ENCARGOS (FONTE 60)" dataDxfId="351"/>
    <tableColumn id="13" xr3:uid="{72625A4C-844D-4271-B57A-DCBFBE8873B1}" name="MATRICULA" dataDxfId="350"/>
    <tableColumn id="147" xr3:uid="{7DBAD56A-2EEE-4B55-A09A-188F165FE56F}" name="BRUTO " dataDxfId="349"/>
    <tableColumn id="148" xr3:uid="{CBABC487-90E1-408C-B316-BC8218779674}" name="IR" dataDxfId="348"/>
    <tableColumn id="149" xr3:uid="{3407D3BD-48D8-4C03-BFD8-C386FCFE1CDF}" name="ENCARGO" dataDxfId="347"/>
    <tableColumn id="150" xr3:uid="{A9DE8D1D-5F11-478A-B26D-0E01133DD661}" name="LÍQUIDO" dataDxfId="346"/>
    <tableColumn id="151" xr3:uid="{DC4849C6-BA9B-479E-91EC-36D155674EDF}" name="M³" dataDxfId="345"/>
    <tableColumn id="152" xr3:uid="{640BEC32-D724-4872-9782-7BD95AD47CB8}" name="VENCIMENTO" dataDxfId="344"/>
    <tableColumn id="153" xr3:uid="{94EEBA91-0F64-4EFC-A651-27D9DF82702F}" name="Nº SEI" dataDxfId="343"/>
    <tableColumn id="155" xr3:uid="{E6E4D3C3-925F-4ED3-838E-661B9156D30A}" name="ENVIADO A DED" dataDxfId="342"/>
    <tableColumn id="154" xr3:uid="{ECC2B790-46DA-45C8-97C8-689EC865B680}" name="PAGO" dataDxfId="341"/>
    <tableColumn id="135" xr3:uid="{ED9DA6BE-8558-4D5F-AD06-224E0A40230A}" name="BRUTO (1)" dataDxfId="340">
      <calculatedColumnFormula>AA5 + ABS(Y5) + ABS(Z5)</calculatedColumnFormula>
    </tableColumn>
    <tableColumn id="14" xr3:uid="{87A16170-D837-48F0-B711-86C9F99468F7}" name="IR (1)" dataDxfId="339"/>
    <tableColumn id="15" xr3:uid="{260ED413-ADCD-46F0-AEF1-4EB0BE1F46D6}" name="ENCARGOS (1)" dataDxfId="338"/>
    <tableColumn id="16" xr3:uid="{73A148D5-3A0D-4F64-B2E0-23BBF4FE981C}" name="LÍQUIDO (1)" dataDxfId="337"/>
    <tableColumn id="17" xr3:uid="{E0CC2982-8B38-4D46-818E-6176C62ADCA5}" name="M³ (1)" dataDxfId="336"/>
    <tableColumn id="18" xr3:uid="{BCFE1E11-EE31-4E11-8C84-04B207D4905F}" name="VENCIMENTO (1)" dataDxfId="335"/>
    <tableColumn id="19" xr3:uid="{226BAC24-B5F4-45D2-AED2-4CCE54D690DC}" name="Nº SEI (1)" dataDxfId="334"/>
    <tableColumn id="20" xr3:uid="{497A526C-6282-483E-993C-6D908F74D28B}" name="ENVIADO AO DED (1)" dataDxfId="333"/>
    <tableColumn id="21" xr3:uid="{A59C7CEC-FAB2-4945-B42A-948A3EED22F0}" name="PAGO (1)" dataDxfId="332"/>
    <tableColumn id="22" xr3:uid="{9F6406AF-2F46-4657-AFE9-C3B80A61A2C8}" name="Variação Consumo (1)" dataDxfId="331">
      <calculatedColumnFormula>(AB5-S5)/S5</calculatedColumnFormula>
    </tableColumn>
    <tableColumn id="23" xr3:uid="{045B1068-5F46-4824-80DE-488B8D1B13AB}" name="Variação Financeiro (1)" dataDxfId="330">
      <calculatedColumnFormula>(X5-O5)/O5</calculatedColumnFormula>
    </tableColumn>
    <tableColumn id="136" xr3:uid="{632F7110-38C3-483C-86DA-34F46E62196B}" name="BRUTO (2)" dataDxfId="329">
      <calculatedColumnFormula>AL5 + ABS(AK5) + ABS(AJ5)</calculatedColumnFormula>
    </tableColumn>
    <tableColumn id="24" xr3:uid="{3ACA5C1C-6A0B-436B-B713-C600F21E48CC}" name="IR (2)" dataDxfId="328"/>
    <tableColumn id="25" xr3:uid="{2454D116-9CAA-471A-A094-7FD3388E83C4}" name="ENCARGOS (2)" dataDxfId="327"/>
    <tableColumn id="26" xr3:uid="{81ACEB9D-7540-43BC-893D-BFACD8F2DC99}" name="LÍQUIDO (1)2" dataDxfId="326"/>
    <tableColumn id="27" xr3:uid="{CAE8FD8B-81AE-4F18-9453-C4C99D9F66BE}" name="M³ (2)" dataDxfId="325"/>
    <tableColumn id="28" xr3:uid="{3ACE5D6B-96AF-4B4D-9E93-8DE04919DC03}" name="VENCIMENTO (2)" dataDxfId="324"/>
    <tableColumn id="29" xr3:uid="{4DBEC2EC-E41F-4916-A62A-A67AEFC5AE58}" name="Nº SEI (2)" dataDxfId="323"/>
    <tableColumn id="30" xr3:uid="{12FDF0A2-821A-4365-8BA5-41735D9EF13C}" name="ENVIADO AO DED (2)" dataDxfId="322"/>
    <tableColumn id="31" xr3:uid="{81C2D595-5007-4921-B156-B264F9B4637A}" name="PAGO (2)" dataDxfId="321"/>
    <tableColumn id="32" xr3:uid="{DF0A39D2-ED07-4389-9504-0DEB9D1B11A4}" name="Variação Consumo (2)" dataDxfId="320">
      <calculatedColumnFormula>(AM5-AB5)/AB5</calculatedColumnFormula>
    </tableColumn>
    <tableColumn id="33" xr3:uid="{B946B718-567B-4A3E-BC8F-D43CE80ECE62}" name="Variação Financeiro (2)" dataDxfId="319">
      <calculatedColumnFormula>(AI5-X5)/X5</calculatedColumnFormula>
    </tableColumn>
    <tableColumn id="137" xr3:uid="{892640BB-F957-420B-B0C4-05B7D5E28435}" name="BRUTO (3)" dataDxfId="318"/>
    <tableColumn id="34" xr3:uid="{3D78BC5A-24E3-4847-BFD3-915FB6EE95BC}" name="IR (3)" dataDxfId="317"/>
    <tableColumn id="35" xr3:uid="{4BE25F9F-CB33-461A-B0EE-E6F4A09304B3}" name="ENCARGOS (3)" dataDxfId="316"/>
    <tableColumn id="36" xr3:uid="{348A37C3-06C0-4285-9CE5-88291F79B870}" name="LÍQUIDO (3)" dataDxfId="315"/>
    <tableColumn id="37" xr3:uid="{8C858BAC-51B7-4DAA-9B52-5ACDFE1FE356}" name="M³ (3)" dataDxfId="314"/>
    <tableColumn id="38" xr3:uid="{D2BA55A3-A8A3-4BB0-87DD-CF7C3C4CB4FA}" name="VENCIMENTO (3)" dataDxfId="313"/>
    <tableColumn id="39" xr3:uid="{94626DF8-ACB3-4254-92EA-BDAC4AB1E478}" name="Nº SEI (3)" dataDxfId="312"/>
    <tableColumn id="40" xr3:uid="{C63A0073-4FC0-4A28-A103-D2383AA40206}" name="ENVIADO AO DED (3)" dataDxfId="311"/>
    <tableColumn id="41" xr3:uid="{C38093AD-5DE6-41C3-AA30-2545FBA118F6}" name="PAGO (3)" dataDxfId="310"/>
    <tableColumn id="42" xr3:uid="{EE4AFF65-1F90-406D-924A-0507AA75EFBE}" name="Variação Consumo (3)" dataDxfId="309">
      <calculatedColumnFormula>(AX5-AM5)/AM5</calculatedColumnFormula>
    </tableColumn>
    <tableColumn id="43" xr3:uid="{E69CF926-CFAD-4E51-BB2C-3F437E6B3B95}" name="Variação Financeiro (3)" dataDxfId="308">
      <calculatedColumnFormula>(AT5-AI5)/AI5</calculatedColumnFormula>
    </tableColumn>
    <tableColumn id="141" xr3:uid="{165B0F8C-2FD6-4D57-B69B-B41B9DF134C5}" name="BRUTO (4)" dataDxfId="307"/>
    <tableColumn id="44" xr3:uid="{DE580544-9F97-4573-99CE-ADD39D8EAA7B}" name="IR (4)" dataDxfId="306"/>
    <tableColumn id="45" xr3:uid="{5BB44FAC-9ACE-4E98-B11F-E73AB15D8FC5}" name="ENCARGOS (4)" dataDxfId="305"/>
    <tableColumn id="46" xr3:uid="{812A70D7-CD81-4035-BCFD-BD7BC4D2D9E8}" name="LÍQUIDO (4)" dataDxfId="304"/>
    <tableColumn id="47" xr3:uid="{01CCC004-06A7-4257-8243-D237BA1C2A0F}" name="M³ (4)" dataDxfId="303"/>
    <tableColumn id="48" xr3:uid="{CBBA5983-2AF0-4683-971A-3DE7E3007EC5}" name="VENCIMENTO (4)" dataDxfId="302"/>
    <tableColumn id="49" xr3:uid="{0BAC82D3-440B-4DF3-8AB3-108156D92357}" name="Nº SEI (4)" dataDxfId="301"/>
    <tableColumn id="50" xr3:uid="{DBBD95F9-4681-496B-ACDF-BF46C4A1D08D}" name="ENVIADO AO DED (4)" dataDxfId="300"/>
    <tableColumn id="51" xr3:uid="{08093B09-4A6C-4133-9D66-4ED53A74CC15}" name="PAGO (4)" dataDxfId="299"/>
    <tableColumn id="52" xr3:uid="{FADA6501-0AED-4DB0-A9DE-D045B13A42FF}" name="Variação Consumo (4)" dataDxfId="298">
      <calculatedColumnFormula>(BI5-AX5)/AX5</calculatedColumnFormula>
    </tableColumn>
    <tableColumn id="53" xr3:uid="{205B833C-3ACC-4798-94D1-FC18607B7F19}" name="Variação Financeiro (4)" dataDxfId="297">
      <calculatedColumnFormula>(BE5-AT5)/AT5</calculatedColumnFormula>
    </tableColumn>
    <tableColumn id="146" xr3:uid="{47FF19EE-7DEA-4B7F-B3AA-A39F0B13ACB0}" name="BRUTO (5)" dataDxfId="296"/>
    <tableColumn id="54" xr3:uid="{C315E8DB-BA99-4E3D-BDBB-4BC303759164}" name="IR (5)" dataDxfId="295"/>
    <tableColumn id="55" xr3:uid="{3D41696B-6D23-4591-A18B-4761BC416166}" name="ENCARGOS (5)" dataDxfId="294"/>
    <tableColumn id="56" xr3:uid="{8C21D2B6-1270-4DBE-81A6-9DDDC09DCEA2}" name="LÍQUIDO (5)" dataDxfId="293"/>
    <tableColumn id="57" xr3:uid="{0EFAB4DA-ADFF-4FA7-A683-4132C56D6C4C}" name="M³ (5)" dataDxfId="292"/>
    <tableColumn id="58" xr3:uid="{BEB28734-8940-423C-AD5D-B7A95919400E}" name="VENCIMENTO (5)" dataDxfId="291"/>
    <tableColumn id="59" xr3:uid="{42F52A3B-8B42-4736-8C0C-8516BFA78539}" name="Nº SEI (5)" dataDxfId="290"/>
    <tableColumn id="60" xr3:uid="{52CDA0F3-A561-4C08-94F7-CF223761F618}" name="ENVIADO AO DED (5)" dataDxfId="289"/>
    <tableColumn id="61" xr3:uid="{C54CDBFF-03DB-4210-A2C9-8D59F604B6DD}" name="PAGO (5)" dataDxfId="288"/>
    <tableColumn id="62" xr3:uid="{F7C7567B-9DA4-4687-A3DE-0D87F19D7478}" name="Variação Consumo (5)" dataDxfId="287">
      <calculatedColumnFormula>(BT5-BI5)/BI5</calculatedColumnFormula>
    </tableColumn>
    <tableColumn id="63" xr3:uid="{227F4CC6-0415-4C5F-85FB-A94806E586CF}" name="Variação Financeiro (5)" dataDxfId="286">
      <calculatedColumnFormula>(BP5-BE5)/BE5</calculatedColumnFormula>
    </tableColumn>
    <tableColumn id="145" xr3:uid="{EACA6DE1-DBBB-4F4A-A9A4-2CBDF283EF9B}" name="BRUTO (6)" dataDxfId="285"/>
    <tableColumn id="64" xr3:uid="{3AEE09C8-A5C3-43F6-8055-5EE9FC739420}" name="IR (6)" dataDxfId="284"/>
    <tableColumn id="65" xr3:uid="{5EEA1055-E4AA-42D4-A6F7-DA86448A271D}" name="ENCARGOS (6)" dataDxfId="283"/>
    <tableColumn id="66" xr3:uid="{80D699B0-95E6-4058-BB47-C6F368C89D67}" name="LÍQUIDO (6)" dataDxfId="282"/>
    <tableColumn id="67" xr3:uid="{36389C6B-639D-4FC0-BCA6-171C4DEABA0E}" name="M³ (6)" dataDxfId="281"/>
    <tableColumn id="68" xr3:uid="{5AE4C206-DD99-423D-8B2D-BE405128E840}" name="VENCIMENTO (6)" dataDxfId="280"/>
    <tableColumn id="69" xr3:uid="{8213222D-1B9E-4F3A-93CD-9217A7D4C446}" name="Nº SEI (6)" dataDxfId="279"/>
    <tableColumn id="70" xr3:uid="{A7AA5C2B-DBF7-4197-841B-7C238CB364C3}" name="ENVIADO AO DED (6)" dataDxfId="278"/>
    <tableColumn id="71" xr3:uid="{3A163DFB-E070-4A2C-808D-A980B489E597}" name="PAGO (6)" dataDxfId="277"/>
    <tableColumn id="72" xr3:uid="{1575E8D0-3277-47D5-938B-B29C7A8F7887}" name="Variação Consumo (6)" dataDxfId="276">
      <calculatedColumnFormula>(CE5-BT5)/BT5</calculatedColumnFormula>
    </tableColumn>
    <tableColumn id="73" xr3:uid="{C2D44DDB-6FEF-449A-B9A0-D0896E369A7B}" name="Variação Financeiro (6)" dataDxfId="275">
      <calculatedColumnFormula>(CA5-BP5)/BP5</calculatedColumnFormula>
    </tableColumn>
    <tableColumn id="144" xr3:uid="{073D5146-2558-4C60-BAE9-D0E8914CF6F0}" name="BRUTO (7)" dataDxfId="274"/>
    <tableColumn id="74" xr3:uid="{5D41BF83-6EF0-4EB1-BE69-8DBA7BAFED3E}" name="IR (7)" dataDxfId="273"/>
    <tableColumn id="75" xr3:uid="{5533DC59-14B9-46D0-A56A-CB7B2081D47F}" name="ENCARGOS (7)" dataDxfId="272"/>
    <tableColumn id="76" xr3:uid="{24423A46-3DE0-4DEA-89AE-4CCCC46E603B}" name="LÍQUIDO (7)" dataDxfId="271"/>
    <tableColumn id="77" xr3:uid="{A1A3F6A8-177A-40A5-9ECB-B20E3DFFDAA7}" name="M³ (7)" dataDxfId="270"/>
    <tableColumn id="78" xr3:uid="{1E20EE7B-F0FD-469B-9E76-DBEBE36E8845}" name="VENCIMENTO (7)" dataDxfId="269"/>
    <tableColumn id="79" xr3:uid="{2726BDED-7357-4459-AFC9-7FF9547CCA4D}" name="Nº SEI (7)" dataDxfId="268"/>
    <tableColumn id="80" xr3:uid="{670D64E8-080E-401A-8B08-4061C0FC648D}" name="ENVIADO AO DED (7)" dataDxfId="267"/>
    <tableColumn id="81" xr3:uid="{C22E7318-026B-41CF-BC55-519F13793E6A}" name="PAGO (7)" dataDxfId="266"/>
    <tableColumn id="82" xr3:uid="{EC1A3367-F9F5-468A-AFD8-6D7E5A36C574}" name="Variação Consumo (7)" dataDxfId="265">
      <calculatedColumnFormula>(CP5-CE5)/CE5</calculatedColumnFormula>
    </tableColumn>
    <tableColumn id="83" xr3:uid="{D0FE4529-220C-4D70-B66B-95D9B8BC29CB}" name="Variação Financeiro (7)" dataDxfId="264">
      <calculatedColumnFormula>(CP5-CE5)/CE5</calculatedColumnFormula>
    </tableColumn>
    <tableColumn id="138" xr3:uid="{3FC8CC7A-F4E3-4024-B6A2-D2F3E367CDFF}" name="BRUTO (8)" dataDxfId="263"/>
    <tableColumn id="84" xr3:uid="{81D1AA8E-6C5B-40E3-B41D-8F22343B0D82}" name="IR (8)" dataDxfId="262"/>
    <tableColumn id="85" xr3:uid="{992780E8-A8FF-454B-BAF4-31F0812D4383}" name="ENCARGOS (8)" dataDxfId="261"/>
    <tableColumn id="86" xr3:uid="{5E3CEDDA-AE46-4B53-8A32-748D0706EB2D}" name="LÍQUIDO (8)" dataDxfId="260"/>
    <tableColumn id="87" xr3:uid="{9534468F-946D-4352-95A0-EA6B91673427}" name="M³ (8)" dataDxfId="259"/>
    <tableColumn id="88" xr3:uid="{30B803A3-1697-4D83-BA24-09E1F36DCD2D}" name="VENCIMENTO (8)" dataDxfId="258"/>
    <tableColumn id="89" xr3:uid="{533E76FB-06C5-4268-B11A-B4DB519B7485}" name="Nº SEI (8)" dataDxfId="257"/>
    <tableColumn id="90" xr3:uid="{BA33E9C3-B158-4D0B-B5B4-7DF3142F87A7}" name="ENVIADO AO DED (8)" dataDxfId="256"/>
    <tableColumn id="91" xr3:uid="{AF6AA94C-9C49-40F7-8462-88D50D314518}" name="PAGO (8)" dataDxfId="255"/>
    <tableColumn id="92" xr3:uid="{7D6B2E22-F054-4523-972A-1C3730E663CE}" name="Variação Consumo (8)" dataDxfId="254">
      <calculatedColumnFormula>(DC5-CP5)/CP5</calculatedColumnFormula>
    </tableColumn>
    <tableColumn id="93" xr3:uid="{9875552A-1D43-4BA3-B3BB-718E6995F2F0}" name="Variação Financeiro (8)" dataDxfId="253">
      <calculatedColumnFormula>(CW5-CL5)/CL5</calculatedColumnFormula>
    </tableColumn>
    <tableColumn id="139" xr3:uid="{0D4848FB-F430-4985-9F2F-C197C18DB8F4}" name="BRUTO (9)" dataDxfId="252"/>
    <tableColumn id="94" xr3:uid="{5C1D7029-C01E-46ED-B5C6-03C2AFE8BE5F}" name="IR (9)" dataDxfId="251"/>
    <tableColumn id="95" xr3:uid="{600F7D75-16CB-427F-B0EF-ED2D83441051}" name="ENCARGOS (9)" dataDxfId="250"/>
    <tableColumn id="96" xr3:uid="{297011EF-CCE0-4BB2-BE48-A237CF18EB7C}" name="LÍQUIDO (9)" dataDxfId="249"/>
    <tableColumn id="97" xr3:uid="{44FAF2FE-6F01-4A4C-B0F9-AB7C2A5BB9C1}" name="M³ (9)" dataDxfId="248"/>
    <tableColumn id="98" xr3:uid="{C90BD2A2-9EC2-4AFA-B009-4947768AA069}" name="VENCIMENTO (9)" dataDxfId="247"/>
    <tableColumn id="99" xr3:uid="{7A9382DC-0A11-4407-AAAC-BCB1CA2C241E}" name="Nº SEI (9)" dataDxfId="246"/>
    <tableColumn id="100" xr3:uid="{0A9D562F-2C36-4575-AFCF-E5B1F96EEB3E}" name="ENVIADO AO DED (9)" dataDxfId="245"/>
    <tableColumn id="101" xr3:uid="{6764C4C4-AD69-4E01-980D-7BFFE5121A12}" name="PAGO (9)" dataDxfId="244"/>
    <tableColumn id="102" xr3:uid="{0D07236E-DE72-4023-ADB6-E8A2151063C7}" name="Variação Consumo (9)" dataDxfId="243">
      <calculatedColumnFormula>(DL5-DA5)/DA5</calculatedColumnFormula>
    </tableColumn>
    <tableColumn id="103" xr3:uid="{E42DB74C-AE04-4EC5-8D9B-20489A55A5B8}" name="Variação Financeiro (9)" dataDxfId="242">
      <calculatedColumnFormula>(DH5-CW5)/CW5</calculatedColumnFormula>
    </tableColumn>
    <tableColumn id="140" xr3:uid="{083D58D1-3657-4320-A7CC-FFD5C6511A89}" name="BRUTO (10)" dataDxfId="241"/>
    <tableColumn id="104" xr3:uid="{CFCDEC0A-D15D-430B-8898-9502351E1CCE}" name="IR (10)" dataDxfId="240"/>
    <tableColumn id="105" xr3:uid="{EE71D932-EB9F-419C-A318-2E55D8338CB3}" name="ENCARGOS (10)" dataDxfId="239"/>
    <tableColumn id="106" xr3:uid="{111B9148-C482-48E3-A97B-F8EFB60BB6C5}" name="LÍQUIDO (10)" dataDxfId="238"/>
    <tableColumn id="107" xr3:uid="{51D7E296-5A09-4831-BF26-D0F75997D712}" name="M³ (10)" dataDxfId="237"/>
    <tableColumn id="108" xr3:uid="{B0731241-426E-4503-B3EB-C44DCA760EB4}" name="VENCIMENTO (10)" dataDxfId="236"/>
    <tableColumn id="109" xr3:uid="{3D850E18-36C7-4FF6-B07C-0117ECB8A558}" name="Nº SEI (10)" dataDxfId="235"/>
    <tableColumn id="110" xr3:uid="{DBEDE603-5F8D-4357-BF79-B772BDB93A1A}" name="ENVIADO AO DED (10)" dataDxfId="234"/>
    <tableColumn id="111" xr3:uid="{CD7EC103-F695-4419-9AAF-C0C760C217FA}" name="PAGO (10)" dataDxfId="233"/>
    <tableColumn id="112" xr3:uid="{9C5648DD-1263-439B-9026-DBA76537D13A}" name="Variação Consumo (10)" dataDxfId="232">
      <calculatedColumnFormula>(DW5-DL5)/DL5</calculatedColumnFormula>
    </tableColumn>
    <tableColumn id="113" xr3:uid="{0AC4B40A-4F33-48F9-B288-B6D3596F2054}" name="Variação Financeiro (10)" dataDxfId="231">
      <calculatedColumnFormula>(DS5-DH5)/DH5</calculatedColumnFormula>
    </tableColumn>
    <tableColumn id="142" xr3:uid="{E9E524F2-40FB-4796-BD80-19F4446B6880}" name="BRUTO (11)" dataDxfId="230"/>
    <tableColumn id="114" xr3:uid="{4F4DBE38-1F3C-45EE-B88C-162DB2519F3E}" name="IR (11)" dataDxfId="229"/>
    <tableColumn id="115" xr3:uid="{17D48582-E4F0-4B52-962D-7F82CE9F0B23}" name="ENCARGOS (11)" dataDxfId="228"/>
    <tableColumn id="116" xr3:uid="{0BFF95D4-2559-424B-BA91-36A5B1203EFA}" name="LÍQUIDO (11)" dataDxfId="227"/>
    <tableColumn id="117" xr3:uid="{774A0946-2353-4EC7-83E5-ADDEFE394B68}" name="M³ (11)" dataDxfId="226"/>
    <tableColumn id="118" xr3:uid="{5F1B71C7-DFAF-4780-A896-9914B9675D7F}" name="VENCIMENTO (11)" dataDxfId="225"/>
    <tableColumn id="119" xr3:uid="{2FD11A53-26BA-4D2E-A08A-125AA203ADC0}" name="Nº SEi (11)" dataDxfId="224"/>
    <tableColumn id="120" xr3:uid="{EFE988D3-E99E-442A-831F-536E1320B9E9}" name="ENVIADO AO DED (11)" dataDxfId="223"/>
    <tableColumn id="121" xr3:uid="{271D92A3-AD62-4255-8322-8FFEC15D75FD}" name="PAGO (11)" dataDxfId="222"/>
    <tableColumn id="122" xr3:uid="{C5B699E3-DD8C-4092-BDBD-1DD678DC54E5}" name="Variação Consumo (11)" dataDxfId="221">
      <calculatedColumnFormula>(EH5-DW5)/DW5</calculatedColumnFormula>
    </tableColumn>
    <tableColumn id="123" xr3:uid="{3B3BD04E-ADBE-44AE-842B-9B65289EE1F4}" name="Variação Financeiro (11)" dataDxfId="220">
      <calculatedColumnFormula>(ED5-DS5)/DS5</calculatedColumnFormula>
    </tableColumn>
    <tableColumn id="143" xr3:uid="{03B52B6D-AE21-43F0-9B3A-B80A16E38289}" name="BRUTO (12)2" dataDxfId="219"/>
    <tableColumn id="124" xr3:uid="{5AE40008-0241-4BBF-995E-9A30225EC53E}" name="IR (12)" dataDxfId="218"/>
    <tableColumn id="125" xr3:uid="{963D247E-CD0C-461E-ABAA-217905BC3519}" name="ENCARGOS (12)" dataDxfId="217"/>
    <tableColumn id="126" xr3:uid="{4C9CFC55-9E36-4224-9D6F-5E0B9A56359B}" name="LÍQUIDO (12)" dataDxfId="216"/>
    <tableColumn id="127" xr3:uid="{C4C0E348-36B6-4EF6-8F42-C51BAFE3B0B6}" name="M³ (12)" dataDxfId="215"/>
    <tableColumn id="128" xr3:uid="{A28EEF5E-87D8-491D-B6E2-0010E19D2230}" name="VENCIMENTO (12)" dataDxfId="214"/>
    <tableColumn id="129" xr3:uid="{ABCA79D4-4AE0-434C-8C6E-D4DEEF095A10}" name="Nº SEI (12)" dataDxfId="213"/>
    <tableColumn id="130" xr3:uid="{8A17DF69-95F2-4BAD-BAE8-EC378694D9F8}" name="ENVIADO AO DED (12)" dataDxfId="212"/>
    <tableColumn id="131" xr3:uid="{CACB0821-C8E0-4528-81A2-B6FCB90504B5}" name="PAGO (12)" dataDxfId="211"/>
    <tableColumn id="132" xr3:uid="{069EFD76-0FAB-47F9-8252-C1B82B7D1B62}" name="Variação Consumo (12)" dataDxfId="210">
      <calculatedColumnFormula>(ES5-EH5)/EH5</calculatedColumnFormula>
    </tableColumn>
    <tableColumn id="133" xr3:uid="{68838932-CB28-486B-BE37-DBF22F7958CF}" name="Variação Financeiro (12)" dataDxfId="209">
      <calculatedColumnFormula>(EO5-ED5)/ED5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EF743-77B7-48F6-B2E2-315C3B9A1585}" name="SUINT" displayName="SUINT" ref="C4:FA21" totalsRowShown="0" headerRowDxfId="207" dataDxfId="206" headerRowBorderDxfId="204" tableBorderDxfId="205">
  <autoFilter ref="C4:FA21" xr:uid="{D90EF743-77B7-48F6-B2E2-315C3B9A1585}"/>
  <tableColumns count="155">
    <tableColumn id="1" xr3:uid="{D53E01D4-76E7-40CC-9226-16A6CDABCBD7}" name="UNIDADES" dataDxfId="203"/>
    <tableColumn id="2" xr3:uid="{A617E885-A282-4481-BAA1-33D36C41E103}" name="UNIDADE EXECUTORA" dataDxfId="202"/>
    <tableColumn id="3" xr3:uid="{3EDB86B3-B1A2-42C5-A6EB-AA9BEB3E077A}" name="UPG" dataDxfId="201"/>
    <tableColumn id="4" xr3:uid="{4E67CBE9-F34D-4F38-935C-85FD8BE2F164}" name="HIDRÔMETRO" dataDxfId="200"/>
    <tableColumn id="134" xr3:uid="{881B5E05-F4DD-4CD6-A1C2-D7A1EBE1C959}" name="CONCESSIONARIA (ABREV)">
      <calculatedColumnFormula>_xlfn.TEXTBEFORE(SUINT[[#This Row],[CONCESSIONÁRIA]], " ", 1)</calculatedColumnFormula>
    </tableColumn>
    <tableColumn id="5" xr3:uid="{C57A195F-4125-40CD-BCFC-AAC5B1B5044C}" name="CONCESSIONÁRIA" dataDxfId="199"/>
    <tableColumn id="6" xr3:uid="{2951DED3-AB84-4D28-BFC1-32B721D62D3C}" name="CNPJ" dataDxfId="198"/>
    <tableColumn id="7" xr3:uid="{342A3ABE-03E3-4BB9-9119-E6DD7B779062}" name="IDENTIFICADOR (1)" dataDxfId="197"/>
    <tableColumn id="8" xr3:uid="{3B856011-8C79-4278-8AB2-E7B46E1189FF}" name="IDENTIFICADOR (2)" dataDxfId="196"/>
    <tableColumn id="9" xr3:uid="{3AA27C17-5D76-404C-9E02-9FCB4EE651D5}" name="EMPENHO (FONTE 10)" dataDxfId="195"/>
    <tableColumn id="10" xr3:uid="{23702F56-D8B4-402B-9688-C15926CC1CA9}" name="EMPENHO DE ENCARGOS (FONTE 10)" dataDxfId="194"/>
    <tableColumn id="11" xr3:uid="{1CC4CCD6-A4F0-404A-B73E-B7FF1A14A428}" name="EMPENHO (FONTE 60)" dataDxfId="193"/>
    <tableColumn id="12" xr3:uid="{5D2F1D71-C1EF-47D5-8B0B-07E9C52FA12B}" name="EMPENHO DE ENCARGOS (FONTE 60)" dataDxfId="192"/>
    <tableColumn id="13" xr3:uid="{173619C9-6D3C-435C-AC7F-0500F1596EF0}" name="MATRICULA" dataDxfId="191"/>
    <tableColumn id="147" xr3:uid="{031F7D68-5E3D-403B-9FA7-06692CC1D96F}" name="BRUTO" dataDxfId="190"/>
    <tableColumn id="148" xr3:uid="{4BC13803-A60B-42C4-9AE7-026AA1B13495}" name="IR" dataDxfId="189"/>
    <tableColumn id="149" xr3:uid="{87F55051-875F-4C8E-B00E-DC2FA268EB9F}" name="ENCARGO" dataDxfId="188"/>
    <tableColumn id="150" xr3:uid="{FCF87176-C223-4F9B-8DCC-CCDF6C3EBE33}" name="LÍQUIDO" dataDxfId="187">
      <calculatedColumnFormula>(Q5-R5-S5)</calculatedColumnFormula>
    </tableColumn>
    <tableColumn id="151" xr3:uid="{34EEA519-966B-43E2-B07A-C4162F25D0A7}" name="M³" dataDxfId="186"/>
    <tableColumn id="152" xr3:uid="{02F1AE3E-BEAA-4589-8A1E-14A1FA74CE79}" name="VENCIMENTO" dataDxfId="185"/>
    <tableColumn id="153" xr3:uid="{9C5BB453-7E2C-4C38-8E77-1FF174F8DBAC}" name="N° SEI" dataDxfId="184"/>
    <tableColumn id="154" xr3:uid="{B243E011-8A7C-40F1-8E59-AC1780BA92FB}" name="ENVIADO AO DED" dataDxfId="183"/>
    <tableColumn id="155" xr3:uid="{ACE0524B-7880-4E31-ABCC-948E10799ED8}" name="PAGO" dataDxfId="182"/>
    <tableColumn id="135" xr3:uid="{4DC1100A-E499-4321-8F4F-D07BA51E16C3}" name="BRUTO (1)" dataDxfId="181">
      <calculatedColumnFormula>AC5 + ABS(AA5) + ABS(AB5)</calculatedColumnFormula>
    </tableColumn>
    <tableColumn id="14" xr3:uid="{C36B2C77-DFC9-40D1-994C-7FB04CC4D969}" name="IR (1)" dataDxfId="180"/>
    <tableColumn id="15" xr3:uid="{0D4F16D1-CAA1-4B7A-9C80-144D39DA6B19}" name="ENCARGOS (1)" dataDxfId="179"/>
    <tableColumn id="16" xr3:uid="{37C1D3A6-0128-4A67-8102-1FACD22852B5}" name="LÍQUIDO (1)" dataDxfId="178"/>
    <tableColumn id="17" xr3:uid="{00E548D6-20F0-45D5-ADD5-05AD03780359}" name="M³ (1)" dataDxfId="177"/>
    <tableColumn id="18" xr3:uid="{296C8568-579F-4270-92EA-1FEB487C5140}" name="VENCIMENTO (1)" dataDxfId="176"/>
    <tableColumn id="19" xr3:uid="{2D79042A-D76A-4D5E-B3BB-C9F7817B7051}" name="Nº SEI (1)" dataDxfId="175"/>
    <tableColumn id="20" xr3:uid="{C787B673-8E2B-4E94-BE1E-DE49FB1B7397}" name="ENVIADO AO DED (1)" dataDxfId="174"/>
    <tableColumn id="21" xr3:uid="{4440D5C6-0C84-4733-B05B-2582823D0510}" name="PAGO (1)" dataDxfId="173"/>
    <tableColumn id="22" xr3:uid="{D53ABD59-4719-451E-B291-EEE4335819E3}" name="Variação Consumo (1)" dataDxfId="172">
      <calculatedColumnFormula>(AD5-U5)/U5</calculatedColumnFormula>
    </tableColumn>
    <tableColumn id="23" xr3:uid="{E054E0C5-E795-4D27-98B2-3FDF772694AB}" name="Variação Financeiro (1)" dataDxfId="171">
      <calculatedColumnFormula>(Z5-Q5)/Q5</calculatedColumnFormula>
    </tableColumn>
    <tableColumn id="136" xr3:uid="{460ABED5-B0F4-4C28-AFA4-4F24D2ACFF84}" name="BRUTO (2)" dataDxfId="170">
      <calculatedColumnFormula>AN5 + ABS(AM5) + ABS(AL5)</calculatedColumnFormula>
    </tableColumn>
    <tableColumn id="24" xr3:uid="{CFDB364C-F9F8-47CF-A775-95C1FA892DC6}" name="IR (2)" dataDxfId="169"/>
    <tableColumn id="25" xr3:uid="{10EDC51E-406A-4954-95E6-DA933A170370}" name="ENCARGOS (2)" dataDxfId="168"/>
    <tableColumn id="26" xr3:uid="{BD1AE442-4956-42DE-8FAC-CFB52A0D077F}" name="LÍQUIDO (1)2" dataDxfId="167"/>
    <tableColumn id="27" xr3:uid="{9098258C-58AC-4133-BE86-7D1F52F1B87F}" name="M³ (2)" dataDxfId="166"/>
    <tableColumn id="28" xr3:uid="{8E38030F-783C-493C-A30A-06555E9E500A}" name="VENCIMENTO (2)" dataDxfId="165"/>
    <tableColumn id="29" xr3:uid="{E0DFAC41-7EC8-4669-A562-7C363862D11E}" name="Nº SEI (2)" dataDxfId="164"/>
    <tableColumn id="30" xr3:uid="{08BDDBC1-7206-4286-8159-92EEE856D06C}" name="ENVIADO AO DED (2)" dataDxfId="163"/>
    <tableColumn id="31" xr3:uid="{54FEF764-F7DC-4F6E-B865-4FCD19712876}" name="PAGO (2)" dataDxfId="162"/>
    <tableColumn id="32" xr3:uid="{AB7AD0FB-0113-4183-9E68-509DF50B99BE}" name="Variação Consumo (2)" dataDxfId="161"/>
    <tableColumn id="33" xr3:uid="{36E261A6-CF18-469F-AAC1-A7BF40AF385F}" name="Variação Financeiro (2)" dataDxfId="160"/>
    <tableColumn id="137" xr3:uid="{A8817029-7953-4869-B9F7-DCDF2756FDBF}" name="BRUTO (3)" dataDxfId="159">
      <calculatedColumnFormula>AY5 + ABS(AW5) + ABS(AX5)</calculatedColumnFormula>
    </tableColumn>
    <tableColumn id="34" xr3:uid="{0770FCE2-A599-412C-B25A-FA8705654B1E}" name="IR (3)" dataDxfId="158"/>
    <tableColumn id="35" xr3:uid="{F1E29CDE-C1AF-44C3-8A0D-BB880CA8F87D}" name="ENCARGOS (3)" dataDxfId="157"/>
    <tableColumn id="36" xr3:uid="{76398672-894B-435F-BCFB-AF1B31C8D1C2}" name="LÍQUIDO (3)" dataDxfId="156"/>
    <tableColumn id="37" xr3:uid="{401AFDD1-002C-4E80-9B01-582DA96C05B1}" name="M³ (3)" dataDxfId="155"/>
    <tableColumn id="38" xr3:uid="{3F61B468-A864-41CA-BEF2-4E5461C6DD70}" name="VENCIMENTO (3)" dataDxfId="154"/>
    <tableColumn id="39" xr3:uid="{EE56FCEA-9BFA-4ECB-AD03-90666982C377}" name="Nº SEI (3)" dataDxfId="153"/>
    <tableColumn id="40" xr3:uid="{4ADB5D78-F4DB-4C68-B240-6019CBCBB014}" name="ENVIADO AO DED (3)" dataDxfId="152"/>
    <tableColumn id="41" xr3:uid="{2FCB53E2-361A-4E16-836E-D97DE33B18A2}" name="PAGO (3)" dataDxfId="151"/>
    <tableColumn id="42" xr3:uid="{BB9C5EB5-64A3-406E-BE79-2586B1AC98C3}" name="Variação Consumo (3)" dataDxfId="150"/>
    <tableColumn id="43" xr3:uid="{2AE0A151-348A-478D-8304-2A7DF653A3D8}" name="Variação Financeiro (3)" dataDxfId="149"/>
    <tableColumn id="138" xr3:uid="{51CAF55C-2721-4C7D-A14E-4E7239803ADC}" name="BRUTO (4)" dataDxfId="148">
      <calculatedColumnFormula>BJ5 + ABS(BH5) + ABS(BI5)</calculatedColumnFormula>
    </tableColumn>
    <tableColumn id="44" xr3:uid="{A67EFA25-7797-4D71-8204-1918D18EF660}" name="IR (4)" dataDxfId="147"/>
    <tableColumn id="45" xr3:uid="{59E275EC-5574-42A2-B55B-C0E47C2A56F7}" name="ENCARGOS (4)" dataDxfId="146"/>
    <tableColumn id="46" xr3:uid="{FC5403FC-3D6D-4599-87D4-2065929DCC35}" name="LÍQUIDO (4)" dataDxfId="145"/>
    <tableColumn id="47" xr3:uid="{D537C75F-C916-401A-B9BF-D4E17BCBC887}" name="M³ (4)" dataDxfId="144"/>
    <tableColumn id="48" xr3:uid="{90EAA92A-9559-47E6-B656-542E5B15401B}" name="VENCIMENTO (4)" dataDxfId="143"/>
    <tableColumn id="49" xr3:uid="{251F1307-7A27-42FF-9F9C-905542E56F49}" name="Nº SEI (4)" dataDxfId="142"/>
    <tableColumn id="50" xr3:uid="{CE4B4862-8AE5-44BB-B4C2-9DBB13A3B3DC}" name="ENVIADO AO DED (4)" dataDxfId="141"/>
    <tableColumn id="51" xr3:uid="{05E9A16F-9E48-4EEB-BC07-599047B872A3}" name="PAGO (4)" dataDxfId="140"/>
    <tableColumn id="52" xr3:uid="{AE4E351F-59C6-42A4-9647-17283407EAC8}" name="Variação Consumo (4)" dataDxfId="139"/>
    <tableColumn id="53" xr3:uid="{6F748AB5-9320-4431-8782-58EA4914EAB2}" name="Variação Financeiro (4)" dataDxfId="138"/>
    <tableColumn id="139" xr3:uid="{0B2C2F38-5AE1-4306-A491-FB1021A8F4EE}" name="BRUTO (5)" dataDxfId="137">
      <calculatedColumnFormula>BU5 + ABS(BS5) + ABS(BT5)</calculatedColumnFormula>
    </tableColumn>
    <tableColumn id="54" xr3:uid="{4DBD4313-2018-4DCB-A89D-DD074766E449}" name="IR (5)" dataDxfId="136"/>
    <tableColumn id="55" xr3:uid="{DF2B189A-9955-4CA4-9073-07542D8DA839}" name="ENCARGOS (5)" dataDxfId="135"/>
    <tableColumn id="56" xr3:uid="{F5DA3151-5292-4B32-827C-0412C59C2FA9}" name="LÍQUIDO (5)" dataDxfId="134"/>
    <tableColumn id="57" xr3:uid="{EA95E9FA-0EE2-42FA-97C7-9E4647258A43}" name="M³ (5)" dataDxfId="133"/>
    <tableColumn id="58" xr3:uid="{F1283420-FB06-4F00-BB8B-CC3A567B29A0}" name="VENCIMENTO (5)" dataDxfId="132"/>
    <tableColumn id="59" xr3:uid="{D5DB7265-7818-49C5-8FB9-FB1EA7DE7AAF}" name="Nº SEI (5)" dataDxfId="131"/>
    <tableColumn id="60" xr3:uid="{62ADEA92-04D0-4340-B164-E4D42EB1BC85}" name="ENVIADO AO DED (5)" dataDxfId="130"/>
    <tableColumn id="61" xr3:uid="{19391F8B-82BF-48DC-8D49-08908EA6A960}" name="PAGO (5)" dataDxfId="129"/>
    <tableColumn id="62" xr3:uid="{04005E78-23D0-422C-86C5-74A086586AE0}" name="Variação Consumo (5)" dataDxfId="128"/>
    <tableColumn id="63" xr3:uid="{C92ECDE8-7457-4413-9A02-219A892D4697}" name="Variação Financeiro (5)" dataDxfId="127"/>
    <tableColumn id="140" xr3:uid="{B80D4780-FFDF-4078-B53B-CB32B20980D5}" name="BRUTO (6)" dataDxfId="126">
      <calculatedColumnFormula>CF5 + ABS(CD5) + ABS(CE5)</calculatedColumnFormula>
    </tableColumn>
    <tableColumn id="64" xr3:uid="{37B7C984-9D73-4034-996E-0DD3BDB24678}" name="IR (6)" dataDxfId="125"/>
    <tableColumn id="65" xr3:uid="{B8D3DD09-C3C7-4F7C-8DFB-FEA305EB6341}" name="ENCARGOS (6)" dataDxfId="124"/>
    <tableColumn id="66" xr3:uid="{E647AEE8-5239-481C-ADD4-DAC55BAC5C91}" name="LÍQUIDO (6)" dataDxfId="123"/>
    <tableColumn id="67" xr3:uid="{0246DD89-DE98-4BF3-B0B6-9CDFBAD230C2}" name="M³ (6)" dataDxfId="122"/>
    <tableColumn id="68" xr3:uid="{2F9992C4-E3AE-4858-B900-A8BD6893539F}" name="VENCIMENTO (5)2" dataDxfId="121"/>
    <tableColumn id="69" xr3:uid="{C3487635-0EF2-4341-BD7F-3805AAC673E5}" name="Nº SEI (6)" dataDxfId="120"/>
    <tableColumn id="70" xr3:uid="{33C473BD-0373-4476-8F0C-36BCFBE4380C}" name="ENVIADO AO DED (6)" dataDxfId="119"/>
    <tableColumn id="71" xr3:uid="{BEC57225-ABCE-45F8-93D0-FCA1C4098F1E}" name="PAGO (6)" dataDxfId="118"/>
    <tableColumn id="72" xr3:uid="{B3F212D0-770D-4648-8AA1-2C26D43F2BC3}" name="Variação Consumo (6)" dataDxfId="117"/>
    <tableColumn id="73" xr3:uid="{1329D5AE-D5ED-4058-ACEA-DB18408E913B}" name="Variação Financeiro (6)" dataDxfId="116"/>
    <tableColumn id="141" xr3:uid="{A8E31355-2E69-4ACF-BB21-4DBA69C23F05}" name="BRUTO (7)" dataDxfId="115">
      <calculatedColumnFormula>CQ5 + ABS(CO5) + ABS(CP5)</calculatedColumnFormula>
    </tableColumn>
    <tableColumn id="74" xr3:uid="{1E041DCA-2B27-4D11-8457-22A235DFECD0}" name="IR (7)" dataDxfId="114"/>
    <tableColumn id="75" xr3:uid="{4D0C45C2-DF1A-4E1D-BEA8-8D889B86B3F5}" name="ENCARGOS (7)" dataDxfId="113"/>
    <tableColumn id="76" xr3:uid="{D62DB212-7EA1-495D-80A6-26C400759439}" name="LÍQUIDO (7)" dataDxfId="112"/>
    <tableColumn id="77" xr3:uid="{2E31DE24-85EB-45D0-A998-D847496C75AC}" name="M³ (7)" dataDxfId="111"/>
    <tableColumn id="78" xr3:uid="{A1B108B7-C666-4A53-8C4D-FB7650FC5856}" name="VENCIMENTO (7)" dataDxfId="110"/>
    <tableColumn id="79" xr3:uid="{92E35683-0292-4311-A707-BEED8779CC4D}" name="Nº SEI (7)" dataDxfId="109"/>
    <tableColumn id="80" xr3:uid="{24B9A06D-77AC-4448-9554-058CE55EA4CE}" name="ENVIADO AO DED (7)" dataDxfId="108"/>
    <tableColumn id="81" xr3:uid="{AB476B5E-2092-42C6-B415-5698E3DC3172}" name="PAGO (7)" dataDxfId="107"/>
    <tableColumn id="82" xr3:uid="{946408D6-C755-4174-83DC-C78E5F64C37C}" name="Variação Consumo (7)" dataDxfId="106"/>
    <tableColumn id="83" xr3:uid="{8C7EE3BC-3D95-4CDD-9674-C7F8BAD2A5BF}" name="Variação Financeiro (7)" dataDxfId="105"/>
    <tableColumn id="142" xr3:uid="{0FC2A0AE-706E-446A-982D-AD38F0238C34}" name="BRUTO (8}" dataDxfId="104">
      <calculatedColumnFormula>DB5 + ABS(CZ5) + ABS(DA5)</calculatedColumnFormula>
    </tableColumn>
    <tableColumn id="84" xr3:uid="{785E510E-2FA2-47B4-BA1E-1245F923C4B7}" name="IR (8)" dataDxfId="103"/>
    <tableColumn id="85" xr3:uid="{0FA89311-C9BC-449F-97C9-34A06EBA81B3}" name="ENCARGOS (8)" dataDxfId="102"/>
    <tableColumn id="86" xr3:uid="{D0093010-9E73-44B2-9887-76D6BD48DED9}" name="LÍQUIDO (8)" dataDxfId="101"/>
    <tableColumn id="87" xr3:uid="{D18E0C46-4C3B-4B09-AB52-0C558B29E8B6}" name="M³ (8)" dataDxfId="100"/>
    <tableColumn id="88" xr3:uid="{ECB9CE5F-E7A7-4A04-9550-FC6A38B5DFD4}" name="VENCIMENTO (8)" dataDxfId="99"/>
    <tableColumn id="89" xr3:uid="{3DCE2475-2B31-4359-B183-D72A2E44D2B7}" name="Nº SEI (8)" dataDxfId="98"/>
    <tableColumn id="90" xr3:uid="{84CC5BC5-4EB7-46D0-BDE1-39C2D8AFFA3C}" name="ENVIADO AO DED (8)" dataDxfId="97"/>
    <tableColumn id="91" xr3:uid="{44A9C73A-3325-4E89-B44A-F01A1C01A57B}" name="PAGO (8)" dataDxfId="96"/>
    <tableColumn id="92" xr3:uid="{DC4D1172-9614-46FF-B6EF-CE8E7C1F0E2E}" name="Variação Consumo (8)" dataDxfId="95"/>
    <tableColumn id="93" xr3:uid="{E707ADAA-F6DA-47E2-8DAC-407F879F3A23}" name="Variação Financeiro (8)" dataDxfId="94"/>
    <tableColumn id="143" xr3:uid="{652C3F74-62C5-4CC9-84FB-53494E16223C}" name="BRUTO (9)" dataDxfId="93">
      <calculatedColumnFormula>DM5 + ABS(DK5) + ABS(DL5)</calculatedColumnFormula>
    </tableColumn>
    <tableColumn id="94" xr3:uid="{FC19F8A0-15BF-451A-B825-D466AEF55BCC}" name="IR (9)" dataDxfId="92"/>
    <tableColumn id="95" xr3:uid="{E9D86BFD-09BB-45BC-A16C-23D97D6D5EAE}" name="ENCARGOS (9)" dataDxfId="91"/>
    <tableColumn id="96" xr3:uid="{578A7FD0-AE0D-49EE-B077-35A99027486C}" name="LÍQUIDO (9)" dataDxfId="90"/>
    <tableColumn id="97" xr3:uid="{18C3B209-6AE5-4D19-B4CC-37925724F630}" name="M³ (9)" dataDxfId="89"/>
    <tableColumn id="98" xr3:uid="{173DB59C-7076-454F-8012-CEF271EC2456}" name="VENCIMENTO (9)" dataDxfId="88"/>
    <tableColumn id="99" xr3:uid="{FB9D09F0-7A70-453E-BF0D-256D3814E877}" name="Nº SEI (9)" dataDxfId="87"/>
    <tableColumn id="100" xr3:uid="{B2C8DC26-BB65-49E8-A249-EE43DE0B6684}" name="ENVIADO AO DED (9)" dataDxfId="86"/>
    <tableColumn id="101" xr3:uid="{18E9FD7A-45AD-4205-8F07-422004957AE8}" name="PAGO (9)" dataDxfId="85"/>
    <tableColumn id="102" xr3:uid="{5070EE69-B819-4B1F-9557-13CBA54B05DD}" name="Variação Consumo (9)" dataDxfId="84"/>
    <tableColumn id="103" xr3:uid="{8740FDFD-57F6-4F5B-BD9A-DAE4A82C5F91}" name="Variação Financeiro (9)" dataDxfId="83"/>
    <tableColumn id="144" xr3:uid="{DDC32B03-EC5C-432F-8E71-FCEF45A3B77B}" name="BRUTO (10)" dataDxfId="82">
      <calculatedColumnFormula>DX5 + ABS(DV5) + ABS(DW5)</calculatedColumnFormula>
    </tableColumn>
    <tableColumn id="104" xr3:uid="{EB6E49F4-4DA0-40E7-BFF7-EC1DAEB9E512}" name="IR (10)" dataDxfId="81"/>
    <tableColumn id="105" xr3:uid="{B1EDA35C-F88C-4A9D-9EB0-F4995CFB7F24}" name="ENCARGOS (10)" dataDxfId="80"/>
    <tableColumn id="106" xr3:uid="{194F7DE6-BC8D-42B3-8756-6B5048F364DE}" name="LÍQUIDO (10)" dataDxfId="79"/>
    <tableColumn id="107" xr3:uid="{0053A2EA-FF3D-425F-AC42-A1C25856A793}" name="M³ (10)" dataDxfId="78"/>
    <tableColumn id="108" xr3:uid="{3EB03431-5506-4009-9144-715D72114B2F}" name="VENCIMENTO (10)" dataDxfId="77"/>
    <tableColumn id="109" xr3:uid="{2979CCC8-5ABC-4B0B-AE84-E017673628AE}" name="Nº SEI (10)" dataDxfId="76"/>
    <tableColumn id="110" xr3:uid="{8119D14E-4995-4800-B710-98B382AC781A}" name="ENVIADO AO DED (10)" dataDxfId="75"/>
    <tableColumn id="111" xr3:uid="{136D0DA6-7269-470B-822E-BB69D29C4C04}" name="PAGO (10)" dataDxfId="74"/>
    <tableColumn id="112" xr3:uid="{9220117A-ECB6-4298-8CBC-AB60952CB519}" name="Variação Consumo (10)" dataDxfId="73"/>
    <tableColumn id="113" xr3:uid="{622F467D-416F-41E3-A75A-7CC562B239A6}" name="Variação Financeiro (10)" dataDxfId="72"/>
    <tableColumn id="145" xr3:uid="{27B4073D-292E-42E2-B028-8832CA86A9C3}" name="BRUTO (11)" dataDxfId="71">
      <calculatedColumnFormula>EI5 + ABS(EG5) + ABS(EH5)</calculatedColumnFormula>
    </tableColumn>
    <tableColumn id="114" xr3:uid="{5A9A4D97-9E40-49C1-89C1-169805C5BE3B}" name="IR (11)" dataDxfId="70"/>
    <tableColumn id="115" xr3:uid="{3C56BCD7-7498-4F1A-92F4-B53340C103ED}" name="ENCARGOS (11)" dataDxfId="69"/>
    <tableColumn id="116" xr3:uid="{AE9A84B2-739C-4238-900E-73D5307F5C27}" name="LÍQUIDO (11)" dataDxfId="68"/>
    <tableColumn id="117" xr3:uid="{30A33E5F-158B-4138-B240-2506526E0A6D}" name="M³ (11)" dataDxfId="67"/>
    <tableColumn id="118" xr3:uid="{1E189524-C91D-4F5A-9968-FB372628E7F0}" name="VENCIMENTO (11)" dataDxfId="66"/>
    <tableColumn id="119" xr3:uid="{948CA745-03C2-4739-B53E-AE8EF9D0B31F}" name="Nº SEi (11)" dataDxfId="65"/>
    <tableColumn id="120" xr3:uid="{9FE2A5F8-CE6E-4540-8CE3-A1C0668E4C3C}" name="ENVIADO AO DED (11)" dataDxfId="64"/>
    <tableColumn id="121" xr3:uid="{A17CE3BA-5F7F-4354-AD9F-59FB36D78859}" name="PAGO (11)" dataDxfId="63"/>
    <tableColumn id="122" xr3:uid="{FC80D0AA-6B2B-4D89-A3BE-62DBC6E8A8B3}" name="Variação Consumo (11)" dataDxfId="62"/>
    <tableColumn id="123" xr3:uid="{A5914218-4D84-4EB2-A49E-54195DACB081}" name="Variação Financeiro (11)" dataDxfId="61"/>
    <tableColumn id="146" xr3:uid="{A31F4E9B-1D84-401C-9089-95E2C5B7F7B2}" name="BRUTO (12)" dataDxfId="60">
      <calculatedColumnFormula>ET5 + ABS(ER5) + ABS(ES5)</calculatedColumnFormula>
    </tableColumn>
    <tableColumn id="124" xr3:uid="{4EE148F2-9E52-461F-B8B2-601E176C77D6}" name="IR (12)" dataDxfId="59"/>
    <tableColumn id="125" xr3:uid="{3D68BE15-7225-4212-959F-994D17F73F74}" name="ENCARGOS (12)" dataDxfId="58"/>
    <tableColumn id="126" xr3:uid="{F0DBD741-5A4C-4FCC-BE07-F9ED1B346D9C}" name="LÍQUIDO (12)" dataDxfId="57"/>
    <tableColumn id="127" xr3:uid="{65F0DE8C-A3EE-4A9E-B05F-6113222832EC}" name="M³ (12)" dataDxfId="56"/>
    <tableColumn id="128" xr3:uid="{06F207FE-9476-4A7C-8ECB-D1CE9AEC167F}" name="VENCIMENTO (12)" dataDxfId="55"/>
    <tableColumn id="129" xr3:uid="{4743AD1B-EFFE-4E4B-A894-108E933EE132}" name="Nº SEI (12)" dataDxfId="54"/>
    <tableColumn id="130" xr3:uid="{55513F2E-9C6B-4335-B2A9-4373DB5ADB9B}" name="ENVIADO AO DED (12)" dataDxfId="53"/>
    <tableColumn id="131" xr3:uid="{3DADCFF0-1ED4-477F-A27F-A5B03DA00817}" name="PAGO (12)" dataDxfId="52"/>
    <tableColumn id="132" xr3:uid="{405E6852-A790-4935-870A-6E4A69DBD2FA}" name="Variação Consumo (12)" dataDxfId="51"/>
    <tableColumn id="133" xr3:uid="{8DF7AED1-7B1B-47A8-84B4-22DEFAA45B81}" name="Variação Financeiro (12)" dataDxfId="5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A3EC8A-3760-4C23-ADAB-30897C540DD3}" name="Tabela1" displayName="Tabela1" ref="B3:L22" headerRowDxfId="24" headerRowBorderDxfId="22" tableBorderDxfId="23">
  <autoFilter ref="B3:L22" xr:uid="{90A3EC8A-3760-4C23-ADAB-30897C540DD3}"/>
  <tableColumns count="11">
    <tableColumn id="1" xr3:uid="{717678D5-BCD4-4111-AB42-C1B7122B65D2}" name="Unidade" totalsRowLabel="Total" dataDxfId="20" totalsRowDxfId="21"/>
    <tableColumn id="2" xr3:uid="{8DC0BA11-BFB9-451E-8FF3-A133D0EC3F7A}" name="Processo SEI" dataDxfId="18" totalsRowDxfId="19"/>
    <tableColumn id="3" xr3:uid="{96F1443A-EFEF-4B66-8C4F-A93411593885}" name="Concessionária" dataDxfId="16" totalsRowDxfId="17"/>
    <tableColumn id="4" xr3:uid="{2B0BB27B-3F26-4935-8321-371312428727}" name="Tipo de Erro" dataDxfId="14" totalsRowDxfId="15"/>
    <tableColumn id="5" xr3:uid="{880E51FB-E0F6-47C5-95FA-530F60208F26}" name="Data da Solicitação" dataDxfId="12" totalsRowDxfId="13"/>
    <tableColumn id="6" xr3:uid="{2A770D58-C85A-43F4-8A47-3DA91523A788}" name="Observação" dataDxfId="10" totalsRowDxfId="11"/>
    <tableColumn id="7" xr3:uid="{15A32E4C-BC91-4D75-80FE-826392B50F63}" name="Canal" dataDxfId="8" totalsRowDxfId="9"/>
    <tableColumn id="8" xr3:uid="{224DE707-7170-4CC0-9EF2-15F88264F82E}" name="Protocolo" dataDxfId="6" totalsRowDxfId="7"/>
    <tableColumn id="9" xr3:uid="{E7870C14-A8A2-4AB6-BCFE-C8063268F882}" name="Prazo Retorno" dataDxfId="4" totalsRowDxfId="5"/>
    <tableColumn id="10" xr3:uid="{3FE2E786-DB02-46CF-9D29-685BB7CAD1AE}" name="Situação do Prazo" dataDxfId="2" totalsRowDxfId="3">
      <calculatedColumnFormula>IF(L4="CONCLUÍDO", "CONCLUÍDO", IF(F4="", "", IF(TODAY()&lt;=F4, "EM ATRASO", "EM ATRASO")))</calculatedColumnFormula>
    </tableColumn>
    <tableColumn id="11" xr3:uid="{732CF27C-4065-49AF-849F-A48CDEF89BDF}" name="Status" totalsRowFunction="count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daepa.ddns.net:8070/" TargetMode="External"/><Relationship Id="rId18" Type="http://schemas.openxmlformats.org/officeDocument/2006/relationships/hyperlink" Target="https://araguari.contaseconsumo.com.br/" TargetMode="External"/><Relationship Id="rId26" Type="http://schemas.openxmlformats.org/officeDocument/2006/relationships/hyperlink" Target="https://autoatendimento.contaseconsumo.com.br/v5.1/index.php?id=9AEE9Q" TargetMode="External"/><Relationship Id="rId39" Type="http://schemas.openxmlformats.org/officeDocument/2006/relationships/hyperlink" Target="https://autoatendimento.contaseconsumo.com.br/v5.1/index.php?id=A396L9F" TargetMode="External"/><Relationship Id="rId21" Type="http://schemas.openxmlformats.org/officeDocument/2006/relationships/hyperlink" Target="https://autoatendimento.contaseconsumo.com.br/v5.1/index.php?id=AUAAAQ" TargetMode="External"/><Relationship Id="rId34" Type="http://schemas.openxmlformats.org/officeDocument/2006/relationships/hyperlink" Target="https://autoatendimento.contaseconsumo.com.br/v5.1/index.php?id=AAQQLU" TargetMode="External"/><Relationship Id="rId42" Type="http://schemas.openxmlformats.org/officeDocument/2006/relationships/hyperlink" Target="https://s118.asp.srv.br/saneamento/com.asp.saneamento.externo.wpconsultadebitoparamext?ahVolIBcimB-BOX2kO9CeB0d75w9YR80XOkjnjfCa0ds_ARlO7szR4UmMSlzW156sNRg5rubTFAQSPfFW0o_KZmh0AufWnHFC9KtKRjTfYw" TargetMode="External"/><Relationship Id="rId47" Type="http://schemas.openxmlformats.org/officeDocument/2006/relationships/hyperlink" Target="https://autoatendimento.contaseconsumo.com.br/v5.1/index.php?id=96XAL6" TargetMode="External"/><Relationship Id="rId50" Type="http://schemas.openxmlformats.org/officeDocument/2006/relationships/hyperlink" Target="https://autoatendimento.contaseconsumo.com.br/v5.1/index.php?id=9LAUA63" TargetMode="External"/><Relationship Id="rId55" Type="http://schemas.openxmlformats.org/officeDocument/2006/relationships/hyperlink" Target="http://45.237.129.60:8822/" TargetMode="External"/><Relationship Id="rId7" Type="http://schemas.openxmlformats.org/officeDocument/2006/relationships/hyperlink" Target="https://autoatendimento.contaseconsumo.com.br/login/index.php?id=9E366X" TargetMode="External"/><Relationship Id="rId2" Type="http://schemas.openxmlformats.org/officeDocument/2006/relationships/hyperlink" Target="https://codau-agv.eossystems.com.br/Publico/SegundaVia" TargetMode="External"/><Relationship Id="rId16" Type="http://schemas.openxmlformats.org/officeDocument/2006/relationships/hyperlink" Target="https://autoatendimento.contaseconsumo.com.br/v5.1/index.php?id=9F6EQ" TargetMode="External"/><Relationship Id="rId29" Type="http://schemas.openxmlformats.org/officeDocument/2006/relationships/hyperlink" Target="https://saeituiutaba.hydrus.pro/inicio?callbackUrl=https%3A%2F%2Fsaeituiutaba.hydrus.pro%2F" TargetMode="External"/><Relationship Id="rId11" Type="http://schemas.openxmlformats.org/officeDocument/2006/relationships/hyperlink" Target="https://autoatendimento.contaseconsumo.com.br/v5.1/index.php?id=F9LX6L" TargetMode="External"/><Relationship Id="rId24" Type="http://schemas.openxmlformats.org/officeDocument/2006/relationships/hyperlink" Target="https://autoatendimento.contaseconsumo.com.br/v5.1/index.php?id=AXA3UL" TargetMode="External"/><Relationship Id="rId32" Type="http://schemas.openxmlformats.org/officeDocument/2006/relationships/hyperlink" Target="https://autoatendimento.contaseconsumo.com.br/v5.1/index.php?id=A9UAF9" TargetMode="External"/><Relationship Id="rId37" Type="http://schemas.openxmlformats.org/officeDocument/2006/relationships/hyperlink" Target="https://autoatendimento.contaseconsumo.com.br/v5.1/index.php?id=F9LX6L" TargetMode="External"/><Relationship Id="rId40" Type="http://schemas.openxmlformats.org/officeDocument/2006/relationships/hyperlink" Target="https://www.oliveira.contaseconsumo.com.br/" TargetMode="External"/><Relationship Id="rId45" Type="http://schemas.openxmlformats.org/officeDocument/2006/relationships/hyperlink" Target="https://pocosdecaldasdmae.eportal.net.br/agencia/" TargetMode="External"/><Relationship Id="rId53" Type="http://schemas.openxmlformats.org/officeDocument/2006/relationships/hyperlink" Target="https://autoatendimento.contaseconsumo.com.br/login/index.php?id=9LALFF9" TargetMode="External"/><Relationship Id="rId58" Type="http://schemas.openxmlformats.org/officeDocument/2006/relationships/hyperlink" Target="https://cliente.aguasdevaladares.com.br/entrar" TargetMode="External"/><Relationship Id="rId5" Type="http://schemas.openxmlformats.org/officeDocument/2006/relationships/hyperlink" Target="https://agenciavirtual.grupoaguasdobrasil.com.br/" TargetMode="External"/><Relationship Id="rId61" Type="http://schemas.openxmlformats.org/officeDocument/2006/relationships/hyperlink" Target="https://saaepassos.com.br/" TargetMode="External"/><Relationship Id="rId19" Type="http://schemas.openxmlformats.org/officeDocument/2006/relationships/hyperlink" Target="https://sasbarbacenamg.com.br/" TargetMode="External"/><Relationship Id="rId14" Type="http://schemas.openxmlformats.org/officeDocument/2006/relationships/hyperlink" Target="https://codau-agv.eossystems.com.br/Publico/SegundaVia" TargetMode="External"/><Relationship Id="rId22" Type="http://schemas.openxmlformats.org/officeDocument/2006/relationships/hyperlink" Target="https://autoatendimento.contaseconsumo.com.br/v5.1/index.php?id=AUA6L6" TargetMode="External"/><Relationship Id="rId27" Type="http://schemas.openxmlformats.org/officeDocument/2006/relationships/hyperlink" Target="https://autoatendimento.contaseconsumo.com.br/v5.1/index.php?id=9A6AE3" TargetMode="External"/><Relationship Id="rId30" Type="http://schemas.openxmlformats.org/officeDocument/2006/relationships/hyperlink" Target="https://autoatendimento.contaseconsumo.com.br/v5.1/index.php?id=AX9ALEQ" TargetMode="External"/><Relationship Id="rId35" Type="http://schemas.openxmlformats.org/officeDocument/2006/relationships/hyperlink" Target="https://autoatendimento.contaseconsumo.com.br/v5.1/index.php?id=AQLLXL" TargetMode="External"/><Relationship Id="rId43" Type="http://schemas.openxmlformats.org/officeDocument/2006/relationships/hyperlink" Target="https://autoatendimento.contaseconsumo.com.br/login/index.php?id=9E366X" TargetMode="External"/><Relationship Id="rId48" Type="http://schemas.openxmlformats.org/officeDocument/2006/relationships/hyperlink" Target="https://segundavia.damaesjdr.mg.gov.br/" TargetMode="External"/><Relationship Id="rId56" Type="http://schemas.openxmlformats.org/officeDocument/2006/relationships/hyperlink" Target="https://cliente.aguasdevaladares.com.br/entrar" TargetMode="External"/><Relationship Id="rId8" Type="http://schemas.openxmlformats.org/officeDocument/2006/relationships/hyperlink" Target="https://plataforma.uberlandia.mg.gov.br/plataforma/f/t/segundaviaiptusel?tipoDivida=dmae" TargetMode="External"/><Relationship Id="rId51" Type="http://schemas.openxmlformats.org/officeDocument/2006/relationships/hyperlink" Target="https://servicos.daetupaciguara.mg.gov.br/GuiaIndex.aspx" TargetMode="External"/><Relationship Id="rId3" Type="http://schemas.openxmlformats.org/officeDocument/2006/relationships/hyperlink" Target="https://plataforma.uberlandia.mg.gov.br/plataforma/f/t/segundaviaiptusel?tipoDivida=dmae" TargetMode="External"/><Relationship Id="rId12" Type="http://schemas.openxmlformats.org/officeDocument/2006/relationships/hyperlink" Target="https://autoatendimento.contaseconsumo.com.br/v5.1/index.php?id=9E3336" TargetMode="External"/><Relationship Id="rId17" Type="http://schemas.openxmlformats.org/officeDocument/2006/relationships/hyperlink" Target="https://aimores.agv.portalcwcsistemas.com.br/" TargetMode="External"/><Relationship Id="rId25" Type="http://schemas.openxmlformats.org/officeDocument/2006/relationships/hyperlink" Target="https://autoatendimento.contaseconsumo.com.br/v5.1/index.php?id=AU9EQX" TargetMode="External"/><Relationship Id="rId33" Type="http://schemas.openxmlformats.org/officeDocument/2006/relationships/hyperlink" Target="https://autoatendimento.contaseconsumo.com.br/v5.1/index.php?id=99L6EQ" TargetMode="External"/><Relationship Id="rId38" Type="http://schemas.openxmlformats.org/officeDocument/2006/relationships/hyperlink" Target="https://nanuque.sfc.agenciavirtual.cwcsistemas.com.br/login" TargetMode="External"/><Relationship Id="rId46" Type="http://schemas.openxmlformats.org/officeDocument/2006/relationships/hyperlink" Target="https://autoatendimento.contaseconsumo.com.br/v5.1/index.php?id=9E3336" TargetMode="External"/><Relationship Id="rId59" Type="http://schemas.openxmlformats.org/officeDocument/2006/relationships/hyperlink" Target="https://cliente.aguasdevaladares.com.br/entrar" TargetMode="External"/><Relationship Id="rId20" Type="http://schemas.openxmlformats.org/officeDocument/2006/relationships/hyperlink" Target="https://autoatendimento.contaseconsumo.com.br/login/index.php?id=AQAFUF" TargetMode="External"/><Relationship Id="rId41" Type="http://schemas.openxmlformats.org/officeDocument/2006/relationships/hyperlink" Target="https://servicosonline-saneouro.gsinima.com.br/login" TargetMode="External"/><Relationship Id="rId54" Type="http://schemas.openxmlformats.org/officeDocument/2006/relationships/hyperlink" Target="https://plataforma.uberlandia.mg.gov.br/plataforma/f/t/segundaviaiptusel?tipoDivida=dmae" TargetMode="External"/><Relationship Id="rId1" Type="http://schemas.openxmlformats.org/officeDocument/2006/relationships/hyperlink" Target="https://autoatendimento.contaseconsumo.com.br/login/index.php?id=9UXUAX" TargetMode="External"/><Relationship Id="rId6" Type="http://schemas.openxmlformats.org/officeDocument/2006/relationships/hyperlink" Target="https://cesama.strategos.com.br:8443/AgenciaVirtualNovo/" TargetMode="External"/><Relationship Id="rId15" Type="http://schemas.openxmlformats.org/officeDocument/2006/relationships/hyperlink" Target="https://plataforma.uberlandia.mg.gov.br/plataforma/f/t/segundaviaiptusel?tipoDivida=dmae" TargetMode="External"/><Relationship Id="rId23" Type="http://schemas.openxmlformats.org/officeDocument/2006/relationships/hyperlink" Target="https://campobelo.atende.net/autoatendimento/servicos/emissao-de-guias-tarifa-de-agua/detalhar/1" TargetMode="External"/><Relationship Id="rId28" Type="http://schemas.openxmlformats.org/officeDocument/2006/relationships/hyperlink" Target="https://autoatendimento.contaseconsumo.com.br/v5.1/index.php?id=9AAXUUA" TargetMode="External"/><Relationship Id="rId36" Type="http://schemas.openxmlformats.org/officeDocument/2006/relationships/hyperlink" Target="https://mariana.contaseconsumo.com.br/" TargetMode="External"/><Relationship Id="rId49" Type="http://schemas.openxmlformats.org/officeDocument/2006/relationships/hyperlink" Target="https://setelagoas.contaseconsumo.com.br/" TargetMode="External"/><Relationship Id="rId57" Type="http://schemas.openxmlformats.org/officeDocument/2006/relationships/hyperlink" Target="https://cliente.aguasdevaladares.com.br/entrar" TargetMode="External"/><Relationship Id="rId10" Type="http://schemas.openxmlformats.org/officeDocument/2006/relationships/hyperlink" Target="https://formiga.contaseconsumo.com.br/" TargetMode="External"/><Relationship Id="rId31" Type="http://schemas.openxmlformats.org/officeDocument/2006/relationships/hyperlink" Target="https://autoatendimento.contaseconsumo.com.br/v5.1/index.php?id=AQ63Q6" TargetMode="External"/><Relationship Id="rId44" Type="http://schemas.openxmlformats.org/officeDocument/2006/relationships/hyperlink" Target="https://autoatendimento.contaseconsumo.com.br/v5.1/index.php?id=9E933AF" TargetMode="External"/><Relationship Id="rId52" Type="http://schemas.openxmlformats.org/officeDocument/2006/relationships/hyperlink" Target="https://autoatendimento.contaseconsumo.com.br/login/index.php?id=9UXUAX" TargetMode="External"/><Relationship Id="rId60" Type="http://schemas.openxmlformats.org/officeDocument/2006/relationships/hyperlink" Target="https://cesama.strategos.com.br:8443/AgenciaVirtualNovo/" TargetMode="External"/><Relationship Id="rId4" Type="http://schemas.openxmlformats.org/officeDocument/2006/relationships/hyperlink" Target="https://plataforma.uberlandia.mg.gov.br/plataforma/f/t/segundaviaiptusel?tipoDivida=dmae" TargetMode="External"/><Relationship Id="rId9" Type="http://schemas.openxmlformats.org/officeDocument/2006/relationships/hyperlink" Target="https://sasbarbacenamg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795E-06C4-4C31-9C8C-0D151A0F290E}">
  <dimension ref="A1:HM298"/>
  <sheetViews>
    <sheetView showGridLines="0" topLeftCell="AO73" workbookViewId="0">
      <selection activeCell="Y176" sqref="Y176"/>
    </sheetView>
  </sheetViews>
  <sheetFormatPr defaultColWidth="0" defaultRowHeight="0" customHeight="1" zeroHeight="1"/>
  <cols>
    <col min="1" max="1" width="42.7109375" style="184" customWidth="1"/>
    <col min="2" max="2" width="9.140625" customWidth="1"/>
    <col min="3" max="3" width="66.7109375" bestFit="1" customWidth="1"/>
    <col min="4" max="4" width="19.7109375" bestFit="1" customWidth="1"/>
    <col min="5" max="5" width="12.42578125" customWidth="1"/>
    <col min="6" max="6" width="36.140625" customWidth="1"/>
    <col min="7" max="7" width="36.140625" style="355" customWidth="1"/>
    <col min="8" max="8" width="56.140625" bestFit="1" customWidth="1"/>
    <col min="9" max="9" width="24" customWidth="1"/>
    <col min="10" max="11" width="18.28515625" customWidth="1"/>
    <col min="12" max="12" width="20.140625" hidden="1" customWidth="1"/>
    <col min="13" max="13" width="29.85546875" hidden="1" customWidth="1"/>
    <col min="14" max="14" width="20.140625" customWidth="1"/>
    <col min="15" max="15" width="30" customWidth="1"/>
    <col min="16" max="18" width="30" style="37" hidden="1" customWidth="1"/>
    <col min="19" max="23" width="30" hidden="1" customWidth="1"/>
    <col min="24" max="24" width="30" customWidth="1"/>
    <col min="25" max="25" width="24.7109375" style="37" customWidth="1"/>
    <col min="26" max="26" width="20" style="37" customWidth="1"/>
    <col min="27" max="27" width="19.42578125" style="37" customWidth="1"/>
    <col min="28" max="29" width="19.7109375" style="356" customWidth="1"/>
    <col min="30" max="30" width="26.28515625" style="356" customWidth="1"/>
    <col min="31" max="31" width="19.85546875" style="356" customWidth="1"/>
    <col min="32" max="32" width="17.7109375" style="356" customWidth="1"/>
    <col min="33" max="33" width="20.5703125" style="389" customWidth="1"/>
    <col min="34" max="34" width="24.140625" style="389" bestFit="1" customWidth="1"/>
    <col min="35" max="35" width="24.140625" customWidth="1"/>
    <col min="36" max="36" width="24.7109375" style="37" bestFit="1" customWidth="1"/>
    <col min="37" max="37" width="14.140625" style="37" customWidth="1"/>
    <col min="38" max="38" width="19.42578125" style="37" bestFit="1" customWidth="1"/>
    <col min="39" max="39" width="19.7109375" bestFit="1" customWidth="1"/>
    <col min="40" max="40" width="19.7109375" style="352" customWidth="1"/>
    <col min="41" max="41" width="27" customWidth="1"/>
    <col min="42" max="42" width="21.85546875" customWidth="1"/>
    <col min="43" max="43" width="18.42578125" bestFit="1" customWidth="1"/>
    <col min="44" max="44" width="23.140625" style="699" bestFit="1" customWidth="1"/>
    <col min="45" max="45" width="24.140625" style="699" bestFit="1" customWidth="1"/>
    <col min="46" max="47" width="17.28515625" style="37" bestFit="1" customWidth="1"/>
    <col min="48" max="48" width="11.7109375" style="37" bestFit="1" customWidth="1"/>
    <col min="49" max="49" width="19.42578125" style="37" customWidth="1"/>
    <col min="50" max="54" width="19.7109375" customWidth="1"/>
    <col min="55" max="55" width="20.5703125" customWidth="1"/>
    <col min="56" max="56" width="24.140625" bestFit="1" customWidth="1"/>
    <col min="57" max="57" width="21.28515625" customWidth="1"/>
    <col min="58" max="58" width="24.7109375" style="37" customWidth="1"/>
    <col min="59" max="59" width="14.140625" style="37" customWidth="1"/>
    <col min="60" max="60" width="19.42578125" style="37" customWidth="1"/>
    <col min="61" max="65" width="19.7109375" customWidth="1"/>
    <col min="66" max="66" width="20.5703125" customWidth="1"/>
    <col min="67" max="68" width="21.28515625" customWidth="1"/>
    <col min="69" max="69" width="24.7109375" style="37" customWidth="1"/>
    <col min="70" max="70" width="14.140625" style="37" customWidth="1"/>
    <col min="71" max="71" width="19.42578125" style="37" customWidth="1"/>
    <col min="72" max="73" width="19.7109375" customWidth="1"/>
    <col min="74" max="74" width="30.140625" customWidth="1"/>
    <col min="75" max="76" width="19.7109375" customWidth="1"/>
    <col min="77" max="77" width="23.140625" bestFit="1" customWidth="1"/>
    <col min="78" max="79" width="24.140625" customWidth="1"/>
    <col min="80" max="80" width="24.7109375" style="37" customWidth="1"/>
    <col min="81" max="81" width="14.140625" style="37" customWidth="1"/>
    <col min="82" max="82" width="19.42578125" style="37" customWidth="1"/>
    <col min="83" max="85" width="19.7109375" customWidth="1"/>
    <col min="86" max="86" width="23.140625" customWidth="1"/>
    <col min="87" max="88" width="24.140625" customWidth="1"/>
    <col min="89" max="89" width="24.7109375" style="37" customWidth="1"/>
    <col min="90" max="90" width="14.140625" style="37" customWidth="1"/>
    <col min="91" max="91" width="19.42578125" style="37" customWidth="1"/>
    <col min="92" max="94" width="19.7109375" customWidth="1"/>
    <col min="95" max="95" width="23.140625" customWidth="1"/>
    <col min="96" max="97" width="24.140625" customWidth="1"/>
    <col min="98" max="98" width="24.7109375" style="37" customWidth="1"/>
    <col min="99" max="99" width="14.140625" style="37" customWidth="1"/>
    <col min="100" max="100" width="19.42578125" style="37" customWidth="1"/>
    <col min="101" max="103" width="19.7109375" customWidth="1"/>
    <col min="104" max="104" width="23.140625" customWidth="1"/>
    <col min="105" max="106" width="24.140625" customWidth="1"/>
    <col min="107" max="107" width="24.7109375" style="37" customWidth="1"/>
    <col min="108" max="108" width="14.140625" style="37" customWidth="1"/>
    <col min="109" max="109" width="19.42578125" style="37" customWidth="1"/>
    <col min="110" max="124" width="19.7109375" customWidth="1"/>
    <col min="125" max="125" width="23.140625" customWidth="1"/>
    <col min="126" max="127" width="24.140625" customWidth="1"/>
    <col min="128" max="128" width="24.7109375" style="37" customWidth="1"/>
    <col min="129" max="129" width="14.140625" style="37" customWidth="1"/>
    <col min="130" max="130" width="20.5703125" style="37" customWidth="1"/>
    <col min="131" max="133" width="19.7109375" customWidth="1"/>
    <col min="134" max="134" width="16.28515625" customWidth="1"/>
    <col min="135" max="136" width="14.140625" style="37" customWidth="1"/>
    <col min="137" max="137" width="20.5703125" style="37" customWidth="1"/>
    <col min="138" max="140" width="19.7109375" customWidth="1"/>
    <col min="141" max="143" width="16.28515625" customWidth="1"/>
    <col min="144" max="144" width="14.140625" style="37" customWidth="1"/>
    <col min="145" max="145" width="18.42578125" style="37" customWidth="1"/>
    <col min="146" max="146" width="20.5703125" style="37" customWidth="1"/>
    <col min="147" max="153" width="19.7109375" customWidth="1"/>
    <col min="154" max="154" width="24.28515625" customWidth="1"/>
    <col min="155" max="155" width="25.140625" customWidth="1"/>
    <col min="156" max="156" width="0" hidden="1" customWidth="1"/>
  </cols>
  <sheetData>
    <row r="1" spans="1:221" ht="15" customHeight="1">
      <c r="AG1" s="40"/>
      <c r="AH1" s="40"/>
      <c r="AP1" s="356"/>
      <c r="AQ1" s="356"/>
      <c r="AR1"/>
      <c r="AS1"/>
      <c r="DH1" s="37"/>
      <c r="DI1" s="37"/>
      <c r="DP1" s="37"/>
      <c r="DQ1" s="37"/>
      <c r="DR1" s="37"/>
      <c r="DX1"/>
      <c r="EA1" s="37"/>
      <c r="ED1" s="37"/>
      <c r="EF1"/>
      <c r="EG1"/>
      <c r="EL1" s="37"/>
      <c r="EM1" s="37"/>
      <c r="EO1"/>
      <c r="EP1"/>
      <c r="EU1" s="37"/>
      <c r="EV1" s="37"/>
      <c r="EW1" s="37"/>
    </row>
    <row r="2" spans="1:221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16" t="s">
        <v>1</v>
      </c>
      <c r="Q2" s="1217"/>
      <c r="R2" s="1217"/>
      <c r="S2" s="1217"/>
      <c r="T2" s="1217"/>
      <c r="U2" s="1217"/>
      <c r="V2" s="1217"/>
      <c r="W2" s="1218"/>
      <c r="X2" s="1219" t="s">
        <v>2</v>
      </c>
      <c r="Y2" s="1220"/>
      <c r="Z2" s="1220"/>
      <c r="AA2" s="1220"/>
      <c r="AB2" s="1220"/>
      <c r="AC2" s="1220"/>
      <c r="AD2" s="1220"/>
      <c r="AE2" s="1220"/>
      <c r="AF2" s="1220"/>
      <c r="AG2" s="1220"/>
      <c r="AH2" s="1220"/>
      <c r="AI2" s="1221" t="s">
        <v>3</v>
      </c>
      <c r="AJ2" s="1221"/>
      <c r="AK2" s="1221"/>
      <c r="AL2" s="1221"/>
      <c r="AM2" s="1221"/>
      <c r="AN2" s="1221"/>
      <c r="AO2" s="1221"/>
      <c r="AP2" s="1221"/>
      <c r="AQ2" s="1221"/>
      <c r="AR2" s="1221"/>
      <c r="AS2" s="1221"/>
      <c r="AT2" s="1219" t="s">
        <v>4</v>
      </c>
      <c r="AU2" s="1220"/>
      <c r="AV2" s="1220"/>
      <c r="AW2" s="1220"/>
      <c r="AX2" s="1220"/>
      <c r="AY2" s="1220"/>
      <c r="AZ2" s="1220"/>
      <c r="BA2" s="1220"/>
      <c r="BB2" s="1220"/>
      <c r="BC2" s="1220"/>
      <c r="BD2" s="1220"/>
      <c r="BE2" s="1221" t="s">
        <v>5</v>
      </c>
      <c r="BF2" s="1221"/>
      <c r="BG2" s="1221"/>
      <c r="BH2" s="1221"/>
      <c r="BI2" s="1221"/>
      <c r="BJ2" s="1221"/>
      <c r="BK2" s="1221"/>
      <c r="BL2" s="1221"/>
      <c r="BM2" s="1221"/>
      <c r="BN2" s="1221"/>
      <c r="BO2" s="1221"/>
      <c r="BP2" s="1219" t="s">
        <v>6</v>
      </c>
      <c r="BQ2" s="1220"/>
      <c r="BR2" s="1220"/>
      <c r="BS2" s="1220"/>
      <c r="BT2" s="1220"/>
      <c r="BU2" s="1220"/>
      <c r="BV2" s="1220"/>
      <c r="BW2" s="1220"/>
      <c r="BX2" s="1220"/>
      <c r="BY2" s="1220"/>
      <c r="BZ2" s="1220"/>
      <c r="CA2" s="1221" t="s">
        <v>7</v>
      </c>
      <c r="CB2" s="1221"/>
      <c r="CC2" s="1221"/>
      <c r="CD2" s="1221"/>
      <c r="CE2" s="1221"/>
      <c r="CF2" s="1221"/>
      <c r="CG2" s="1221"/>
      <c r="CH2" s="1221"/>
      <c r="CI2" s="1221"/>
      <c r="CJ2" s="1221"/>
      <c r="CK2" s="1221"/>
      <c r="CL2" s="1219" t="s">
        <v>8</v>
      </c>
      <c r="CM2" s="1220"/>
      <c r="CN2" s="1220"/>
      <c r="CO2" s="1220"/>
      <c r="CP2" s="1220"/>
      <c r="CQ2" s="1220"/>
      <c r="CR2" s="1220"/>
      <c r="CS2" s="1220"/>
      <c r="CT2" s="1220"/>
      <c r="CU2" s="1220"/>
      <c r="CV2" s="1220"/>
      <c r="CW2" s="1221" t="s">
        <v>9</v>
      </c>
      <c r="CX2" s="1221"/>
      <c r="CY2" s="1221"/>
      <c r="CZ2" s="1221"/>
      <c r="DA2" s="1221"/>
      <c r="DB2" s="1221"/>
      <c r="DC2" s="1221"/>
      <c r="DD2" s="1221"/>
      <c r="DE2" s="1221"/>
      <c r="DF2" s="1221"/>
      <c r="DG2" s="1221"/>
      <c r="DH2" s="1219" t="s">
        <v>10</v>
      </c>
      <c r="DI2" s="1220"/>
      <c r="DJ2" s="1220"/>
      <c r="DK2" s="1220"/>
      <c r="DL2" s="1220"/>
      <c r="DM2" s="1220"/>
      <c r="DN2" s="1220"/>
      <c r="DO2" s="1220"/>
      <c r="DP2" s="1220"/>
      <c r="DQ2" s="1220"/>
      <c r="DR2" s="1220"/>
      <c r="DS2" s="1221" t="s">
        <v>11</v>
      </c>
      <c r="DT2" s="1221"/>
      <c r="DU2" s="1221"/>
      <c r="DV2" s="1221"/>
      <c r="DW2" s="1221"/>
      <c r="DX2" s="1221"/>
      <c r="DY2" s="1221"/>
      <c r="DZ2" s="1221"/>
      <c r="EA2" s="1221"/>
      <c r="EB2" s="1221"/>
      <c r="EC2" s="1221"/>
      <c r="ED2" s="1219" t="s">
        <v>12</v>
      </c>
      <c r="EE2" s="1220"/>
      <c r="EF2" s="1220"/>
      <c r="EG2" s="1220"/>
      <c r="EH2" s="1220"/>
      <c r="EI2" s="1220"/>
      <c r="EJ2" s="1220"/>
      <c r="EK2" s="1220"/>
      <c r="EL2" s="1220"/>
      <c r="EM2" s="1220"/>
      <c r="EN2" s="1220"/>
      <c r="EO2" s="1221" t="s">
        <v>1</v>
      </c>
      <c r="EP2" s="1221"/>
      <c r="EQ2" s="1221"/>
      <c r="ER2" s="1221"/>
      <c r="ES2" s="1221"/>
      <c r="ET2" s="1221"/>
      <c r="EU2" s="1221"/>
      <c r="EV2" s="1221"/>
      <c r="EW2" s="1221"/>
      <c r="EX2" s="1221"/>
      <c r="EY2" s="1221"/>
    </row>
    <row r="3" spans="1:221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16"/>
      <c r="Q3" s="1217"/>
      <c r="R3" s="1217"/>
      <c r="S3" s="1217"/>
      <c r="T3" s="1217"/>
      <c r="U3" s="1217"/>
      <c r="V3" s="1217"/>
      <c r="W3" s="1218"/>
      <c r="X3" s="1219"/>
      <c r="Y3" s="1220"/>
      <c r="Z3" s="1220"/>
      <c r="AA3" s="1220"/>
      <c r="AB3" s="1220"/>
      <c r="AC3" s="1220"/>
      <c r="AD3" s="1220"/>
      <c r="AE3" s="1220"/>
      <c r="AF3" s="1220"/>
      <c r="AG3" s="1220"/>
      <c r="AH3" s="1220"/>
      <c r="AI3" s="1221"/>
      <c r="AJ3" s="1221"/>
      <c r="AK3" s="1221"/>
      <c r="AL3" s="1221"/>
      <c r="AM3" s="1221"/>
      <c r="AN3" s="1221"/>
      <c r="AO3" s="1221"/>
      <c r="AP3" s="1221"/>
      <c r="AQ3" s="1221"/>
      <c r="AR3" s="1221"/>
      <c r="AS3" s="1221"/>
      <c r="AT3" s="1219"/>
      <c r="AU3" s="1220"/>
      <c r="AV3" s="1220"/>
      <c r="AW3" s="1220"/>
      <c r="AX3" s="1220"/>
      <c r="AY3" s="1220"/>
      <c r="AZ3" s="1220"/>
      <c r="BA3" s="1220"/>
      <c r="BB3" s="1220"/>
      <c r="BC3" s="1220"/>
      <c r="BD3" s="1220"/>
      <c r="BE3" s="1221"/>
      <c r="BF3" s="1221"/>
      <c r="BG3" s="1221"/>
      <c r="BH3" s="1221"/>
      <c r="BI3" s="1221"/>
      <c r="BJ3" s="1221"/>
      <c r="BK3" s="1221"/>
      <c r="BL3" s="1221"/>
      <c r="BM3" s="1221"/>
      <c r="BN3" s="1221"/>
      <c r="BO3" s="1221"/>
      <c r="BP3" s="1219"/>
      <c r="BQ3" s="1220"/>
      <c r="BR3" s="1220"/>
      <c r="BS3" s="1220"/>
      <c r="BT3" s="1220"/>
      <c r="BU3" s="1220"/>
      <c r="BV3" s="1220"/>
      <c r="BW3" s="1220"/>
      <c r="BX3" s="1220"/>
      <c r="BY3" s="1220"/>
      <c r="BZ3" s="1220"/>
      <c r="CA3" s="1221"/>
      <c r="CB3" s="1221"/>
      <c r="CC3" s="1221"/>
      <c r="CD3" s="1221"/>
      <c r="CE3" s="1221"/>
      <c r="CF3" s="1221"/>
      <c r="CG3" s="1221"/>
      <c r="CH3" s="1221"/>
      <c r="CI3" s="1221"/>
      <c r="CJ3" s="1221"/>
      <c r="CK3" s="1221"/>
      <c r="CL3" s="1219"/>
      <c r="CM3" s="1220"/>
      <c r="CN3" s="1220"/>
      <c r="CO3" s="1220"/>
      <c r="CP3" s="1220"/>
      <c r="CQ3" s="1220"/>
      <c r="CR3" s="1220"/>
      <c r="CS3" s="1220"/>
      <c r="CT3" s="1220"/>
      <c r="CU3" s="1220"/>
      <c r="CV3" s="1220"/>
      <c r="CW3" s="1221"/>
      <c r="CX3" s="1221"/>
      <c r="CY3" s="1221"/>
      <c r="CZ3" s="1221"/>
      <c r="DA3" s="1221"/>
      <c r="DB3" s="1221"/>
      <c r="DC3" s="1221"/>
      <c r="DD3" s="1221"/>
      <c r="DE3" s="1221"/>
      <c r="DF3" s="1221"/>
      <c r="DG3" s="1221"/>
      <c r="DH3" s="1219"/>
      <c r="DI3" s="1220"/>
      <c r="DJ3" s="1220"/>
      <c r="DK3" s="1220"/>
      <c r="DL3" s="1220"/>
      <c r="DM3" s="1220"/>
      <c r="DN3" s="1220"/>
      <c r="DO3" s="1220"/>
      <c r="DP3" s="1220"/>
      <c r="DQ3" s="1220"/>
      <c r="DR3" s="1220"/>
      <c r="DS3" s="1221"/>
      <c r="DT3" s="1221"/>
      <c r="DU3" s="1221"/>
      <c r="DV3" s="1221"/>
      <c r="DW3" s="1221"/>
      <c r="DX3" s="1221"/>
      <c r="DY3" s="1221"/>
      <c r="DZ3" s="1221"/>
      <c r="EA3" s="1221"/>
      <c r="EB3" s="1221"/>
      <c r="EC3" s="1221"/>
      <c r="ED3" s="1219"/>
      <c r="EE3" s="1220"/>
      <c r="EF3" s="1220"/>
      <c r="EG3" s="1220"/>
      <c r="EH3" s="1220"/>
      <c r="EI3" s="1220"/>
      <c r="EJ3" s="1220"/>
      <c r="EK3" s="1220"/>
      <c r="EL3" s="1220"/>
      <c r="EM3" s="1220"/>
      <c r="EN3" s="1220"/>
      <c r="EO3" s="1221"/>
      <c r="EP3" s="1221"/>
      <c r="EQ3" s="1221"/>
      <c r="ER3" s="1221"/>
      <c r="ES3" s="1221"/>
      <c r="ET3" s="1221"/>
      <c r="EU3" s="1221"/>
      <c r="EV3" s="1221"/>
      <c r="EW3" s="1221"/>
      <c r="EX3" s="1221"/>
      <c r="EY3" s="1221"/>
    </row>
    <row r="4" spans="1:221" s="8" customFormat="1" ht="24.75" customHeight="1">
      <c r="A4" s="476"/>
      <c r="C4" s="815" t="s">
        <v>13</v>
      </c>
      <c r="D4" s="11" t="s">
        <v>14</v>
      </c>
      <c r="E4" s="11" t="s">
        <v>15</v>
      </c>
      <c r="F4" s="11" t="s">
        <v>16</v>
      </c>
      <c r="G4" s="816" t="s">
        <v>17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 t="s">
        <v>23</v>
      </c>
      <c r="N4" s="11" t="s">
        <v>24</v>
      </c>
      <c r="O4" s="12" t="s">
        <v>25</v>
      </c>
      <c r="P4" s="817" t="s">
        <v>26</v>
      </c>
      <c r="Q4" s="817" t="s">
        <v>27</v>
      </c>
      <c r="R4" s="817" t="s">
        <v>28</v>
      </c>
      <c r="S4" s="818" t="s">
        <v>29</v>
      </c>
      <c r="T4" s="818" t="s">
        <v>30</v>
      </c>
      <c r="U4" s="818" t="s">
        <v>31</v>
      </c>
      <c r="V4" s="818" t="s">
        <v>32</v>
      </c>
      <c r="W4" s="818" t="s">
        <v>33</v>
      </c>
      <c r="X4" s="819" t="s">
        <v>34</v>
      </c>
      <c r="Y4" s="820" t="s">
        <v>35</v>
      </c>
      <c r="Z4" s="821" t="s">
        <v>36</v>
      </c>
      <c r="AA4" s="821" t="s">
        <v>37</v>
      </c>
      <c r="AB4" s="822" t="s">
        <v>38</v>
      </c>
      <c r="AC4" s="823" t="s">
        <v>39</v>
      </c>
      <c r="AD4" s="823" t="s">
        <v>40</v>
      </c>
      <c r="AE4" s="823" t="s">
        <v>41</v>
      </c>
      <c r="AF4" s="823" t="s">
        <v>42</v>
      </c>
      <c r="AG4" s="824" t="s">
        <v>43</v>
      </c>
      <c r="AH4" s="824" t="s">
        <v>44</v>
      </c>
      <c r="AI4" s="825" t="s">
        <v>45</v>
      </c>
      <c r="AJ4" s="826" t="s">
        <v>46</v>
      </c>
      <c r="AK4" s="826" t="s">
        <v>47</v>
      </c>
      <c r="AL4" s="826" t="s">
        <v>48</v>
      </c>
      <c r="AM4" s="825" t="s">
        <v>49</v>
      </c>
      <c r="AN4" s="855" t="s">
        <v>50</v>
      </c>
      <c r="AO4" s="825" t="s">
        <v>51</v>
      </c>
      <c r="AP4" s="830" t="s">
        <v>52</v>
      </c>
      <c r="AQ4" s="830" t="s">
        <v>53</v>
      </c>
      <c r="AR4" s="827" t="s">
        <v>54</v>
      </c>
      <c r="AS4" s="827" t="s">
        <v>55</v>
      </c>
      <c r="AT4" s="821" t="s">
        <v>56</v>
      </c>
      <c r="AU4" s="821" t="s">
        <v>57</v>
      </c>
      <c r="AV4" s="821" t="s">
        <v>58</v>
      </c>
      <c r="AW4" s="821" t="s">
        <v>59</v>
      </c>
      <c r="AX4" s="824" t="s">
        <v>60</v>
      </c>
      <c r="AY4" s="824" t="s">
        <v>61</v>
      </c>
      <c r="AZ4" s="824" t="s">
        <v>62</v>
      </c>
      <c r="BA4" s="823" t="s">
        <v>63</v>
      </c>
      <c r="BB4" s="823" t="s">
        <v>64</v>
      </c>
      <c r="BC4" s="824" t="s">
        <v>65</v>
      </c>
      <c r="BD4" s="824" t="s">
        <v>66</v>
      </c>
      <c r="BE4" s="825" t="s">
        <v>67</v>
      </c>
      <c r="BF4" s="826" t="s">
        <v>68</v>
      </c>
      <c r="BG4" s="826" t="s">
        <v>69</v>
      </c>
      <c r="BH4" s="826" t="s">
        <v>70</v>
      </c>
      <c r="BI4" s="825" t="s">
        <v>71</v>
      </c>
      <c r="BJ4" s="825" t="s">
        <v>72</v>
      </c>
      <c r="BK4" s="825" t="s">
        <v>73</v>
      </c>
      <c r="BL4" s="830" t="s">
        <v>74</v>
      </c>
      <c r="BM4" s="830" t="s">
        <v>75</v>
      </c>
      <c r="BN4" s="827" t="s">
        <v>76</v>
      </c>
      <c r="BO4" s="827" t="s">
        <v>77</v>
      </c>
      <c r="BP4" s="831" t="s">
        <v>78</v>
      </c>
      <c r="BQ4" s="821" t="s">
        <v>79</v>
      </c>
      <c r="BR4" s="821" t="s">
        <v>80</v>
      </c>
      <c r="BS4" s="821" t="s">
        <v>81</v>
      </c>
      <c r="BT4" s="824" t="s">
        <v>82</v>
      </c>
      <c r="BU4" s="824" t="s">
        <v>83</v>
      </c>
      <c r="BV4" s="824" t="s">
        <v>84</v>
      </c>
      <c r="BW4" s="823" t="s">
        <v>85</v>
      </c>
      <c r="BX4" s="823" t="s">
        <v>86</v>
      </c>
      <c r="BY4" s="824" t="s">
        <v>87</v>
      </c>
      <c r="BZ4" s="824" t="s">
        <v>88</v>
      </c>
      <c r="CA4" s="825" t="s">
        <v>89</v>
      </c>
      <c r="CB4" s="826" t="s">
        <v>90</v>
      </c>
      <c r="CC4" s="826" t="s">
        <v>91</v>
      </c>
      <c r="CD4" s="826" t="s">
        <v>92</v>
      </c>
      <c r="CE4" s="825" t="s">
        <v>93</v>
      </c>
      <c r="CF4" s="825" t="s">
        <v>94</v>
      </c>
      <c r="CG4" s="825" t="s">
        <v>95</v>
      </c>
      <c r="CH4" s="830" t="s">
        <v>96</v>
      </c>
      <c r="CI4" s="830" t="s">
        <v>97</v>
      </c>
      <c r="CJ4" s="832" t="s">
        <v>98</v>
      </c>
      <c r="CK4" s="832" t="s">
        <v>99</v>
      </c>
      <c r="CL4" s="821" t="s">
        <v>100</v>
      </c>
      <c r="CM4" s="821" t="s">
        <v>101</v>
      </c>
      <c r="CN4" s="831" t="s">
        <v>102</v>
      </c>
      <c r="CO4" s="831" t="s">
        <v>103</v>
      </c>
      <c r="CP4" s="824" t="s">
        <v>104</v>
      </c>
      <c r="CQ4" s="824" t="s">
        <v>105</v>
      </c>
      <c r="CR4" s="824" t="s">
        <v>106</v>
      </c>
      <c r="CS4" s="823" t="s">
        <v>107</v>
      </c>
      <c r="CT4" s="823" t="s">
        <v>108</v>
      </c>
      <c r="CU4" s="833" t="s">
        <v>109</v>
      </c>
      <c r="CV4" s="833" t="s">
        <v>110</v>
      </c>
      <c r="CW4" s="825" t="s">
        <v>111</v>
      </c>
      <c r="CX4" s="834" t="s">
        <v>112</v>
      </c>
      <c r="CY4" s="834" t="s">
        <v>113</v>
      </c>
      <c r="CZ4" s="834" t="s">
        <v>114</v>
      </c>
      <c r="DA4" s="835" t="s">
        <v>115</v>
      </c>
      <c r="DB4" s="835" t="s">
        <v>116</v>
      </c>
      <c r="DC4" s="835" t="s">
        <v>117</v>
      </c>
      <c r="DD4" s="830" t="s">
        <v>118</v>
      </c>
      <c r="DE4" s="830" t="s">
        <v>119</v>
      </c>
      <c r="DF4" s="832" t="s">
        <v>120</v>
      </c>
      <c r="DG4" s="832" t="s">
        <v>121</v>
      </c>
      <c r="DH4" s="821" t="s">
        <v>122</v>
      </c>
      <c r="DI4" s="821" t="s">
        <v>123</v>
      </c>
      <c r="DJ4" s="831" t="s">
        <v>124</v>
      </c>
      <c r="DK4" s="831" t="s">
        <v>125</v>
      </c>
      <c r="DL4" s="824" t="s">
        <v>126</v>
      </c>
      <c r="DM4" s="824" t="s">
        <v>127</v>
      </c>
      <c r="DN4" s="824" t="s">
        <v>128</v>
      </c>
      <c r="DO4" s="823" t="s">
        <v>129</v>
      </c>
      <c r="DP4" s="823" t="s">
        <v>130</v>
      </c>
      <c r="DQ4" s="833" t="s">
        <v>131</v>
      </c>
      <c r="DR4" s="833" t="s">
        <v>132</v>
      </c>
      <c r="DS4" s="825" t="s">
        <v>133</v>
      </c>
      <c r="DT4" s="834" t="s">
        <v>134</v>
      </c>
      <c r="DU4" s="834" t="s">
        <v>135</v>
      </c>
      <c r="DV4" s="834" t="s">
        <v>136</v>
      </c>
      <c r="DW4" s="835" t="s">
        <v>137</v>
      </c>
      <c r="DX4" s="835" t="s">
        <v>138</v>
      </c>
      <c r="DY4" s="835" t="s">
        <v>139</v>
      </c>
      <c r="DZ4" s="830" t="s">
        <v>140</v>
      </c>
      <c r="EA4" s="830" t="s">
        <v>141</v>
      </c>
      <c r="EB4" s="832" t="s">
        <v>142</v>
      </c>
      <c r="EC4" s="832" t="s">
        <v>143</v>
      </c>
      <c r="ED4" s="821" t="s">
        <v>144</v>
      </c>
      <c r="EE4" s="821" t="s">
        <v>145</v>
      </c>
      <c r="EF4" s="831" t="s">
        <v>146</v>
      </c>
      <c r="EG4" s="831" t="s">
        <v>147</v>
      </c>
      <c r="EH4" s="824" t="s">
        <v>148</v>
      </c>
      <c r="EI4" s="824" t="s">
        <v>149</v>
      </c>
      <c r="EJ4" s="824" t="s">
        <v>150</v>
      </c>
      <c r="EK4" s="823" t="s">
        <v>151</v>
      </c>
      <c r="EL4" s="823" t="s">
        <v>152</v>
      </c>
      <c r="EM4" s="833" t="s">
        <v>153</v>
      </c>
      <c r="EN4" s="833" t="s">
        <v>154</v>
      </c>
      <c r="EO4" s="825" t="s">
        <v>155</v>
      </c>
      <c r="EP4" s="834" t="s">
        <v>156</v>
      </c>
      <c r="EQ4" s="834" t="s">
        <v>157</v>
      </c>
      <c r="ER4" s="834" t="s">
        <v>158</v>
      </c>
      <c r="ES4" s="835" t="s">
        <v>159</v>
      </c>
      <c r="ET4" s="835" t="s">
        <v>160</v>
      </c>
      <c r="EU4" s="835" t="s">
        <v>161</v>
      </c>
      <c r="EV4" s="830" t="s">
        <v>162</v>
      </c>
      <c r="EW4" s="830" t="s">
        <v>163</v>
      </c>
      <c r="EX4" s="832" t="s">
        <v>164</v>
      </c>
      <c r="EY4" s="832" t="s">
        <v>165</v>
      </c>
    </row>
    <row r="5" spans="1:221" ht="15">
      <c r="B5" s="175"/>
      <c r="C5" s="789" t="s">
        <v>166</v>
      </c>
      <c r="D5" s="790">
        <v>1450022</v>
      </c>
      <c r="E5" s="790">
        <v>184</v>
      </c>
      <c r="F5" s="790" t="s">
        <v>167</v>
      </c>
      <c r="G5" s="791" t="s">
        <v>168</v>
      </c>
      <c r="H5" s="790" t="s">
        <v>169</v>
      </c>
      <c r="I5" s="790" t="s">
        <v>170</v>
      </c>
      <c r="J5" s="790"/>
      <c r="K5" s="790"/>
      <c r="L5" s="790"/>
      <c r="M5" s="792"/>
      <c r="N5" s="793">
        <v>107</v>
      </c>
      <c r="O5" s="792"/>
      <c r="P5" s="794">
        <v>73.12</v>
      </c>
      <c r="Q5" s="794"/>
      <c r="R5" s="794">
        <v>1450.23</v>
      </c>
      <c r="S5" s="792">
        <v>70</v>
      </c>
      <c r="T5" s="792" t="s">
        <v>171</v>
      </c>
      <c r="U5" s="792"/>
      <c r="V5" s="792"/>
      <c r="W5" s="792"/>
      <c r="X5" s="794">
        <f>AA5 + ABS(Y5) + ABS(Z5)</f>
        <v>1701.94</v>
      </c>
      <c r="Y5" s="794">
        <v>-81.69</v>
      </c>
      <c r="Z5" s="794">
        <v>0</v>
      </c>
      <c r="AA5" s="794">
        <v>1620.25</v>
      </c>
      <c r="AB5" s="790">
        <v>76</v>
      </c>
      <c r="AC5" s="791" t="s">
        <v>172</v>
      </c>
      <c r="AD5" s="791" t="s">
        <v>173</v>
      </c>
      <c r="AE5" s="795" t="b">
        <v>1</v>
      </c>
      <c r="AF5" s="795" t="b">
        <v>1</v>
      </c>
      <c r="AG5" s="853">
        <f>(AB5-S5)/S5</f>
        <v>8.5714285714285715E-2</v>
      </c>
      <c r="AH5" s="853">
        <f>(AA5-R5)/R5</f>
        <v>0.11723657626721277</v>
      </c>
      <c r="AI5" s="794">
        <f>AL5 + ABS(AJ5) + ABS(AK5)</f>
        <v>2281.33</v>
      </c>
      <c r="AJ5" s="796">
        <v>-109.5</v>
      </c>
      <c r="AK5" s="796">
        <v>0</v>
      </c>
      <c r="AL5" s="796">
        <v>2171.83</v>
      </c>
      <c r="AM5" s="797">
        <v>95</v>
      </c>
      <c r="AN5" s="856">
        <v>46122</v>
      </c>
      <c r="AO5" s="797" t="s">
        <v>174</v>
      </c>
      <c r="AP5" s="795" t="b">
        <v>1</v>
      </c>
      <c r="AQ5" s="795" t="b">
        <v>1</v>
      </c>
      <c r="AR5" s="853">
        <f t="shared" ref="AR5:AR36" si="0">(AM5-AB5)/AB5</f>
        <v>0.25</v>
      </c>
      <c r="AS5" s="853">
        <f>(AL5-AA5)/AA5</f>
        <v>0.34042894615028541</v>
      </c>
      <c r="AT5" s="794">
        <f>AW5 + ABS(AU5) + ABS(AV5)</f>
        <v>0</v>
      </c>
      <c r="AU5" s="794"/>
      <c r="AV5" s="794"/>
      <c r="AW5" s="794"/>
      <c r="AX5" s="792"/>
      <c r="AY5" s="792"/>
      <c r="AZ5" s="792"/>
      <c r="BA5" s="795" t="b">
        <v>0</v>
      </c>
      <c r="BB5" s="795" t="b">
        <v>0</v>
      </c>
      <c r="BC5" s="792">
        <f>(AX5-AM5)/AM5</f>
        <v>-1</v>
      </c>
      <c r="BD5" s="792">
        <f>(AW5-AL5)/AL5</f>
        <v>-1</v>
      </c>
      <c r="BE5" s="794">
        <f>BH5 + ABS(BF5) + ABS(BG5)</f>
        <v>0</v>
      </c>
      <c r="BF5" s="794"/>
      <c r="BG5" s="794"/>
      <c r="BH5" s="794"/>
      <c r="BI5" s="792"/>
      <c r="BJ5" s="792"/>
      <c r="BK5" s="792"/>
      <c r="BL5" s="795" t="b">
        <v>0</v>
      </c>
      <c r="BM5" s="795" t="b">
        <v>0</v>
      </c>
      <c r="BN5" s="792" t="e">
        <f>(BI5-AZ5)/AZ5</f>
        <v>#DIV/0!</v>
      </c>
      <c r="BO5" s="792" t="e">
        <f>(BH5-AW5)/AW5</f>
        <v>#DIV/0!</v>
      </c>
      <c r="BP5" s="794">
        <f>BS5 + ABS(BQ5) + ABS(BR5)</f>
        <v>0</v>
      </c>
      <c r="BQ5" s="794"/>
      <c r="BR5" s="794"/>
      <c r="BS5" s="794"/>
      <c r="BT5" s="792"/>
      <c r="BU5" s="792"/>
      <c r="BV5" s="792"/>
      <c r="BW5" s="795" t="b">
        <v>0</v>
      </c>
      <c r="BX5" s="795" t="b">
        <v>0</v>
      </c>
      <c r="BY5" s="792" t="e">
        <f>(BT5-BI5)/BI5</f>
        <v>#DIV/0!</v>
      </c>
      <c r="BZ5" s="792" t="e">
        <f>(BS5-BH5)/BH5</f>
        <v>#DIV/0!</v>
      </c>
      <c r="CA5" s="794">
        <f>CD5 + ABS(CB5) + ABS(CC5)</f>
        <v>0</v>
      </c>
      <c r="CB5" s="794"/>
      <c r="CC5" s="794"/>
      <c r="CD5" s="794"/>
      <c r="CE5" s="792"/>
      <c r="CF5" s="792"/>
      <c r="CG5" s="792"/>
      <c r="CH5" s="795" t="b">
        <v>0</v>
      </c>
      <c r="CI5" s="795" t="b">
        <v>0</v>
      </c>
      <c r="CJ5" s="792" t="e">
        <f>(CE5-BV5)/BV5</f>
        <v>#DIV/0!</v>
      </c>
      <c r="CK5" s="792" t="e">
        <f>(CD5-BS5)/BS5</f>
        <v>#DIV/0!</v>
      </c>
      <c r="CL5" s="794">
        <f>CO5 + ABS(CM5) + ABS(CN5)</f>
        <v>0</v>
      </c>
      <c r="CM5" s="794"/>
      <c r="CN5" s="794"/>
      <c r="CO5" s="794"/>
      <c r="CP5" s="792"/>
      <c r="CQ5" s="792"/>
      <c r="CR5" s="792"/>
      <c r="CS5" s="795" t="b">
        <v>0</v>
      </c>
      <c r="CT5" s="795" t="b">
        <v>0</v>
      </c>
      <c r="CU5" s="792" t="e">
        <f>(CP5-CE5)/CE5</f>
        <v>#DIV/0!</v>
      </c>
      <c r="CV5" s="792" t="e">
        <f>(CO5-CD5)/CD5</f>
        <v>#DIV/0!</v>
      </c>
      <c r="CW5" s="794">
        <f>CZ5 + ABS(CX5) + ABS(CY5)</f>
        <v>0</v>
      </c>
      <c r="CX5" s="794"/>
      <c r="CY5" s="794"/>
      <c r="CZ5" s="794"/>
      <c r="DA5" s="792"/>
      <c r="DB5" s="792"/>
      <c r="DC5" s="792"/>
      <c r="DD5" s="795" t="b">
        <v>0</v>
      </c>
      <c r="DE5" s="795" t="b">
        <v>0</v>
      </c>
      <c r="DF5" s="792" t="e">
        <f>(DA5-CR5)/CR5</f>
        <v>#DIV/0!</v>
      </c>
      <c r="DG5" s="792" t="e">
        <f>(CZ5-CO5)/CO5</f>
        <v>#DIV/0!</v>
      </c>
      <c r="DH5" s="794">
        <f>DK5 + ABS(DI5) + ABS(DJ5)</f>
        <v>0</v>
      </c>
      <c r="DI5" s="794"/>
      <c r="DJ5" s="794"/>
      <c r="DK5" s="794"/>
      <c r="DL5" s="792"/>
      <c r="DM5" s="792"/>
      <c r="DN5" s="792"/>
      <c r="DO5" s="795" t="b">
        <v>0</v>
      </c>
      <c r="DP5" s="795" t="b">
        <v>0</v>
      </c>
      <c r="DQ5" s="792" t="e">
        <f>(DL5-DA5)/DA5</f>
        <v>#DIV/0!</v>
      </c>
      <c r="DR5" s="792" t="e">
        <f>(DK5-CZ5)/CZ5</f>
        <v>#DIV/0!</v>
      </c>
      <c r="DS5" s="794">
        <f>DV5 + ABS(DT5) + ABS(DU5)</f>
        <v>0</v>
      </c>
      <c r="DT5" s="794"/>
      <c r="DU5" s="794"/>
      <c r="DV5" s="794"/>
      <c r="DW5" s="792"/>
      <c r="DX5" s="792"/>
      <c r="DY5" s="792"/>
      <c r="DZ5" s="795" t="b">
        <v>0</v>
      </c>
      <c r="EA5" s="795" t="b">
        <v>0</v>
      </c>
      <c r="EB5" s="792" t="e">
        <f>(DW5-DN5)/DN5</f>
        <v>#DIV/0!</v>
      </c>
      <c r="EC5" s="792" t="e">
        <f>(DV5-DK5)/DK5</f>
        <v>#DIV/0!</v>
      </c>
      <c r="ED5" s="794">
        <f>EG5 + ABS(EE5) + ABS(EF5)</f>
        <v>0</v>
      </c>
      <c r="EE5" s="794"/>
      <c r="EF5" s="794"/>
      <c r="EG5" s="794"/>
      <c r="EH5" s="792"/>
      <c r="EI5" s="792"/>
      <c r="EJ5" s="792"/>
      <c r="EK5" s="795" t="b">
        <v>0</v>
      </c>
      <c r="EL5" s="795" t="b">
        <v>0</v>
      </c>
      <c r="EM5" s="792" t="e">
        <f>(EH5-DW5)/DW5</f>
        <v>#DIV/0!</v>
      </c>
      <c r="EN5" s="792" t="e">
        <f>(EG5-DV5)/DV5</f>
        <v>#DIV/0!</v>
      </c>
      <c r="EO5" s="794">
        <f>ER5 + ABS(EP5) + ABS(EQ5)</f>
        <v>0</v>
      </c>
      <c r="EP5" s="794"/>
      <c r="EQ5" s="794"/>
      <c r="ER5" s="794"/>
      <c r="ES5" s="792"/>
      <c r="ET5" s="792"/>
      <c r="EU5" s="792"/>
      <c r="EV5" s="795" t="b">
        <v>0</v>
      </c>
      <c r="EW5" s="795" t="b">
        <v>0</v>
      </c>
      <c r="EX5" s="792" t="e">
        <f>(ES5-EJ5)/EJ5</f>
        <v>#DIV/0!</v>
      </c>
      <c r="EY5" s="792" t="e">
        <f>(ER5-EG5)/EG5</f>
        <v>#DIV/0!</v>
      </c>
      <c r="EZ5" s="798"/>
      <c r="FA5" s="798"/>
      <c r="FB5" s="798"/>
      <c r="FC5" s="798"/>
      <c r="FD5" s="798"/>
      <c r="FE5" s="798"/>
      <c r="FF5" s="798"/>
      <c r="FG5" s="798"/>
      <c r="FH5" s="798"/>
      <c r="FI5" s="798"/>
      <c r="FJ5" s="798"/>
      <c r="FK5" s="798"/>
      <c r="FL5" s="798"/>
      <c r="FM5" s="798"/>
      <c r="FN5" s="798"/>
      <c r="FO5" s="798"/>
      <c r="FP5" s="798"/>
      <c r="FQ5" s="799"/>
      <c r="FR5" s="175"/>
      <c r="FS5" s="175"/>
      <c r="FT5" s="175"/>
      <c r="FU5" s="175"/>
      <c r="FV5" s="175"/>
      <c r="FW5" s="175"/>
      <c r="FX5" s="175"/>
      <c r="FY5" s="175"/>
      <c r="FZ5" s="175"/>
      <c r="GA5" s="175"/>
      <c r="GB5" s="175"/>
      <c r="GC5" s="175"/>
      <c r="GD5" s="175"/>
      <c r="GE5" s="175"/>
      <c r="GF5" s="175"/>
      <c r="GG5" s="175"/>
      <c r="GH5" s="175"/>
      <c r="GI5" s="175"/>
      <c r="GJ5" s="175"/>
      <c r="GK5" s="175"/>
      <c r="GL5" s="175"/>
      <c r="GM5" s="175"/>
      <c r="GN5" s="175"/>
      <c r="GO5" s="175"/>
      <c r="GP5" s="175"/>
      <c r="GQ5" s="175"/>
      <c r="GR5" s="175"/>
      <c r="GS5" s="175"/>
      <c r="GT5" s="175"/>
      <c r="GU5" s="175"/>
      <c r="GV5" s="175"/>
      <c r="GW5" s="175"/>
      <c r="GX5" s="175"/>
      <c r="GY5" s="175"/>
      <c r="GZ5" s="175"/>
      <c r="HA5" s="175"/>
      <c r="HB5" s="175"/>
      <c r="HC5" s="175"/>
      <c r="HD5" s="175"/>
      <c r="HE5" s="175"/>
      <c r="HF5" s="175"/>
      <c r="HG5" s="175"/>
      <c r="HH5" s="175"/>
      <c r="HI5" s="175"/>
      <c r="HJ5" s="175"/>
      <c r="HK5" s="175"/>
      <c r="HL5" s="175"/>
      <c r="HM5" s="175"/>
    </row>
    <row r="6" spans="1:221" ht="15">
      <c r="B6" s="175"/>
      <c r="C6" s="800" t="s">
        <v>175</v>
      </c>
      <c r="D6" s="357">
        <v>1450022</v>
      </c>
      <c r="E6" s="357">
        <v>198</v>
      </c>
      <c r="F6" s="357" t="s">
        <v>176</v>
      </c>
      <c r="G6" s="426" t="s">
        <v>177</v>
      </c>
      <c r="H6" s="148" t="s">
        <v>169</v>
      </c>
      <c r="I6" s="448" t="s">
        <v>170</v>
      </c>
      <c r="J6" s="357"/>
      <c r="K6" s="357"/>
      <c r="L6" s="357"/>
      <c r="M6" s="358"/>
      <c r="N6" s="359">
        <v>107</v>
      </c>
      <c r="O6" s="358"/>
      <c r="P6" s="402">
        <v>15.69</v>
      </c>
      <c r="Q6" s="402"/>
      <c r="R6" s="402">
        <v>311.2</v>
      </c>
      <c r="S6" s="358">
        <v>20</v>
      </c>
      <c r="T6" s="188" t="s">
        <v>171</v>
      </c>
      <c r="U6" s="358"/>
      <c r="V6" s="358"/>
      <c r="W6" s="358"/>
      <c r="X6" s="402">
        <f t="shared" ref="X5:X36" si="1">AA6 + ABS(Y6) + ABS(Z6)</f>
        <v>208.97</v>
      </c>
      <c r="Y6" s="402">
        <v>-10.029999999999999</v>
      </c>
      <c r="Z6" s="402">
        <v>0</v>
      </c>
      <c r="AA6" s="402">
        <v>198.94</v>
      </c>
      <c r="AB6" s="357">
        <v>13</v>
      </c>
      <c r="AC6" s="426" t="s">
        <v>172</v>
      </c>
      <c r="AD6" s="426" t="s">
        <v>173</v>
      </c>
      <c r="AE6" s="164" t="b">
        <v>1</v>
      </c>
      <c r="AF6" s="164" t="b">
        <v>1</v>
      </c>
      <c r="AG6" s="409">
        <f>(AB6-S6)/S6</f>
        <v>-0.35</v>
      </c>
      <c r="AH6" s="409">
        <f>(AA6-R6)/R6</f>
        <v>-0.36073264781490999</v>
      </c>
      <c r="AI6" s="402">
        <f t="shared" ref="AI6:AI69" si="2">AL6 + ABS(AJ6) + ABS(AK6)</f>
        <v>259.04000000000002</v>
      </c>
      <c r="AJ6" s="364">
        <v>-12.43</v>
      </c>
      <c r="AK6" s="364">
        <v>0</v>
      </c>
      <c r="AL6" s="364">
        <v>246.61</v>
      </c>
      <c r="AM6" s="858">
        <v>15</v>
      </c>
      <c r="AN6" s="407">
        <v>46122</v>
      </c>
      <c r="AO6" s="148" t="s">
        <v>174</v>
      </c>
      <c r="AP6" s="860" t="b">
        <v>1</v>
      </c>
      <c r="AQ6" s="860" t="b">
        <v>1</v>
      </c>
      <c r="AR6" s="409">
        <f t="shared" si="0"/>
        <v>0.15384615384615385</v>
      </c>
      <c r="AS6" s="409">
        <f>(AL6-AA6)/AA6</f>
        <v>0.23961998592540473</v>
      </c>
      <c r="AT6" s="402">
        <f t="shared" ref="AT6:AT69" si="3">AW6 + ABS(AU6) + ABS(AV6)</f>
        <v>0</v>
      </c>
      <c r="AU6" s="402"/>
      <c r="AV6" s="402"/>
      <c r="AW6" s="402"/>
      <c r="AX6" s="358"/>
      <c r="AY6" s="358"/>
      <c r="AZ6" s="358"/>
      <c r="BA6" s="164" t="b">
        <v>0</v>
      </c>
      <c r="BB6" s="164" t="b">
        <v>0</v>
      </c>
      <c r="BC6" s="358">
        <f>(AX6-AM6)/AM6</f>
        <v>-1</v>
      </c>
      <c r="BD6" s="358">
        <f>(AW6-AL6)/AL6</f>
        <v>-1</v>
      </c>
      <c r="BE6" s="402">
        <f>BH6 + ABS(BF6) + ABS(BG6)</f>
        <v>0</v>
      </c>
      <c r="BF6" s="402"/>
      <c r="BG6" s="402"/>
      <c r="BH6" s="402"/>
      <c r="BI6" s="358"/>
      <c r="BJ6" s="358"/>
      <c r="BK6" s="358"/>
      <c r="BL6" s="164" t="b">
        <v>0</v>
      </c>
      <c r="BM6" s="164" t="b">
        <v>0</v>
      </c>
      <c r="BN6" s="358" t="e">
        <f>(BI6-AZ6)/AZ6</f>
        <v>#DIV/0!</v>
      </c>
      <c r="BO6" s="358" t="e">
        <f>(BH6-AW6)/AW6</f>
        <v>#DIV/0!</v>
      </c>
      <c r="BP6" s="402">
        <f>BS6 + ABS(BQ6) + ABS(BR6)</f>
        <v>0</v>
      </c>
      <c r="BQ6" s="402"/>
      <c r="BR6" s="402"/>
      <c r="BS6" s="402"/>
      <c r="BT6" s="358"/>
      <c r="BU6" s="358"/>
      <c r="BV6" s="358"/>
      <c r="BW6" s="164" t="b">
        <v>0</v>
      </c>
      <c r="BX6" s="164" t="b">
        <v>0</v>
      </c>
      <c r="BY6" s="358" t="e">
        <f>(BT6-BI6)/BI6</f>
        <v>#DIV/0!</v>
      </c>
      <c r="BZ6" s="358" t="e">
        <f>(BS6-BH6)/BH6</f>
        <v>#DIV/0!</v>
      </c>
      <c r="CA6" s="402">
        <f>CD6 + ABS(CB6) + ABS(CC6)</f>
        <v>0</v>
      </c>
      <c r="CB6" s="402"/>
      <c r="CC6" s="402"/>
      <c r="CD6" s="402"/>
      <c r="CE6" s="358"/>
      <c r="CF6" s="358"/>
      <c r="CG6" s="358"/>
      <c r="CH6" s="164" t="b">
        <v>0</v>
      </c>
      <c r="CI6" s="164" t="b">
        <v>0</v>
      </c>
      <c r="CJ6" s="358" t="e">
        <f>(CE6-BV6)/BV6</f>
        <v>#DIV/0!</v>
      </c>
      <c r="CK6" s="358" t="e">
        <f>(CD6-BS6)/BS6</f>
        <v>#DIV/0!</v>
      </c>
      <c r="CL6" s="402">
        <f>CO6 + ABS(CM6) + ABS(CN6)</f>
        <v>0</v>
      </c>
      <c r="CM6" s="402"/>
      <c r="CN6" s="402"/>
      <c r="CO6" s="402"/>
      <c r="CP6" s="358"/>
      <c r="CQ6" s="358"/>
      <c r="CR6" s="358"/>
      <c r="CS6" s="164" t="b">
        <v>0</v>
      </c>
      <c r="CT6" s="164" t="b">
        <v>0</v>
      </c>
      <c r="CU6" s="358" t="e">
        <f>(CP6-CE6)/CE6</f>
        <v>#DIV/0!</v>
      </c>
      <c r="CV6" s="358" t="e">
        <f>(CO6-CD6)/CD6</f>
        <v>#DIV/0!</v>
      </c>
      <c r="CW6" s="402">
        <f>CZ6 + ABS(CX6) + ABS(CY6)</f>
        <v>0</v>
      </c>
      <c r="CX6" s="402"/>
      <c r="CY6" s="402"/>
      <c r="CZ6" s="402"/>
      <c r="DA6" s="358"/>
      <c r="DB6" s="358"/>
      <c r="DC6" s="358"/>
      <c r="DD6" s="164" t="b">
        <v>0</v>
      </c>
      <c r="DE6" s="164" t="b">
        <v>0</v>
      </c>
      <c r="DF6" s="358" t="e">
        <f>(DA6-CR6)/CR6</f>
        <v>#DIV/0!</v>
      </c>
      <c r="DG6" s="358" t="e">
        <f>(CZ6-CO6)/CO6</f>
        <v>#DIV/0!</v>
      </c>
      <c r="DH6" s="402">
        <f>DK6 + ABS(DI6) + ABS(DJ6)</f>
        <v>0</v>
      </c>
      <c r="DI6" s="402"/>
      <c r="DJ6" s="402"/>
      <c r="DK6" s="402"/>
      <c r="DL6" s="358"/>
      <c r="DM6" s="358"/>
      <c r="DN6" s="358"/>
      <c r="DO6" s="164" t="b">
        <v>0</v>
      </c>
      <c r="DP6" s="164" t="b">
        <v>0</v>
      </c>
      <c r="DQ6" s="358" t="e">
        <f>(DL6-DA6)/DA6</f>
        <v>#DIV/0!</v>
      </c>
      <c r="DR6" s="358" t="e">
        <f>(DK6-CZ6)/CZ6</f>
        <v>#DIV/0!</v>
      </c>
      <c r="DS6" s="402">
        <f>DV6 + ABS(DT6) + ABS(DU6)</f>
        <v>0</v>
      </c>
      <c r="DT6" s="402"/>
      <c r="DU6" s="402"/>
      <c r="DV6" s="402"/>
      <c r="DW6" s="358"/>
      <c r="DX6" s="358"/>
      <c r="DY6" s="358"/>
      <c r="DZ6" s="164" t="b">
        <v>0</v>
      </c>
      <c r="EA6" s="164" t="b">
        <v>0</v>
      </c>
      <c r="EB6" s="358" t="e">
        <f>(DW6-DN6)/DN6</f>
        <v>#DIV/0!</v>
      </c>
      <c r="EC6" s="358" t="e">
        <f>(DV6-DK6)/DK6</f>
        <v>#DIV/0!</v>
      </c>
      <c r="ED6" s="402">
        <f>EG6 + ABS(EE6) + ABS(EF6)</f>
        <v>0</v>
      </c>
      <c r="EE6" s="402"/>
      <c r="EF6" s="402"/>
      <c r="EG6" s="402"/>
      <c r="EH6" s="358"/>
      <c r="EI6" s="358"/>
      <c r="EJ6" s="358"/>
      <c r="EK6" s="164" t="b">
        <v>0</v>
      </c>
      <c r="EL6" s="164" t="b">
        <v>0</v>
      </c>
      <c r="EM6" s="358" t="e">
        <f>(EH6-DW6)/DW6</f>
        <v>#DIV/0!</v>
      </c>
      <c r="EN6" s="358" t="e">
        <f>(EG6-DV6)/DV6</f>
        <v>#DIV/0!</v>
      </c>
      <c r="EO6" s="402">
        <f>ER6 + ABS(EP6) + ABS(EQ6)</f>
        <v>0</v>
      </c>
      <c r="EP6" s="402"/>
      <c r="EQ6" s="402"/>
      <c r="ER6" s="402"/>
      <c r="ES6" s="358"/>
      <c r="ET6" s="358"/>
      <c r="EU6" s="358"/>
      <c r="EV6" s="164" t="b">
        <v>0</v>
      </c>
      <c r="EW6" s="164" t="b">
        <v>0</v>
      </c>
      <c r="EX6" s="358" t="e">
        <f>(ES6-EJ6)/EJ6</f>
        <v>#DIV/0!</v>
      </c>
      <c r="EY6" s="358" t="e">
        <f>(ER6-EG6)/EG6</f>
        <v>#DIV/0!</v>
      </c>
      <c r="EZ6" s="449"/>
      <c r="FA6" s="449"/>
      <c r="FB6" s="449"/>
      <c r="FC6" s="175"/>
      <c r="FD6" s="175"/>
      <c r="FE6" s="175"/>
      <c r="FF6" s="175"/>
      <c r="FG6" s="175"/>
      <c r="FH6" s="175"/>
      <c r="FI6" s="175"/>
      <c r="FJ6" s="175"/>
      <c r="FK6" s="175"/>
      <c r="FL6" s="175"/>
      <c r="FM6" s="175"/>
      <c r="FN6" s="175"/>
      <c r="FO6" s="175"/>
      <c r="FP6" s="175"/>
      <c r="FQ6" s="801"/>
      <c r="FR6" s="175"/>
      <c r="FS6" s="175"/>
      <c r="FT6" s="175"/>
      <c r="FU6" s="175"/>
      <c r="FV6" s="175"/>
      <c r="FW6" s="175"/>
      <c r="FX6" s="175"/>
      <c r="FY6" s="175"/>
      <c r="FZ6" s="175"/>
      <c r="GA6" s="175"/>
      <c r="GB6" s="175"/>
      <c r="GC6" s="175"/>
      <c r="GD6" s="175"/>
      <c r="GE6" s="175"/>
      <c r="GF6" s="175"/>
      <c r="GG6" s="175"/>
      <c r="GH6" s="175"/>
      <c r="GI6" s="175"/>
      <c r="GJ6" s="175"/>
      <c r="GK6" s="175"/>
      <c r="GL6" s="175"/>
      <c r="GM6" s="175"/>
      <c r="GN6" s="175"/>
      <c r="GO6" s="175"/>
      <c r="GP6" s="175"/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5"/>
      <c r="HD6" s="175"/>
      <c r="HE6" s="175"/>
      <c r="HF6" s="175"/>
      <c r="HG6" s="175"/>
      <c r="HH6" s="175"/>
      <c r="HI6" s="175"/>
      <c r="HJ6" s="175"/>
      <c r="HK6" s="175"/>
      <c r="HL6" s="175"/>
      <c r="HM6" s="175"/>
    </row>
    <row r="7" spans="1:221" s="343" customFormat="1" ht="15">
      <c r="A7" s="184"/>
      <c r="B7" s="175"/>
      <c r="C7" s="802" t="s">
        <v>178</v>
      </c>
      <c r="D7" s="154">
        <v>1450022</v>
      </c>
      <c r="E7" s="154">
        <v>259</v>
      </c>
      <c r="F7" s="154" t="s">
        <v>179</v>
      </c>
      <c r="G7" s="255" t="s">
        <v>180</v>
      </c>
      <c r="H7" s="171" t="s">
        <v>169</v>
      </c>
      <c r="I7" s="445" t="s">
        <v>170</v>
      </c>
      <c r="J7" s="154"/>
      <c r="K7" s="154"/>
      <c r="L7" s="154"/>
      <c r="M7" s="176"/>
      <c r="N7" s="418">
        <v>107</v>
      </c>
      <c r="O7" s="176"/>
      <c r="P7" s="203">
        <v>1.72</v>
      </c>
      <c r="Q7" s="203"/>
      <c r="R7" s="203">
        <v>34.18</v>
      </c>
      <c r="S7" s="176">
        <v>1</v>
      </c>
      <c r="T7" s="188" t="s">
        <v>171</v>
      </c>
      <c r="U7" s="176"/>
      <c r="V7" s="176"/>
      <c r="W7" s="176"/>
      <c r="X7" s="203">
        <f t="shared" si="1"/>
        <v>35.9</v>
      </c>
      <c r="Y7" s="203">
        <v>-1.72</v>
      </c>
      <c r="Z7" s="203">
        <v>0</v>
      </c>
      <c r="AA7" s="203">
        <v>34.18</v>
      </c>
      <c r="AB7" s="154">
        <v>1</v>
      </c>
      <c r="AC7" s="444" t="s">
        <v>172</v>
      </c>
      <c r="AD7" s="444" t="s">
        <v>173</v>
      </c>
      <c r="AE7" s="177" t="b">
        <v>1</v>
      </c>
      <c r="AF7" s="177" t="b">
        <v>1</v>
      </c>
      <c r="AG7" s="392">
        <f>(AB7-S7)/S7</f>
        <v>0</v>
      </c>
      <c r="AH7" s="392">
        <f>(AA7-R7)/R7</f>
        <v>0</v>
      </c>
      <c r="AI7" s="203">
        <f t="shared" si="2"/>
        <v>36.25</v>
      </c>
      <c r="AJ7" s="368">
        <v>-1.74</v>
      </c>
      <c r="AK7" s="368">
        <v>0</v>
      </c>
      <c r="AL7" s="368">
        <v>34.51</v>
      </c>
      <c r="AM7" s="859">
        <v>0</v>
      </c>
      <c r="AN7" s="172">
        <v>46122</v>
      </c>
      <c r="AO7" s="171" t="s">
        <v>174</v>
      </c>
      <c r="AP7" s="861" t="b">
        <v>1</v>
      </c>
      <c r="AQ7" s="861" t="b">
        <v>1</v>
      </c>
      <c r="AR7" s="392">
        <f t="shared" si="0"/>
        <v>-1</v>
      </c>
      <c r="AS7" s="392">
        <f>(AL7-AA7)/AA7</f>
        <v>9.6547688706845602E-3</v>
      </c>
      <c r="AT7" s="203">
        <f t="shared" si="3"/>
        <v>0</v>
      </c>
      <c r="AU7" s="203"/>
      <c r="AV7" s="203"/>
      <c r="AW7" s="203"/>
      <c r="AX7" s="176"/>
      <c r="AY7" s="176"/>
      <c r="AZ7" s="176"/>
      <c r="BA7" s="177" t="b">
        <v>0</v>
      </c>
      <c r="BB7" s="177" t="b">
        <v>0</v>
      </c>
      <c r="BC7" s="176" t="e">
        <f>(AX7-AM7)/AM7</f>
        <v>#DIV/0!</v>
      </c>
      <c r="BD7" s="176">
        <f>(AW7-AL7)/AL7</f>
        <v>-1</v>
      </c>
      <c r="BE7" s="203">
        <f>BH7 + ABS(BF7) + ABS(BG7)</f>
        <v>0</v>
      </c>
      <c r="BF7" s="203"/>
      <c r="BG7" s="203"/>
      <c r="BH7" s="203"/>
      <c r="BI7" s="176"/>
      <c r="BJ7" s="176"/>
      <c r="BK7" s="176"/>
      <c r="BL7" s="177" t="b">
        <v>0</v>
      </c>
      <c r="BM7" s="177" t="b">
        <v>0</v>
      </c>
      <c r="BN7" s="176" t="e">
        <f>(BI7-AZ7)/AZ7</f>
        <v>#DIV/0!</v>
      </c>
      <c r="BO7" s="176" t="e">
        <f>(BH7-AW7)/AW7</f>
        <v>#DIV/0!</v>
      </c>
      <c r="BP7" s="203">
        <f>BS7 + ABS(BQ7) + ABS(BR7)</f>
        <v>0</v>
      </c>
      <c r="BQ7" s="203"/>
      <c r="BR7" s="203"/>
      <c r="BS7" s="203"/>
      <c r="BT7" s="176"/>
      <c r="BU7" s="176"/>
      <c r="BV7" s="176"/>
      <c r="BW7" s="177" t="b">
        <v>0</v>
      </c>
      <c r="BX7" s="177" t="b">
        <v>0</v>
      </c>
      <c r="BY7" s="176" t="e">
        <f>(BT7-BI7)/BI7</f>
        <v>#DIV/0!</v>
      </c>
      <c r="BZ7" s="176" t="e">
        <f>(BS7-BH7)/BH7</f>
        <v>#DIV/0!</v>
      </c>
      <c r="CA7" s="203">
        <f>CD7 + ABS(CB7) + ABS(CC7)</f>
        <v>0</v>
      </c>
      <c r="CB7" s="203"/>
      <c r="CC7" s="203"/>
      <c r="CD7" s="203"/>
      <c r="CE7" s="176"/>
      <c r="CF7" s="176"/>
      <c r="CG7" s="176"/>
      <c r="CH7" s="177" t="b">
        <v>0</v>
      </c>
      <c r="CI7" s="177" t="b">
        <v>0</v>
      </c>
      <c r="CJ7" s="176" t="e">
        <f>(CE7-BV7)/BV7</f>
        <v>#DIV/0!</v>
      </c>
      <c r="CK7" s="176" t="e">
        <f>(CD7-BS7)/BS7</f>
        <v>#DIV/0!</v>
      </c>
      <c r="CL7" s="203">
        <f>CO7 + ABS(CM7) + ABS(CN7)</f>
        <v>0</v>
      </c>
      <c r="CM7" s="203"/>
      <c r="CN7" s="203"/>
      <c r="CO7" s="203"/>
      <c r="CP7" s="176"/>
      <c r="CQ7" s="176"/>
      <c r="CR7" s="176"/>
      <c r="CS7" s="177" t="b">
        <v>0</v>
      </c>
      <c r="CT7" s="177" t="b">
        <v>0</v>
      </c>
      <c r="CU7" s="176" t="e">
        <f>(CP7-CE7)/CE7</f>
        <v>#DIV/0!</v>
      </c>
      <c r="CV7" s="176" t="e">
        <f>(CO7-CD7)/CD7</f>
        <v>#DIV/0!</v>
      </c>
      <c r="CW7" s="203">
        <f>CZ7 + ABS(CX7) + ABS(CY7)</f>
        <v>0</v>
      </c>
      <c r="CX7" s="203"/>
      <c r="CY7" s="203"/>
      <c r="CZ7" s="203"/>
      <c r="DA7" s="176"/>
      <c r="DB7" s="176"/>
      <c r="DC7" s="176"/>
      <c r="DD7" s="177" t="b">
        <v>0</v>
      </c>
      <c r="DE7" s="177" t="b">
        <v>0</v>
      </c>
      <c r="DF7" s="176" t="e">
        <f>(DA7-CR7)/CR7</f>
        <v>#DIV/0!</v>
      </c>
      <c r="DG7" s="176" t="e">
        <f>(CZ7-CO7)/CO7</f>
        <v>#DIV/0!</v>
      </c>
      <c r="DH7" s="203">
        <f>DK7 + ABS(DI7) + ABS(DJ7)</f>
        <v>0</v>
      </c>
      <c r="DI7" s="203"/>
      <c r="DJ7" s="203"/>
      <c r="DK7" s="203"/>
      <c r="DL7" s="176"/>
      <c r="DM7" s="176"/>
      <c r="DN7" s="176"/>
      <c r="DO7" s="177" t="b">
        <v>0</v>
      </c>
      <c r="DP7" s="177" t="b">
        <v>0</v>
      </c>
      <c r="DQ7" s="176" t="e">
        <f>(DL7-DA7)/DA7</f>
        <v>#DIV/0!</v>
      </c>
      <c r="DR7" s="176" t="e">
        <f>(DK7-CZ7)/CZ7</f>
        <v>#DIV/0!</v>
      </c>
      <c r="DS7" s="203">
        <f>DV7 + ABS(DT7) + ABS(DU7)</f>
        <v>0</v>
      </c>
      <c r="DT7" s="203"/>
      <c r="DU7" s="203"/>
      <c r="DV7" s="203"/>
      <c r="DW7" s="176"/>
      <c r="DX7" s="176"/>
      <c r="DY7" s="176"/>
      <c r="DZ7" s="177" t="b">
        <v>0</v>
      </c>
      <c r="EA7" s="177" t="b">
        <v>0</v>
      </c>
      <c r="EB7" s="176" t="e">
        <f>(DW7-DN7)/DN7</f>
        <v>#DIV/0!</v>
      </c>
      <c r="EC7" s="176" t="e">
        <f>(DV7-DK7)/DK7</f>
        <v>#DIV/0!</v>
      </c>
      <c r="ED7" s="203">
        <f>EG7 + ABS(EE7) + ABS(EF7)</f>
        <v>0</v>
      </c>
      <c r="EE7" s="203"/>
      <c r="EF7" s="203"/>
      <c r="EG7" s="203"/>
      <c r="EH7" s="176"/>
      <c r="EI7" s="176"/>
      <c r="EJ7" s="176"/>
      <c r="EK7" s="177" t="b">
        <v>0</v>
      </c>
      <c r="EL7" s="177" t="b">
        <v>0</v>
      </c>
      <c r="EM7" s="176" t="e">
        <f>(EH7-DW7)/DW7</f>
        <v>#DIV/0!</v>
      </c>
      <c r="EN7" s="176" t="e">
        <f>(EG7-DV7)/DV7</f>
        <v>#DIV/0!</v>
      </c>
      <c r="EO7" s="203">
        <f>ER7 + ABS(EP7) + ABS(EQ7)</f>
        <v>0</v>
      </c>
      <c r="EP7" s="203"/>
      <c r="EQ7" s="203"/>
      <c r="ER7" s="203"/>
      <c r="ES7" s="176"/>
      <c r="ET7" s="176"/>
      <c r="EU7" s="176"/>
      <c r="EV7" s="177" t="b">
        <v>0</v>
      </c>
      <c r="EW7" s="177" t="b">
        <v>0</v>
      </c>
      <c r="EX7" s="176" t="e">
        <f>(ES7-EJ7)/EJ7</f>
        <v>#DIV/0!</v>
      </c>
      <c r="EY7" s="176" t="e">
        <f>(ER7-EG7)/EG7</f>
        <v>#DIV/0!</v>
      </c>
      <c r="EZ7" s="175"/>
      <c r="FA7" s="175"/>
      <c r="FB7" s="175"/>
      <c r="FC7" s="175"/>
      <c r="FD7" s="175"/>
      <c r="FE7" s="175"/>
      <c r="FF7" s="175"/>
      <c r="FG7" s="175"/>
      <c r="FH7" s="175"/>
      <c r="FI7" s="175"/>
      <c r="FJ7" s="175"/>
      <c r="FK7" s="175"/>
      <c r="FL7" s="175"/>
      <c r="FM7" s="175"/>
      <c r="FN7" s="175"/>
      <c r="FO7" s="175"/>
      <c r="FP7" s="175"/>
      <c r="FQ7" s="801"/>
      <c r="FR7" s="175"/>
      <c r="FS7" s="175"/>
      <c r="FT7" s="175"/>
      <c r="FU7" s="175"/>
      <c r="FV7" s="175"/>
      <c r="FW7" s="175"/>
      <c r="FX7" s="175"/>
      <c r="FY7" s="175"/>
      <c r="FZ7" s="175"/>
      <c r="GA7" s="175"/>
      <c r="GB7" s="175"/>
      <c r="GC7" s="175"/>
      <c r="GD7" s="175"/>
      <c r="GE7" s="175"/>
      <c r="GF7" s="175"/>
      <c r="GG7" s="175"/>
      <c r="GH7" s="175"/>
      <c r="GI7" s="175"/>
      <c r="GJ7" s="175"/>
      <c r="GK7" s="175"/>
      <c r="GL7" s="175"/>
      <c r="GM7" s="175"/>
      <c r="GN7" s="175"/>
      <c r="GO7" s="175"/>
      <c r="GP7" s="175"/>
      <c r="GQ7" s="175"/>
      <c r="GR7" s="175"/>
      <c r="GS7" s="175"/>
      <c r="GT7" s="175"/>
      <c r="GU7" s="175"/>
      <c r="GV7" s="175"/>
      <c r="GW7" s="175"/>
      <c r="GX7" s="175"/>
      <c r="GY7" s="175"/>
      <c r="GZ7" s="175"/>
      <c r="HA7" s="175"/>
      <c r="HB7" s="175"/>
      <c r="HC7" s="175"/>
      <c r="HD7" s="175"/>
      <c r="HE7" s="175"/>
      <c r="HF7" s="175"/>
      <c r="HG7" s="175"/>
      <c r="HH7" s="175"/>
      <c r="HI7" s="175"/>
      <c r="HJ7" s="175"/>
      <c r="HK7" s="175"/>
      <c r="HL7" s="175"/>
      <c r="HM7" s="175"/>
    </row>
    <row r="8" spans="1:221" s="343" customFormat="1" ht="15">
      <c r="A8" s="184"/>
      <c r="B8" s="175"/>
      <c r="C8" s="800" t="s">
        <v>181</v>
      </c>
      <c r="D8" s="357">
        <v>1450022</v>
      </c>
      <c r="E8" s="357">
        <v>263</v>
      </c>
      <c r="F8" s="357" t="s">
        <v>182</v>
      </c>
      <c r="G8" s="426" t="s">
        <v>183</v>
      </c>
      <c r="H8" s="148" t="s">
        <v>169</v>
      </c>
      <c r="I8" s="448" t="s">
        <v>170</v>
      </c>
      <c r="J8" s="357"/>
      <c r="K8" s="357"/>
      <c r="L8" s="357"/>
      <c r="M8" s="358"/>
      <c r="N8" s="359">
        <v>107</v>
      </c>
      <c r="O8" s="358"/>
      <c r="P8" s="402">
        <v>33.01</v>
      </c>
      <c r="Q8" s="402"/>
      <c r="R8" s="402">
        <v>654.76</v>
      </c>
      <c r="S8" s="358">
        <v>37</v>
      </c>
      <c r="T8" s="188" t="s">
        <v>171</v>
      </c>
      <c r="U8" s="358"/>
      <c r="V8" s="358"/>
      <c r="W8" s="358"/>
      <c r="X8" s="402">
        <f t="shared" si="1"/>
        <v>87.48</v>
      </c>
      <c r="Y8" s="402">
        <v>-4.2</v>
      </c>
      <c r="Z8" s="402">
        <v>0</v>
      </c>
      <c r="AA8" s="402">
        <v>83.28</v>
      </c>
      <c r="AB8" s="357">
        <v>4</v>
      </c>
      <c r="AC8" s="426" t="s">
        <v>172</v>
      </c>
      <c r="AD8" s="426" t="s">
        <v>173</v>
      </c>
      <c r="AE8" s="164" t="b">
        <v>1</v>
      </c>
      <c r="AF8" s="164" t="b">
        <v>1</v>
      </c>
      <c r="AG8" s="409">
        <f>(AB8-S8)/S8</f>
        <v>-0.89189189189189189</v>
      </c>
      <c r="AH8" s="409">
        <f>(AA8-R8)/R8</f>
        <v>-0.87280835726067574</v>
      </c>
      <c r="AI8" s="402">
        <f t="shared" si="2"/>
        <v>113.88</v>
      </c>
      <c r="AJ8" s="364">
        <v>-5.47</v>
      </c>
      <c r="AK8" s="364">
        <v>0</v>
      </c>
      <c r="AL8" s="364">
        <v>108.41</v>
      </c>
      <c r="AM8" s="858">
        <v>6</v>
      </c>
      <c r="AN8" s="407">
        <v>46122</v>
      </c>
      <c r="AO8" s="148" t="s">
        <v>174</v>
      </c>
      <c r="AP8" s="860" t="b">
        <v>1</v>
      </c>
      <c r="AQ8" s="860" t="b">
        <v>1</v>
      </c>
      <c r="AR8" s="409">
        <f t="shared" si="0"/>
        <v>0.5</v>
      </c>
      <c r="AS8" s="409">
        <f>(AL8-AA8)/AA8</f>
        <v>0.30175312199807869</v>
      </c>
      <c r="AT8" s="402">
        <f t="shared" si="3"/>
        <v>0</v>
      </c>
      <c r="AU8" s="402"/>
      <c r="AV8" s="402"/>
      <c r="AW8" s="402"/>
      <c r="AX8" s="358"/>
      <c r="AY8" s="358"/>
      <c r="AZ8" s="358"/>
      <c r="BA8" s="164" t="b">
        <v>0</v>
      </c>
      <c r="BB8" s="164" t="b">
        <v>0</v>
      </c>
      <c r="BC8" s="358">
        <f>(AX8-AM8)/AM8</f>
        <v>-1</v>
      </c>
      <c r="BD8" s="358">
        <f>(AW8-AL8)/AL8</f>
        <v>-1</v>
      </c>
      <c r="BE8" s="402">
        <f>BH8 + ABS(BF8) + ABS(BG8)</f>
        <v>0</v>
      </c>
      <c r="BF8" s="402"/>
      <c r="BG8" s="402"/>
      <c r="BH8" s="402"/>
      <c r="BI8" s="358"/>
      <c r="BJ8" s="358"/>
      <c r="BK8" s="358"/>
      <c r="BL8" s="164" t="b">
        <v>0</v>
      </c>
      <c r="BM8" s="164" t="b">
        <v>0</v>
      </c>
      <c r="BN8" s="358" t="e">
        <f>(BI8-AZ8)/AZ8</f>
        <v>#DIV/0!</v>
      </c>
      <c r="BO8" s="358" t="e">
        <f>(BH8-AW8)/AW8</f>
        <v>#DIV/0!</v>
      </c>
      <c r="BP8" s="402">
        <f>BS8 + ABS(BQ8) + ABS(BR8)</f>
        <v>0</v>
      </c>
      <c r="BQ8" s="402"/>
      <c r="BR8" s="402"/>
      <c r="BS8" s="402"/>
      <c r="BT8" s="358"/>
      <c r="BU8" s="358"/>
      <c r="BV8" s="358"/>
      <c r="BW8" s="164" t="b">
        <v>0</v>
      </c>
      <c r="BX8" s="164" t="b">
        <v>0</v>
      </c>
      <c r="BY8" s="358" t="e">
        <f>(BT8-BI8)/BI8</f>
        <v>#DIV/0!</v>
      </c>
      <c r="BZ8" s="358" t="e">
        <f>(BS8-BH8)/BH8</f>
        <v>#DIV/0!</v>
      </c>
      <c r="CA8" s="402">
        <f>CD8 + ABS(CB8) + ABS(CC8)</f>
        <v>0</v>
      </c>
      <c r="CB8" s="402"/>
      <c r="CC8" s="402"/>
      <c r="CD8" s="402"/>
      <c r="CE8" s="358"/>
      <c r="CF8" s="358"/>
      <c r="CG8" s="358"/>
      <c r="CH8" s="164" t="b">
        <v>0</v>
      </c>
      <c r="CI8" s="164" t="b">
        <v>0</v>
      </c>
      <c r="CJ8" s="358" t="e">
        <f>(CE8-BV8)/BV8</f>
        <v>#DIV/0!</v>
      </c>
      <c r="CK8" s="358" t="e">
        <f>(CD8-BS8)/BS8</f>
        <v>#DIV/0!</v>
      </c>
      <c r="CL8" s="402">
        <f>CO8 + ABS(CM8) + ABS(CN8)</f>
        <v>0</v>
      </c>
      <c r="CM8" s="402"/>
      <c r="CN8" s="402"/>
      <c r="CO8" s="402"/>
      <c r="CP8" s="358"/>
      <c r="CQ8" s="358"/>
      <c r="CR8" s="358"/>
      <c r="CS8" s="164" t="b">
        <v>0</v>
      </c>
      <c r="CT8" s="164" t="b">
        <v>0</v>
      </c>
      <c r="CU8" s="358" t="e">
        <f>(CP8-CE8)/CE8</f>
        <v>#DIV/0!</v>
      </c>
      <c r="CV8" s="358" t="e">
        <f>(CO8-CD8)/CD8</f>
        <v>#DIV/0!</v>
      </c>
      <c r="CW8" s="402">
        <f>CZ8 + ABS(CX8) + ABS(CY8)</f>
        <v>0</v>
      </c>
      <c r="CX8" s="402"/>
      <c r="CY8" s="402"/>
      <c r="CZ8" s="402"/>
      <c r="DA8" s="358"/>
      <c r="DB8" s="358"/>
      <c r="DC8" s="358"/>
      <c r="DD8" s="164" t="b">
        <v>0</v>
      </c>
      <c r="DE8" s="164" t="b">
        <v>0</v>
      </c>
      <c r="DF8" s="358" t="e">
        <f>(DA8-CR8)/CR8</f>
        <v>#DIV/0!</v>
      </c>
      <c r="DG8" s="358" t="e">
        <f>(CZ8-CO8)/CO8</f>
        <v>#DIV/0!</v>
      </c>
      <c r="DH8" s="402">
        <f>DK8 + ABS(DI8) + ABS(DJ8)</f>
        <v>0</v>
      </c>
      <c r="DI8" s="402"/>
      <c r="DJ8" s="402"/>
      <c r="DK8" s="402"/>
      <c r="DL8" s="358"/>
      <c r="DM8" s="358"/>
      <c r="DN8" s="358"/>
      <c r="DO8" s="164" t="b">
        <v>0</v>
      </c>
      <c r="DP8" s="164" t="b">
        <v>0</v>
      </c>
      <c r="DQ8" s="358" t="e">
        <f>(DL8-DA8)/DA8</f>
        <v>#DIV/0!</v>
      </c>
      <c r="DR8" s="358" t="e">
        <f>(DK8-CZ8)/CZ8</f>
        <v>#DIV/0!</v>
      </c>
      <c r="DS8" s="402">
        <f>DV8 + ABS(DT8) + ABS(DU8)</f>
        <v>0</v>
      </c>
      <c r="DT8" s="402"/>
      <c r="DU8" s="402"/>
      <c r="DV8" s="402"/>
      <c r="DW8" s="358"/>
      <c r="DX8" s="358"/>
      <c r="DY8" s="358"/>
      <c r="DZ8" s="164" t="b">
        <v>0</v>
      </c>
      <c r="EA8" s="164" t="b">
        <v>0</v>
      </c>
      <c r="EB8" s="358" t="e">
        <f>(DW8-DN8)/DN8</f>
        <v>#DIV/0!</v>
      </c>
      <c r="EC8" s="358" t="e">
        <f>(DV8-DK8)/DK8</f>
        <v>#DIV/0!</v>
      </c>
      <c r="ED8" s="402">
        <f>EG8 + ABS(EE8) + ABS(EF8)</f>
        <v>0</v>
      </c>
      <c r="EE8" s="402"/>
      <c r="EF8" s="402"/>
      <c r="EG8" s="402"/>
      <c r="EH8" s="358"/>
      <c r="EI8" s="358"/>
      <c r="EJ8" s="358"/>
      <c r="EK8" s="164" t="b">
        <v>0</v>
      </c>
      <c r="EL8" s="164" t="b">
        <v>0</v>
      </c>
      <c r="EM8" s="358" t="e">
        <f>(EH8-DW8)/DW8</f>
        <v>#DIV/0!</v>
      </c>
      <c r="EN8" s="358" t="e">
        <f>(EG8-DV8)/DV8</f>
        <v>#DIV/0!</v>
      </c>
      <c r="EO8" s="402">
        <f>ER8 + ABS(EP8) + ABS(EQ8)</f>
        <v>0</v>
      </c>
      <c r="EP8" s="402"/>
      <c r="EQ8" s="402"/>
      <c r="ER8" s="402"/>
      <c r="ES8" s="358"/>
      <c r="ET8" s="358"/>
      <c r="EU8" s="358"/>
      <c r="EV8" s="164" t="b">
        <v>0</v>
      </c>
      <c r="EW8" s="164" t="b">
        <v>0</v>
      </c>
      <c r="EX8" s="358" t="e">
        <f>(ES8-EJ8)/EJ8</f>
        <v>#DIV/0!</v>
      </c>
      <c r="EY8" s="358" t="e">
        <f>(ER8-EG8)/EG8</f>
        <v>#DIV/0!</v>
      </c>
      <c r="EZ8" s="449"/>
      <c r="FA8" s="449"/>
      <c r="FB8" s="449"/>
      <c r="FC8" s="449"/>
      <c r="FD8" s="449"/>
      <c r="FE8" s="449"/>
      <c r="FF8" s="449"/>
      <c r="FG8" s="449"/>
      <c r="FH8" s="449"/>
      <c r="FI8" s="449"/>
      <c r="FJ8" s="449"/>
      <c r="FK8" s="449"/>
      <c r="FL8" s="449"/>
      <c r="FM8" s="449"/>
      <c r="FN8" s="449"/>
      <c r="FO8" s="449"/>
      <c r="FP8" s="449"/>
      <c r="FQ8" s="803"/>
      <c r="FR8" s="449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</row>
    <row r="9" spans="1:221" ht="15">
      <c r="B9" s="175"/>
      <c r="C9" s="800" t="s">
        <v>181</v>
      </c>
      <c r="D9" s="357">
        <v>1450022</v>
      </c>
      <c r="E9" s="357">
        <v>263</v>
      </c>
      <c r="F9" s="357" t="s">
        <v>184</v>
      </c>
      <c r="G9" s="426" t="s">
        <v>185</v>
      </c>
      <c r="H9" s="148" t="s">
        <v>169</v>
      </c>
      <c r="I9" s="448" t="s">
        <v>170</v>
      </c>
      <c r="J9" s="357"/>
      <c r="K9" s="357"/>
      <c r="L9" s="357"/>
      <c r="M9" s="358"/>
      <c r="N9" s="361">
        <v>107</v>
      </c>
      <c r="O9" s="358"/>
      <c r="P9" s="402">
        <v>2.6</v>
      </c>
      <c r="Q9" s="402"/>
      <c r="R9" s="402">
        <v>51.52</v>
      </c>
      <c r="S9" s="354"/>
      <c r="T9" s="188" t="s">
        <v>171</v>
      </c>
      <c r="U9" s="358"/>
      <c r="V9" s="358"/>
      <c r="W9" s="358"/>
      <c r="X9" s="402">
        <f t="shared" si="1"/>
        <v>54.120000000000005</v>
      </c>
      <c r="Y9" s="402">
        <v>-2.6</v>
      </c>
      <c r="Z9" s="402">
        <v>0</v>
      </c>
      <c r="AA9" s="402">
        <v>51.52</v>
      </c>
      <c r="AB9" s="357">
        <v>0</v>
      </c>
      <c r="AC9" s="173" t="s">
        <v>172</v>
      </c>
      <c r="AD9" s="173" t="s">
        <v>173</v>
      </c>
      <c r="AE9" s="164" t="b">
        <v>1</v>
      </c>
      <c r="AF9" s="164" t="b">
        <v>1</v>
      </c>
      <c r="AG9" s="409">
        <v>0</v>
      </c>
      <c r="AH9" s="409">
        <f>(AA9-R9)/R9</f>
        <v>0</v>
      </c>
      <c r="AI9" s="402">
        <f t="shared" si="2"/>
        <v>58.279999999999994</v>
      </c>
      <c r="AJ9" s="364">
        <v>-2.8</v>
      </c>
      <c r="AK9" s="364">
        <v>0</v>
      </c>
      <c r="AL9" s="364">
        <v>55.48</v>
      </c>
      <c r="AM9" s="858">
        <v>0</v>
      </c>
      <c r="AN9" s="407">
        <v>46122</v>
      </c>
      <c r="AO9" s="148" t="s">
        <v>174</v>
      </c>
      <c r="AP9" s="860" t="b">
        <v>1</v>
      </c>
      <c r="AQ9" s="860" t="b">
        <v>1</v>
      </c>
      <c r="AR9" s="409">
        <v>0</v>
      </c>
      <c r="AS9" s="409">
        <f>(AL9-AA9)/AA9</f>
        <v>7.6863354037266948E-2</v>
      </c>
      <c r="AT9" s="402">
        <f t="shared" si="3"/>
        <v>0</v>
      </c>
      <c r="AU9" s="402"/>
      <c r="AV9" s="402"/>
      <c r="AW9" s="402"/>
      <c r="AX9" s="358"/>
      <c r="AY9" s="358"/>
      <c r="AZ9" s="358"/>
      <c r="BA9" s="164" t="b">
        <v>0</v>
      </c>
      <c r="BB9" s="164" t="b">
        <v>0</v>
      </c>
      <c r="BC9" s="358" t="e">
        <f>(AX9-AM9)/AM9</f>
        <v>#DIV/0!</v>
      </c>
      <c r="BD9" s="358">
        <f>(AW9-AL9)/AL9</f>
        <v>-1</v>
      </c>
      <c r="BE9" s="402">
        <f>BH9 + ABS(BF9) + ABS(BG9)</f>
        <v>0</v>
      </c>
      <c r="BF9" s="402"/>
      <c r="BG9" s="402"/>
      <c r="BH9" s="402"/>
      <c r="BI9" s="358"/>
      <c r="BJ9" s="358"/>
      <c r="BK9" s="358"/>
      <c r="BL9" s="164" t="b">
        <v>0</v>
      </c>
      <c r="BM9" s="164" t="b">
        <v>0</v>
      </c>
      <c r="BN9" s="358" t="e">
        <f>(BI9-AZ9)/AZ9</f>
        <v>#DIV/0!</v>
      </c>
      <c r="BO9" s="358" t="e">
        <f>(BH9-AW9)/AW9</f>
        <v>#DIV/0!</v>
      </c>
      <c r="BP9" s="402">
        <f>BS9 + ABS(BQ9) + ABS(BR9)</f>
        <v>0</v>
      </c>
      <c r="BQ9" s="402"/>
      <c r="BR9" s="402"/>
      <c r="BS9" s="402"/>
      <c r="BT9" s="358"/>
      <c r="BU9" s="358"/>
      <c r="BV9" s="358"/>
      <c r="BW9" s="164" t="b">
        <v>0</v>
      </c>
      <c r="BX9" s="164" t="b">
        <v>0</v>
      </c>
      <c r="BY9" s="358" t="e">
        <f>(BT9-BI9)/BI9</f>
        <v>#DIV/0!</v>
      </c>
      <c r="BZ9" s="358" t="e">
        <f>(BS9-BH9)/BH9</f>
        <v>#DIV/0!</v>
      </c>
      <c r="CA9" s="402">
        <f>CD9 + ABS(CB9) + ABS(CC9)</f>
        <v>0</v>
      </c>
      <c r="CB9" s="402"/>
      <c r="CC9" s="402"/>
      <c r="CD9" s="402"/>
      <c r="CE9" s="358"/>
      <c r="CF9" s="358"/>
      <c r="CG9" s="358"/>
      <c r="CH9" s="164" t="b">
        <v>0</v>
      </c>
      <c r="CI9" s="164" t="b">
        <v>0</v>
      </c>
      <c r="CJ9" s="358" t="e">
        <f>(CE9-BV9)/BV9</f>
        <v>#DIV/0!</v>
      </c>
      <c r="CK9" s="358" t="e">
        <f>(CD9-BS9)/BS9</f>
        <v>#DIV/0!</v>
      </c>
      <c r="CL9" s="402">
        <f>CO9 + ABS(CM9) + ABS(CN9)</f>
        <v>0</v>
      </c>
      <c r="CM9" s="402"/>
      <c r="CN9" s="402"/>
      <c r="CO9" s="402"/>
      <c r="CP9" s="358"/>
      <c r="CQ9" s="358"/>
      <c r="CR9" s="358"/>
      <c r="CS9" s="164" t="b">
        <v>0</v>
      </c>
      <c r="CT9" s="164" t="b">
        <v>0</v>
      </c>
      <c r="CU9" s="358" t="e">
        <f>(CP9-CE9)/CE9</f>
        <v>#DIV/0!</v>
      </c>
      <c r="CV9" s="358" t="e">
        <f>(CO9-CD9)/CD9</f>
        <v>#DIV/0!</v>
      </c>
      <c r="CW9" s="402">
        <f>CZ9 + ABS(CX9) + ABS(CY9)</f>
        <v>0</v>
      </c>
      <c r="CX9" s="402"/>
      <c r="CY9" s="402"/>
      <c r="CZ9" s="402"/>
      <c r="DA9" s="358"/>
      <c r="DB9" s="358"/>
      <c r="DC9" s="358"/>
      <c r="DD9" s="164" t="b">
        <v>0</v>
      </c>
      <c r="DE9" s="164" t="b">
        <v>0</v>
      </c>
      <c r="DF9" s="358" t="e">
        <f>(DA9-CR9)/CR9</f>
        <v>#DIV/0!</v>
      </c>
      <c r="DG9" s="358" t="e">
        <f>(CZ9-CO9)/CO9</f>
        <v>#DIV/0!</v>
      </c>
      <c r="DH9" s="402">
        <f>DK9 + ABS(DI9) + ABS(DJ9)</f>
        <v>0</v>
      </c>
      <c r="DI9" s="402"/>
      <c r="DJ9" s="402"/>
      <c r="DK9" s="402"/>
      <c r="DL9" s="358"/>
      <c r="DM9" s="358"/>
      <c r="DN9" s="358"/>
      <c r="DO9" s="164" t="b">
        <v>0</v>
      </c>
      <c r="DP9" s="164" t="b">
        <v>0</v>
      </c>
      <c r="DQ9" s="358" t="e">
        <f>(DL9-DA9)/DA9</f>
        <v>#DIV/0!</v>
      </c>
      <c r="DR9" s="358" t="e">
        <f>(DK9-CZ9)/CZ9</f>
        <v>#DIV/0!</v>
      </c>
      <c r="DS9" s="402">
        <f>DV9 + ABS(DT9) + ABS(DU9)</f>
        <v>0</v>
      </c>
      <c r="DT9" s="402"/>
      <c r="DU9" s="402"/>
      <c r="DV9" s="402"/>
      <c r="DW9" s="358"/>
      <c r="DX9" s="358"/>
      <c r="DY9" s="358"/>
      <c r="DZ9" s="164" t="b">
        <v>0</v>
      </c>
      <c r="EA9" s="164" t="b">
        <v>0</v>
      </c>
      <c r="EB9" s="358" t="e">
        <f>(DW9-DN9)/DN9</f>
        <v>#DIV/0!</v>
      </c>
      <c r="EC9" s="358" t="e">
        <f>(DV9-DK9)/DK9</f>
        <v>#DIV/0!</v>
      </c>
      <c r="ED9" s="402">
        <f>EG9 + ABS(EE9) + ABS(EF9)</f>
        <v>0</v>
      </c>
      <c r="EE9" s="402"/>
      <c r="EF9" s="402"/>
      <c r="EG9" s="402"/>
      <c r="EH9" s="358"/>
      <c r="EI9" s="358"/>
      <c r="EJ9" s="358"/>
      <c r="EK9" s="164" t="b">
        <v>0</v>
      </c>
      <c r="EL9" s="164" t="b">
        <v>0</v>
      </c>
      <c r="EM9" s="358" t="e">
        <f>(EH9-DW9)/DW9</f>
        <v>#DIV/0!</v>
      </c>
      <c r="EN9" s="358" t="e">
        <f>(EG9-DV9)/DV9</f>
        <v>#DIV/0!</v>
      </c>
      <c r="EO9" s="402">
        <f>ER9 + ABS(EP9) + ABS(EQ9)</f>
        <v>0</v>
      </c>
      <c r="EP9" s="402"/>
      <c r="EQ9" s="402"/>
      <c r="ER9" s="402"/>
      <c r="ES9" s="358"/>
      <c r="ET9" s="358"/>
      <c r="EU9" s="358"/>
      <c r="EV9" s="164" t="b">
        <v>0</v>
      </c>
      <c r="EW9" s="164" t="b">
        <v>0</v>
      </c>
      <c r="EX9" s="358" t="e">
        <f>(ES9-EJ9)/EJ9</f>
        <v>#DIV/0!</v>
      </c>
      <c r="EY9" s="358" t="e">
        <f>(ER9-EG9)/EG9</f>
        <v>#DIV/0!</v>
      </c>
      <c r="EZ9" s="449"/>
      <c r="FA9" s="449"/>
      <c r="FB9" s="449"/>
      <c r="FC9" s="449"/>
      <c r="FD9" s="449"/>
      <c r="FE9" s="449"/>
      <c r="FF9" s="449"/>
      <c r="FG9" s="449"/>
      <c r="FH9" s="449"/>
      <c r="FI9" s="449"/>
      <c r="FJ9" s="449"/>
      <c r="FK9" s="449"/>
      <c r="FL9" s="449"/>
      <c r="FM9" s="449"/>
      <c r="FN9" s="449"/>
      <c r="FO9" s="449"/>
      <c r="FP9" s="449"/>
      <c r="FQ9" s="803"/>
      <c r="FR9" s="449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</row>
    <row r="10" spans="1:221" ht="15">
      <c r="B10" s="175"/>
      <c r="C10" s="802" t="s">
        <v>186</v>
      </c>
      <c r="D10" s="154">
        <v>1450022</v>
      </c>
      <c r="E10" s="154">
        <v>5</v>
      </c>
      <c r="F10" s="154" t="s">
        <v>187</v>
      </c>
      <c r="G10" s="255" t="s">
        <v>188</v>
      </c>
      <c r="H10" s="171" t="s">
        <v>169</v>
      </c>
      <c r="I10" s="445" t="s">
        <v>170</v>
      </c>
      <c r="J10" s="154"/>
      <c r="K10" s="154"/>
      <c r="L10" s="154"/>
      <c r="M10" s="176"/>
      <c r="N10" s="193">
        <v>107</v>
      </c>
      <c r="O10" s="176"/>
      <c r="P10" s="203">
        <v>38.54</v>
      </c>
      <c r="Q10" s="203"/>
      <c r="R10" s="203">
        <v>764.37</v>
      </c>
      <c r="S10" s="176">
        <v>42</v>
      </c>
      <c r="T10" s="188" t="s">
        <v>171</v>
      </c>
      <c r="U10" s="176"/>
      <c r="V10" s="176"/>
      <c r="W10" s="176"/>
      <c r="X10" s="203">
        <f t="shared" si="1"/>
        <v>624.08000000000004</v>
      </c>
      <c r="Y10" s="203">
        <v>-29.96</v>
      </c>
      <c r="Z10" s="203">
        <v>0</v>
      </c>
      <c r="AA10" s="203">
        <v>594.12</v>
      </c>
      <c r="AB10" s="154">
        <v>34</v>
      </c>
      <c r="AC10" s="255" t="s">
        <v>172</v>
      </c>
      <c r="AD10" s="255" t="s">
        <v>173</v>
      </c>
      <c r="AE10" s="177" t="b">
        <v>1</v>
      </c>
      <c r="AF10" s="177" t="b">
        <v>1</v>
      </c>
      <c r="AG10" s="392">
        <f>(AB10-S10)/S10</f>
        <v>-0.19047619047619047</v>
      </c>
      <c r="AH10" s="392">
        <f>(AA10-R10)/R10</f>
        <v>-0.22273244632834885</v>
      </c>
      <c r="AI10" s="203">
        <f t="shared" si="2"/>
        <v>704.83</v>
      </c>
      <c r="AJ10" s="368">
        <v>-33.83</v>
      </c>
      <c r="AK10" s="368">
        <v>0</v>
      </c>
      <c r="AL10" s="368">
        <v>671</v>
      </c>
      <c r="AM10" s="859">
        <v>36</v>
      </c>
      <c r="AN10" s="172">
        <v>46122</v>
      </c>
      <c r="AO10" s="171" t="s">
        <v>174</v>
      </c>
      <c r="AP10" s="861" t="b">
        <v>1</v>
      </c>
      <c r="AQ10" s="861" t="b">
        <v>1</v>
      </c>
      <c r="AR10" s="392">
        <f t="shared" si="0"/>
        <v>5.8823529411764705E-2</v>
      </c>
      <c r="AS10" s="392">
        <f>(AL10-AA10)/AA10</f>
        <v>0.12940146771695954</v>
      </c>
      <c r="AT10" s="203">
        <f t="shared" si="3"/>
        <v>0</v>
      </c>
      <c r="AU10" s="203"/>
      <c r="AV10" s="203"/>
      <c r="AW10" s="203"/>
      <c r="AX10" s="176"/>
      <c r="AY10" s="176"/>
      <c r="AZ10" s="176"/>
      <c r="BA10" s="177" t="b">
        <v>0</v>
      </c>
      <c r="BB10" s="177" t="b">
        <v>0</v>
      </c>
      <c r="BC10" s="176">
        <f>(AX10-AM10)/AM10</f>
        <v>-1</v>
      </c>
      <c r="BD10" s="176">
        <f>(AW10-AL10)/AL10</f>
        <v>-1</v>
      </c>
      <c r="BE10" s="203">
        <f>BH10 + ABS(BF10) + ABS(BG10)</f>
        <v>0</v>
      </c>
      <c r="BF10" s="203"/>
      <c r="BG10" s="203"/>
      <c r="BH10" s="203"/>
      <c r="BI10" s="176"/>
      <c r="BJ10" s="176"/>
      <c r="BK10" s="176"/>
      <c r="BL10" s="177" t="b">
        <v>0</v>
      </c>
      <c r="BM10" s="177" t="b">
        <v>0</v>
      </c>
      <c r="BN10" s="176" t="e">
        <f>(BI10-AZ10)/AZ10</f>
        <v>#DIV/0!</v>
      </c>
      <c r="BO10" s="176" t="e">
        <f>(BH10-AW10)/AW10</f>
        <v>#DIV/0!</v>
      </c>
      <c r="BP10" s="203">
        <f>BS10 + ABS(BQ10) + ABS(BR10)</f>
        <v>0</v>
      </c>
      <c r="BQ10" s="203"/>
      <c r="BR10" s="203"/>
      <c r="BS10" s="203"/>
      <c r="BT10" s="176"/>
      <c r="BU10" s="176"/>
      <c r="BV10" s="176"/>
      <c r="BW10" s="177" t="b">
        <v>0</v>
      </c>
      <c r="BX10" s="177" t="b">
        <v>0</v>
      </c>
      <c r="BY10" s="176" t="e">
        <f>(BT10-BI10)/BI10</f>
        <v>#DIV/0!</v>
      </c>
      <c r="BZ10" s="176" t="e">
        <f>(BS10-BH10)/BH10</f>
        <v>#DIV/0!</v>
      </c>
      <c r="CA10" s="203">
        <f>CD10 + ABS(CB10) + ABS(CC10)</f>
        <v>0</v>
      </c>
      <c r="CB10" s="203"/>
      <c r="CC10" s="203"/>
      <c r="CD10" s="203"/>
      <c r="CE10" s="176"/>
      <c r="CF10" s="176"/>
      <c r="CG10" s="176"/>
      <c r="CH10" s="177" t="b">
        <v>0</v>
      </c>
      <c r="CI10" s="177" t="b">
        <v>0</v>
      </c>
      <c r="CJ10" s="176" t="e">
        <f>(CE10-BV10)/BV10</f>
        <v>#DIV/0!</v>
      </c>
      <c r="CK10" s="176" t="e">
        <f>(CD10-BS10)/BS10</f>
        <v>#DIV/0!</v>
      </c>
      <c r="CL10" s="203">
        <f>CO10 + ABS(CM10) + ABS(CN10)</f>
        <v>0</v>
      </c>
      <c r="CM10" s="203"/>
      <c r="CN10" s="203"/>
      <c r="CO10" s="203"/>
      <c r="CP10" s="176"/>
      <c r="CQ10" s="176"/>
      <c r="CR10" s="176"/>
      <c r="CS10" s="177" t="b">
        <v>0</v>
      </c>
      <c r="CT10" s="177" t="b">
        <v>0</v>
      </c>
      <c r="CU10" s="176" t="e">
        <f>(CP10-CE10)/CE10</f>
        <v>#DIV/0!</v>
      </c>
      <c r="CV10" s="176" t="e">
        <f>(CO10-CD10)/CD10</f>
        <v>#DIV/0!</v>
      </c>
      <c r="CW10" s="203">
        <f>CZ10 + ABS(CX10) + ABS(CY10)</f>
        <v>0</v>
      </c>
      <c r="CX10" s="203"/>
      <c r="CY10" s="203"/>
      <c r="CZ10" s="203"/>
      <c r="DA10" s="176"/>
      <c r="DB10" s="176"/>
      <c r="DC10" s="176"/>
      <c r="DD10" s="177" t="b">
        <v>0</v>
      </c>
      <c r="DE10" s="177" t="b">
        <v>0</v>
      </c>
      <c r="DF10" s="176" t="e">
        <f>(DA10-CR10)/CR10</f>
        <v>#DIV/0!</v>
      </c>
      <c r="DG10" s="176" t="e">
        <f>(CZ10-CO10)/CO10</f>
        <v>#DIV/0!</v>
      </c>
      <c r="DH10" s="203">
        <f>DK10 + ABS(DI10) + ABS(DJ10)</f>
        <v>0</v>
      </c>
      <c r="DI10" s="203"/>
      <c r="DJ10" s="203"/>
      <c r="DK10" s="203"/>
      <c r="DL10" s="176"/>
      <c r="DM10" s="176"/>
      <c r="DN10" s="176"/>
      <c r="DO10" s="177" t="b">
        <v>0</v>
      </c>
      <c r="DP10" s="177" t="b">
        <v>0</v>
      </c>
      <c r="DQ10" s="176" t="e">
        <f>(DL10-DA10)/DA10</f>
        <v>#DIV/0!</v>
      </c>
      <c r="DR10" s="176" t="e">
        <f>(DK10-CZ10)/CZ10</f>
        <v>#DIV/0!</v>
      </c>
      <c r="DS10" s="203">
        <f>DV10 + ABS(DT10) + ABS(DU10)</f>
        <v>0</v>
      </c>
      <c r="DT10" s="203"/>
      <c r="DU10" s="203"/>
      <c r="DV10" s="203"/>
      <c r="DW10" s="176"/>
      <c r="DX10" s="176"/>
      <c r="DY10" s="176"/>
      <c r="DZ10" s="177" t="b">
        <v>0</v>
      </c>
      <c r="EA10" s="177" t="b">
        <v>0</v>
      </c>
      <c r="EB10" s="176" t="e">
        <f>(DW10-DN10)/DN10</f>
        <v>#DIV/0!</v>
      </c>
      <c r="EC10" s="176" t="e">
        <f>(DV10-DK10)/DK10</f>
        <v>#DIV/0!</v>
      </c>
      <c r="ED10" s="203">
        <f>EG10 + ABS(EE10) + ABS(EF10)</f>
        <v>0</v>
      </c>
      <c r="EE10" s="203"/>
      <c r="EF10" s="203"/>
      <c r="EG10" s="203"/>
      <c r="EH10" s="176"/>
      <c r="EI10" s="176"/>
      <c r="EJ10" s="176"/>
      <c r="EK10" s="177" t="b">
        <v>0</v>
      </c>
      <c r="EL10" s="177" t="b">
        <v>0</v>
      </c>
      <c r="EM10" s="176" t="e">
        <f>(EH10-DW10)/DW10</f>
        <v>#DIV/0!</v>
      </c>
      <c r="EN10" s="176" t="e">
        <f>(EG10-DV10)/DV10</f>
        <v>#DIV/0!</v>
      </c>
      <c r="EO10" s="203">
        <f>ER10 + ABS(EP10) + ABS(EQ10)</f>
        <v>0</v>
      </c>
      <c r="EP10" s="203"/>
      <c r="EQ10" s="203"/>
      <c r="ER10" s="203"/>
      <c r="ES10" s="176"/>
      <c r="ET10" s="176"/>
      <c r="EU10" s="176"/>
      <c r="EV10" s="177" t="b">
        <v>0</v>
      </c>
      <c r="EW10" s="177" t="b">
        <v>0</v>
      </c>
      <c r="EX10" s="176" t="e">
        <f>(ES10-EJ10)/EJ10</f>
        <v>#DIV/0!</v>
      </c>
      <c r="EY10" s="176" t="e">
        <f>(ER10-EG10)/EG10</f>
        <v>#DIV/0!</v>
      </c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801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</row>
    <row r="11" spans="1:221" ht="15">
      <c r="B11" s="175"/>
      <c r="C11" s="802" t="s">
        <v>189</v>
      </c>
      <c r="D11" s="154">
        <v>1450022</v>
      </c>
      <c r="E11" s="154">
        <v>50</v>
      </c>
      <c r="F11" s="154" t="s">
        <v>190</v>
      </c>
      <c r="G11" s="255" t="s">
        <v>191</v>
      </c>
      <c r="H11" s="171" t="s">
        <v>169</v>
      </c>
      <c r="I11" s="445" t="s">
        <v>170</v>
      </c>
      <c r="J11" s="154"/>
      <c r="K11" s="154"/>
      <c r="L11" s="154"/>
      <c r="M11" s="176"/>
      <c r="N11" s="193">
        <v>107</v>
      </c>
      <c r="O11" s="176"/>
      <c r="P11" s="203">
        <v>99.06</v>
      </c>
      <c r="Q11" s="203"/>
      <c r="R11" s="203">
        <v>1964.62</v>
      </c>
      <c r="S11" s="176">
        <v>91</v>
      </c>
      <c r="T11" s="188" t="s">
        <v>171</v>
      </c>
      <c r="U11" s="176"/>
      <c r="V11" s="176"/>
      <c r="W11" s="176"/>
      <c r="X11" s="203">
        <f t="shared" si="1"/>
        <v>1322.23</v>
      </c>
      <c r="Y11" s="203">
        <v>-63.47</v>
      </c>
      <c r="Z11" s="203">
        <v>0</v>
      </c>
      <c r="AA11" s="203">
        <v>1258.76</v>
      </c>
      <c r="AB11" s="154">
        <v>62</v>
      </c>
      <c r="AC11" s="255" t="s">
        <v>172</v>
      </c>
      <c r="AD11" s="255" t="s">
        <v>173</v>
      </c>
      <c r="AE11" s="177" t="b">
        <v>1</v>
      </c>
      <c r="AF11" s="177" t="b">
        <v>1</v>
      </c>
      <c r="AG11" s="392">
        <f>(AB11-S11)/S11</f>
        <v>-0.31868131868131866</v>
      </c>
      <c r="AH11" s="392">
        <f>(AA11-R11)/R11</f>
        <v>-0.35928576518614286</v>
      </c>
      <c r="AI11" s="203">
        <f t="shared" si="2"/>
        <v>33810.049999999996</v>
      </c>
      <c r="AJ11" s="368">
        <v>-1622.88</v>
      </c>
      <c r="AK11" s="368">
        <v>0</v>
      </c>
      <c r="AL11" s="368">
        <v>32187.17</v>
      </c>
      <c r="AM11" s="1068">
        <v>1104</v>
      </c>
      <c r="AN11" s="172">
        <v>46122</v>
      </c>
      <c r="AO11" s="171" t="s">
        <v>174</v>
      </c>
      <c r="AP11" s="861" t="b">
        <v>1</v>
      </c>
      <c r="AQ11" s="861" t="b">
        <v>1</v>
      </c>
      <c r="AR11" s="392">
        <f t="shared" si="0"/>
        <v>16.806451612903224</v>
      </c>
      <c r="AS11" s="392">
        <f>(AL11-AA11)/AA11</f>
        <v>24.570537671994661</v>
      </c>
      <c r="AT11" s="203">
        <f t="shared" si="3"/>
        <v>0</v>
      </c>
      <c r="AU11" s="203"/>
      <c r="AV11" s="203"/>
      <c r="AW11" s="203"/>
      <c r="AX11" s="176"/>
      <c r="AY11" s="176"/>
      <c r="AZ11" s="176"/>
      <c r="BA11" s="177" t="b">
        <v>0</v>
      </c>
      <c r="BB11" s="177" t="b">
        <v>0</v>
      </c>
      <c r="BC11" s="176">
        <f>(AX11-AM11)/AM11</f>
        <v>-1</v>
      </c>
      <c r="BD11" s="176">
        <f>(AW11-AL11)/AL11</f>
        <v>-1</v>
      </c>
      <c r="BE11" s="203">
        <f>BH11 + ABS(BF11) + ABS(BG11)</f>
        <v>0</v>
      </c>
      <c r="BF11" s="203"/>
      <c r="BG11" s="203"/>
      <c r="BH11" s="203"/>
      <c r="BI11" s="176"/>
      <c r="BJ11" s="176"/>
      <c r="BK11" s="176"/>
      <c r="BL11" s="177" t="b">
        <v>0</v>
      </c>
      <c r="BM11" s="177" t="b">
        <v>0</v>
      </c>
      <c r="BN11" s="176" t="e">
        <f>(BI11-AZ11)/AZ11</f>
        <v>#DIV/0!</v>
      </c>
      <c r="BO11" s="176" t="e">
        <f>(BH11-AW11)/AW11</f>
        <v>#DIV/0!</v>
      </c>
      <c r="BP11" s="203">
        <f>BS11 + ABS(BQ11) + ABS(BR11)</f>
        <v>0</v>
      </c>
      <c r="BQ11" s="203"/>
      <c r="BR11" s="203"/>
      <c r="BS11" s="203"/>
      <c r="BT11" s="176"/>
      <c r="BU11" s="176"/>
      <c r="BV11" s="176"/>
      <c r="BW11" s="177" t="b">
        <v>0</v>
      </c>
      <c r="BX11" s="177" t="b">
        <v>0</v>
      </c>
      <c r="BY11" s="176" t="e">
        <f>(BT11-BI11)/BI11</f>
        <v>#DIV/0!</v>
      </c>
      <c r="BZ11" s="176" t="e">
        <f>(BS11-BH11)/BH11</f>
        <v>#DIV/0!</v>
      </c>
      <c r="CA11" s="203">
        <f>CD11 + ABS(CB11) + ABS(CC11)</f>
        <v>0</v>
      </c>
      <c r="CB11" s="203"/>
      <c r="CC11" s="203"/>
      <c r="CD11" s="203"/>
      <c r="CE11" s="176"/>
      <c r="CF11" s="176"/>
      <c r="CG11" s="176"/>
      <c r="CH11" s="177" t="b">
        <v>0</v>
      </c>
      <c r="CI11" s="177" t="b">
        <v>0</v>
      </c>
      <c r="CJ11" s="176" t="e">
        <f>(CE11-BV11)/BV11</f>
        <v>#DIV/0!</v>
      </c>
      <c r="CK11" s="176" t="e">
        <f>(CD11-BS11)/BS11</f>
        <v>#DIV/0!</v>
      </c>
      <c r="CL11" s="203">
        <f>CO11 + ABS(CM11) + ABS(CN11)</f>
        <v>0</v>
      </c>
      <c r="CM11" s="203"/>
      <c r="CN11" s="203"/>
      <c r="CO11" s="203"/>
      <c r="CP11" s="176"/>
      <c r="CQ11" s="176"/>
      <c r="CR11" s="176"/>
      <c r="CS11" s="177" t="b">
        <v>0</v>
      </c>
      <c r="CT11" s="177" t="b">
        <v>0</v>
      </c>
      <c r="CU11" s="176" t="e">
        <f>(CP11-CE11)/CE11</f>
        <v>#DIV/0!</v>
      </c>
      <c r="CV11" s="176" t="e">
        <f>(CO11-CD11)/CD11</f>
        <v>#DIV/0!</v>
      </c>
      <c r="CW11" s="203">
        <f>CZ11 + ABS(CX11) + ABS(CY11)</f>
        <v>0</v>
      </c>
      <c r="CX11" s="203"/>
      <c r="CY11" s="203"/>
      <c r="CZ11" s="203"/>
      <c r="DA11" s="176"/>
      <c r="DB11" s="176"/>
      <c r="DC11" s="176"/>
      <c r="DD11" s="177" t="b">
        <v>0</v>
      </c>
      <c r="DE11" s="177" t="b">
        <v>0</v>
      </c>
      <c r="DF11" s="176" t="e">
        <f>(DA11-CR11)/CR11</f>
        <v>#DIV/0!</v>
      </c>
      <c r="DG11" s="176" t="e">
        <f>(CZ11-CO11)/CO11</f>
        <v>#DIV/0!</v>
      </c>
      <c r="DH11" s="203">
        <f>DK11 + ABS(DI11) + ABS(DJ11)</f>
        <v>0</v>
      </c>
      <c r="DI11" s="203"/>
      <c r="DJ11" s="203"/>
      <c r="DK11" s="203"/>
      <c r="DL11" s="176"/>
      <c r="DM11" s="176"/>
      <c r="DN11" s="176"/>
      <c r="DO11" s="177" t="b">
        <v>0</v>
      </c>
      <c r="DP11" s="177" t="b">
        <v>0</v>
      </c>
      <c r="DQ11" s="176" t="e">
        <f>(DL11-DA11)/DA11</f>
        <v>#DIV/0!</v>
      </c>
      <c r="DR11" s="176" t="e">
        <f>(DK11-CZ11)/CZ11</f>
        <v>#DIV/0!</v>
      </c>
      <c r="DS11" s="203">
        <f>DV11 + ABS(DT11) + ABS(DU11)</f>
        <v>0</v>
      </c>
      <c r="DT11" s="203"/>
      <c r="DU11" s="203"/>
      <c r="DV11" s="203"/>
      <c r="DW11" s="176"/>
      <c r="DX11" s="176"/>
      <c r="DY11" s="176"/>
      <c r="DZ11" s="177" t="b">
        <v>0</v>
      </c>
      <c r="EA11" s="177" t="b">
        <v>0</v>
      </c>
      <c r="EB11" s="176" t="e">
        <f>(DW11-DN11)/DN11</f>
        <v>#DIV/0!</v>
      </c>
      <c r="EC11" s="176" t="e">
        <f>(DV11-DK11)/DK11</f>
        <v>#DIV/0!</v>
      </c>
      <c r="ED11" s="203">
        <f>EG11 + ABS(EE11) + ABS(EF11)</f>
        <v>0</v>
      </c>
      <c r="EE11" s="203"/>
      <c r="EF11" s="203"/>
      <c r="EG11" s="203"/>
      <c r="EH11" s="176"/>
      <c r="EI11" s="176"/>
      <c r="EJ11" s="176"/>
      <c r="EK11" s="177" t="b">
        <v>0</v>
      </c>
      <c r="EL11" s="177" t="b">
        <v>0</v>
      </c>
      <c r="EM11" s="176" t="e">
        <f>(EH11-DW11)/DW11</f>
        <v>#DIV/0!</v>
      </c>
      <c r="EN11" s="176" t="e">
        <f>(EG11-DV11)/DV11</f>
        <v>#DIV/0!</v>
      </c>
      <c r="EO11" s="203">
        <f>ER11 + ABS(EP11) + ABS(EQ11)</f>
        <v>0</v>
      </c>
      <c r="EP11" s="203"/>
      <c r="EQ11" s="203"/>
      <c r="ER11" s="203"/>
      <c r="ES11" s="176"/>
      <c r="ET11" s="176"/>
      <c r="EU11" s="176"/>
      <c r="EV11" s="177" t="b">
        <v>0</v>
      </c>
      <c r="EW11" s="177" t="b">
        <v>0</v>
      </c>
      <c r="EX11" s="176" t="e">
        <f>(ES11-EJ11)/EJ11</f>
        <v>#DIV/0!</v>
      </c>
      <c r="EY11" s="176" t="e">
        <f>(ER11-EG11)/EG11</f>
        <v>#DIV/0!</v>
      </c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175"/>
      <c r="FQ11" s="801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</row>
    <row r="12" spans="1:221" ht="15">
      <c r="B12" s="175"/>
      <c r="C12" s="802" t="s">
        <v>189</v>
      </c>
      <c r="D12" s="154">
        <v>1450022</v>
      </c>
      <c r="E12" s="154">
        <v>50</v>
      </c>
      <c r="F12" s="154" t="s">
        <v>192</v>
      </c>
      <c r="G12" s="255" t="s">
        <v>193</v>
      </c>
      <c r="H12" s="171" t="s">
        <v>169</v>
      </c>
      <c r="I12" s="445" t="s">
        <v>170</v>
      </c>
      <c r="J12" s="154"/>
      <c r="K12" s="154"/>
      <c r="L12" s="154"/>
      <c r="M12" s="176"/>
      <c r="N12" s="418">
        <v>107</v>
      </c>
      <c r="O12" s="176"/>
      <c r="P12" s="203">
        <v>245.29</v>
      </c>
      <c r="Q12" s="203"/>
      <c r="R12" s="203">
        <v>4865</v>
      </c>
      <c r="S12" s="176">
        <v>208</v>
      </c>
      <c r="T12" s="188" t="s">
        <v>171</v>
      </c>
      <c r="U12" s="176"/>
      <c r="V12" s="176"/>
      <c r="W12" s="176"/>
      <c r="X12" s="203">
        <f t="shared" si="1"/>
        <v>5430.5199999999995</v>
      </c>
      <c r="Y12" s="203">
        <v>-260.66000000000003</v>
      </c>
      <c r="Z12" s="203">
        <v>0</v>
      </c>
      <c r="AA12" s="203">
        <v>5169.8599999999997</v>
      </c>
      <c r="AB12" s="154">
        <v>218</v>
      </c>
      <c r="AC12" s="444" t="s">
        <v>172</v>
      </c>
      <c r="AD12" s="444" t="s">
        <v>173</v>
      </c>
      <c r="AE12" s="177" t="b">
        <v>1</v>
      </c>
      <c r="AF12" s="177" t="b">
        <v>1</v>
      </c>
      <c r="AG12" s="392">
        <f>(AB12-S12)/S12</f>
        <v>4.807692307692308E-2</v>
      </c>
      <c r="AH12" s="392">
        <f>(AA12-R12)/R12</f>
        <v>6.2663926002055434E-2</v>
      </c>
      <c r="AI12" s="203">
        <f t="shared" si="2"/>
        <v>5591.4100000000008</v>
      </c>
      <c r="AJ12" s="368">
        <v>-268.39</v>
      </c>
      <c r="AK12" s="368">
        <v>0</v>
      </c>
      <c r="AL12" s="368">
        <v>5323.02</v>
      </c>
      <c r="AM12" s="1068">
        <v>215</v>
      </c>
      <c r="AN12" s="172">
        <v>46122</v>
      </c>
      <c r="AO12" s="171" t="s">
        <v>174</v>
      </c>
      <c r="AP12" s="861" t="b">
        <v>1</v>
      </c>
      <c r="AQ12" s="861" t="b">
        <v>1</v>
      </c>
      <c r="AR12" s="392">
        <f t="shared" si="0"/>
        <v>-1.3761467889908258E-2</v>
      </c>
      <c r="AS12" s="392">
        <f>(AL12-AA12)/AA12</f>
        <v>2.9625560460051291E-2</v>
      </c>
      <c r="AT12" s="203">
        <f t="shared" si="3"/>
        <v>0</v>
      </c>
      <c r="AU12" s="203"/>
      <c r="AV12" s="203"/>
      <c r="AW12" s="203"/>
      <c r="AX12" s="176"/>
      <c r="AY12" s="176"/>
      <c r="AZ12" s="176"/>
      <c r="BA12" s="177" t="b">
        <v>0</v>
      </c>
      <c r="BB12" s="177" t="b">
        <v>0</v>
      </c>
      <c r="BC12" s="176">
        <f>(AX12-AM12)/AM12</f>
        <v>-1</v>
      </c>
      <c r="BD12" s="176">
        <f>(AW12-AL12)/AL12</f>
        <v>-1</v>
      </c>
      <c r="BE12" s="203">
        <f>BH12 + ABS(BF12) + ABS(BG12)</f>
        <v>0</v>
      </c>
      <c r="BF12" s="203"/>
      <c r="BG12" s="203"/>
      <c r="BH12" s="203"/>
      <c r="BI12" s="176"/>
      <c r="BJ12" s="176"/>
      <c r="BK12" s="176"/>
      <c r="BL12" s="177" t="b">
        <v>0</v>
      </c>
      <c r="BM12" s="177" t="b">
        <v>0</v>
      </c>
      <c r="BN12" s="176" t="e">
        <f>(BI12-AZ12)/AZ12</f>
        <v>#DIV/0!</v>
      </c>
      <c r="BO12" s="176" t="e">
        <f>(BH12-AW12)/AW12</f>
        <v>#DIV/0!</v>
      </c>
      <c r="BP12" s="203">
        <f>BS12 + ABS(BQ12) + ABS(BR12)</f>
        <v>0</v>
      </c>
      <c r="BQ12" s="203"/>
      <c r="BR12" s="203"/>
      <c r="BS12" s="203"/>
      <c r="BT12" s="176"/>
      <c r="BU12" s="176"/>
      <c r="BV12" s="176"/>
      <c r="BW12" s="177" t="b">
        <v>0</v>
      </c>
      <c r="BX12" s="177" t="b">
        <v>0</v>
      </c>
      <c r="BY12" s="176" t="e">
        <f>(BT12-BI12)/BI12</f>
        <v>#DIV/0!</v>
      </c>
      <c r="BZ12" s="176" t="e">
        <f>(BS12-BH12)/BH12</f>
        <v>#DIV/0!</v>
      </c>
      <c r="CA12" s="203">
        <f>CD12 + ABS(CB12) + ABS(CC12)</f>
        <v>0</v>
      </c>
      <c r="CB12" s="203"/>
      <c r="CC12" s="203"/>
      <c r="CD12" s="203"/>
      <c r="CE12" s="176"/>
      <c r="CF12" s="176"/>
      <c r="CG12" s="176"/>
      <c r="CH12" s="177" t="b">
        <v>0</v>
      </c>
      <c r="CI12" s="177" t="b">
        <v>0</v>
      </c>
      <c r="CJ12" s="176" t="e">
        <f>(CE12-BV12)/BV12</f>
        <v>#DIV/0!</v>
      </c>
      <c r="CK12" s="176" t="e">
        <f>(CD12-BS12)/BS12</f>
        <v>#DIV/0!</v>
      </c>
      <c r="CL12" s="203">
        <f>CO12 + ABS(CM12) + ABS(CN12)</f>
        <v>0</v>
      </c>
      <c r="CM12" s="203"/>
      <c r="CN12" s="203"/>
      <c r="CO12" s="203"/>
      <c r="CP12" s="176"/>
      <c r="CQ12" s="176"/>
      <c r="CR12" s="176"/>
      <c r="CS12" s="177" t="b">
        <v>0</v>
      </c>
      <c r="CT12" s="177" t="b">
        <v>0</v>
      </c>
      <c r="CU12" s="176" t="e">
        <f>(CP12-CE12)/CE12</f>
        <v>#DIV/0!</v>
      </c>
      <c r="CV12" s="176" t="e">
        <f>(CO12-CD12)/CD12</f>
        <v>#DIV/0!</v>
      </c>
      <c r="CW12" s="203">
        <f>CZ12 + ABS(CX12) + ABS(CY12)</f>
        <v>0</v>
      </c>
      <c r="CX12" s="203"/>
      <c r="CY12" s="203"/>
      <c r="CZ12" s="203"/>
      <c r="DA12" s="176"/>
      <c r="DB12" s="176"/>
      <c r="DC12" s="176"/>
      <c r="DD12" s="177" t="b">
        <v>0</v>
      </c>
      <c r="DE12" s="177" t="b">
        <v>0</v>
      </c>
      <c r="DF12" s="176" t="e">
        <f>(DA12-CR12)/CR12</f>
        <v>#DIV/0!</v>
      </c>
      <c r="DG12" s="176" t="e">
        <f>(CZ12-CO12)/CO12</f>
        <v>#DIV/0!</v>
      </c>
      <c r="DH12" s="203">
        <f>DK12 + ABS(DI12) + ABS(DJ12)</f>
        <v>0</v>
      </c>
      <c r="DI12" s="203"/>
      <c r="DJ12" s="203"/>
      <c r="DK12" s="203"/>
      <c r="DL12" s="176"/>
      <c r="DM12" s="176"/>
      <c r="DN12" s="176"/>
      <c r="DO12" s="177" t="b">
        <v>0</v>
      </c>
      <c r="DP12" s="177" t="b">
        <v>0</v>
      </c>
      <c r="DQ12" s="176" t="e">
        <f>(DL12-DA12)/DA12</f>
        <v>#DIV/0!</v>
      </c>
      <c r="DR12" s="176" t="e">
        <f>(DK12-CZ12)/CZ12</f>
        <v>#DIV/0!</v>
      </c>
      <c r="DS12" s="203">
        <f>DV12 + ABS(DT12) + ABS(DU12)</f>
        <v>0</v>
      </c>
      <c r="DT12" s="203"/>
      <c r="DU12" s="203"/>
      <c r="DV12" s="203"/>
      <c r="DW12" s="176"/>
      <c r="DX12" s="176"/>
      <c r="DY12" s="176"/>
      <c r="DZ12" s="177" t="b">
        <v>0</v>
      </c>
      <c r="EA12" s="177" t="b">
        <v>0</v>
      </c>
      <c r="EB12" s="176" t="e">
        <f>(DW12-DN12)/DN12</f>
        <v>#DIV/0!</v>
      </c>
      <c r="EC12" s="176" t="e">
        <f>(DV12-DK12)/DK12</f>
        <v>#DIV/0!</v>
      </c>
      <c r="ED12" s="203">
        <f>EG12 + ABS(EE12) + ABS(EF12)</f>
        <v>0</v>
      </c>
      <c r="EE12" s="203"/>
      <c r="EF12" s="203"/>
      <c r="EG12" s="203"/>
      <c r="EH12" s="176"/>
      <c r="EI12" s="176"/>
      <c r="EJ12" s="176"/>
      <c r="EK12" s="177" t="b">
        <v>0</v>
      </c>
      <c r="EL12" s="177" t="b">
        <v>0</v>
      </c>
      <c r="EM12" s="176" t="e">
        <f>(EH12-DW12)/DW12</f>
        <v>#DIV/0!</v>
      </c>
      <c r="EN12" s="176" t="e">
        <f>(EG12-DV12)/DV12</f>
        <v>#DIV/0!</v>
      </c>
      <c r="EO12" s="203">
        <f>ER12 + ABS(EP12) + ABS(EQ12)</f>
        <v>0</v>
      </c>
      <c r="EP12" s="203"/>
      <c r="EQ12" s="203"/>
      <c r="ER12" s="203"/>
      <c r="ES12" s="176"/>
      <c r="ET12" s="176"/>
      <c r="EU12" s="176"/>
      <c r="EV12" s="177" t="b">
        <v>0</v>
      </c>
      <c r="EW12" s="177" t="b">
        <v>0</v>
      </c>
      <c r="EX12" s="176" t="e">
        <f>(ES12-EJ12)/EJ12</f>
        <v>#DIV/0!</v>
      </c>
      <c r="EY12" s="176" t="e">
        <f>(ER12-EG12)/EG12</f>
        <v>#DIV/0!</v>
      </c>
      <c r="EZ12" s="175"/>
      <c r="FA12" s="175"/>
      <c r="FB12" s="175"/>
      <c r="FC12" s="175"/>
      <c r="FD12" s="175"/>
      <c r="FE12" s="175"/>
      <c r="FF12" s="175"/>
      <c r="FG12" s="175"/>
      <c r="FH12" s="175"/>
      <c r="FI12" s="175"/>
      <c r="FJ12" s="175"/>
      <c r="FK12" s="175"/>
      <c r="FL12" s="175"/>
      <c r="FM12" s="175"/>
      <c r="FN12" s="175"/>
      <c r="FO12" s="175"/>
      <c r="FP12" s="175"/>
      <c r="FQ12" s="801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</row>
    <row r="13" spans="1:221" ht="15">
      <c r="B13" s="175"/>
      <c r="C13" s="800" t="s">
        <v>194</v>
      </c>
      <c r="D13" s="357">
        <v>1450022</v>
      </c>
      <c r="E13" s="357">
        <v>282</v>
      </c>
      <c r="F13" s="357" t="s">
        <v>195</v>
      </c>
      <c r="G13" s="426" t="s">
        <v>196</v>
      </c>
      <c r="H13" s="148" t="s">
        <v>169</v>
      </c>
      <c r="I13" s="448" t="s">
        <v>170</v>
      </c>
      <c r="J13" s="357"/>
      <c r="K13" s="357"/>
      <c r="L13" s="357"/>
      <c r="M13" s="358"/>
      <c r="N13" s="359">
        <v>107</v>
      </c>
      <c r="O13" s="358"/>
      <c r="P13" s="402">
        <v>45.95</v>
      </c>
      <c r="Q13" s="402"/>
      <c r="R13" s="402">
        <v>911.34</v>
      </c>
      <c r="S13" s="358">
        <v>48</v>
      </c>
      <c r="T13" s="188" t="s">
        <v>171</v>
      </c>
      <c r="U13" s="358"/>
      <c r="V13" s="358"/>
      <c r="W13" s="358"/>
      <c r="X13" s="402">
        <f t="shared" si="1"/>
        <v>883.43999999999994</v>
      </c>
      <c r="Y13" s="402">
        <v>-42.41</v>
      </c>
      <c r="Z13" s="402">
        <v>0</v>
      </c>
      <c r="AA13" s="402">
        <v>841.03</v>
      </c>
      <c r="AB13" s="357">
        <v>45</v>
      </c>
      <c r="AC13" s="426" t="s">
        <v>172</v>
      </c>
      <c r="AD13" s="426" t="s">
        <v>173</v>
      </c>
      <c r="AE13" s="164" t="b">
        <v>1</v>
      </c>
      <c r="AF13" s="164" t="b">
        <v>1</v>
      </c>
      <c r="AG13" s="409">
        <f>(AB13-S13)/S13</f>
        <v>-6.25E-2</v>
      </c>
      <c r="AH13" s="409">
        <f>(AA13-R13)/R13</f>
        <v>-7.7150130576952677E-2</v>
      </c>
      <c r="AI13" s="402">
        <f t="shared" si="2"/>
        <v>985.81000000000006</v>
      </c>
      <c r="AJ13" s="364">
        <v>-47.32</v>
      </c>
      <c r="AK13" s="364">
        <v>0</v>
      </c>
      <c r="AL13" s="364">
        <v>938.49</v>
      </c>
      <c r="AM13" s="1069">
        <v>47</v>
      </c>
      <c r="AN13" s="407">
        <v>46122</v>
      </c>
      <c r="AO13" s="148" t="s">
        <v>174</v>
      </c>
      <c r="AP13" s="860" t="b">
        <v>1</v>
      </c>
      <c r="AQ13" s="860" t="b">
        <v>1</v>
      </c>
      <c r="AR13" s="409">
        <f t="shared" si="0"/>
        <v>4.4444444444444446E-2</v>
      </c>
      <c r="AS13" s="409">
        <f>(AL13-AA13)/AA13</f>
        <v>0.11588171646671348</v>
      </c>
      <c r="AT13" s="402">
        <f t="shared" si="3"/>
        <v>0</v>
      </c>
      <c r="AU13" s="402"/>
      <c r="AV13" s="402"/>
      <c r="AW13" s="402"/>
      <c r="AX13" s="358"/>
      <c r="AY13" s="358"/>
      <c r="AZ13" s="358"/>
      <c r="BA13" s="164" t="b">
        <v>0</v>
      </c>
      <c r="BB13" s="164" t="b">
        <v>0</v>
      </c>
      <c r="BC13" s="358">
        <f>(AX13-AM13)/AM13</f>
        <v>-1</v>
      </c>
      <c r="BD13" s="358">
        <f>(AW13-AL13)/AL13</f>
        <v>-1</v>
      </c>
      <c r="BE13" s="402">
        <f>BH13 + ABS(BF13) + ABS(BG13)</f>
        <v>0</v>
      </c>
      <c r="BF13" s="402"/>
      <c r="BG13" s="402"/>
      <c r="BH13" s="402"/>
      <c r="BI13" s="358"/>
      <c r="BJ13" s="358"/>
      <c r="BK13" s="358"/>
      <c r="BL13" s="164" t="b">
        <v>0</v>
      </c>
      <c r="BM13" s="164" t="b">
        <v>0</v>
      </c>
      <c r="BN13" s="358" t="e">
        <f>(BI13-AZ13)/AZ13</f>
        <v>#DIV/0!</v>
      </c>
      <c r="BO13" s="358" t="e">
        <f>(BH13-AW13)/AW13</f>
        <v>#DIV/0!</v>
      </c>
      <c r="BP13" s="402">
        <f>BS13 + ABS(BQ13) + ABS(BR13)</f>
        <v>0</v>
      </c>
      <c r="BQ13" s="402"/>
      <c r="BR13" s="402"/>
      <c r="BS13" s="402"/>
      <c r="BT13" s="358"/>
      <c r="BU13" s="358"/>
      <c r="BV13" s="358"/>
      <c r="BW13" s="164" t="b">
        <v>0</v>
      </c>
      <c r="BX13" s="164" t="b">
        <v>0</v>
      </c>
      <c r="BY13" s="358" t="e">
        <f>(BT13-BI13)/BI13</f>
        <v>#DIV/0!</v>
      </c>
      <c r="BZ13" s="358" t="e">
        <f>(BS13-BH13)/BH13</f>
        <v>#DIV/0!</v>
      </c>
      <c r="CA13" s="402">
        <f>CD13 + ABS(CB13) + ABS(CC13)</f>
        <v>0</v>
      </c>
      <c r="CB13" s="402"/>
      <c r="CC13" s="402"/>
      <c r="CD13" s="402"/>
      <c r="CE13" s="358"/>
      <c r="CF13" s="358"/>
      <c r="CG13" s="358"/>
      <c r="CH13" s="164" t="b">
        <v>0</v>
      </c>
      <c r="CI13" s="164" t="b">
        <v>0</v>
      </c>
      <c r="CJ13" s="358" t="e">
        <f>(CE13-BV13)/BV13</f>
        <v>#DIV/0!</v>
      </c>
      <c r="CK13" s="358" t="e">
        <f>(CD13-BS13)/BS13</f>
        <v>#DIV/0!</v>
      </c>
      <c r="CL13" s="402">
        <f>CO13 + ABS(CM13) + ABS(CN13)</f>
        <v>0</v>
      </c>
      <c r="CM13" s="402"/>
      <c r="CN13" s="402"/>
      <c r="CO13" s="402"/>
      <c r="CP13" s="358"/>
      <c r="CQ13" s="358"/>
      <c r="CR13" s="358"/>
      <c r="CS13" s="164" t="b">
        <v>0</v>
      </c>
      <c r="CT13" s="164" t="b">
        <v>0</v>
      </c>
      <c r="CU13" s="358" t="e">
        <f>(CP13-CE13)/CE13</f>
        <v>#DIV/0!</v>
      </c>
      <c r="CV13" s="358" t="e">
        <f>(CO13-CD13)/CD13</f>
        <v>#DIV/0!</v>
      </c>
      <c r="CW13" s="402">
        <f>CZ13 + ABS(CX13) + ABS(CY13)</f>
        <v>0</v>
      </c>
      <c r="CX13" s="402"/>
      <c r="CY13" s="402"/>
      <c r="CZ13" s="402"/>
      <c r="DA13" s="358"/>
      <c r="DB13" s="358"/>
      <c r="DC13" s="358"/>
      <c r="DD13" s="164" t="b">
        <v>0</v>
      </c>
      <c r="DE13" s="164" t="b">
        <v>0</v>
      </c>
      <c r="DF13" s="358" t="e">
        <f>(DA13-CR13)/CR13</f>
        <v>#DIV/0!</v>
      </c>
      <c r="DG13" s="358" t="e">
        <f>(CZ13-CO13)/CO13</f>
        <v>#DIV/0!</v>
      </c>
      <c r="DH13" s="402">
        <f>DK13 + ABS(DI13) + ABS(DJ13)</f>
        <v>0</v>
      </c>
      <c r="DI13" s="402"/>
      <c r="DJ13" s="402"/>
      <c r="DK13" s="402"/>
      <c r="DL13" s="358"/>
      <c r="DM13" s="358"/>
      <c r="DN13" s="358"/>
      <c r="DO13" s="164" t="b">
        <v>0</v>
      </c>
      <c r="DP13" s="164" t="b">
        <v>0</v>
      </c>
      <c r="DQ13" s="358" t="e">
        <f>(DL13-DA13)/DA13</f>
        <v>#DIV/0!</v>
      </c>
      <c r="DR13" s="358" t="e">
        <f>(DK13-CZ13)/CZ13</f>
        <v>#DIV/0!</v>
      </c>
      <c r="DS13" s="402">
        <f>DV13 + ABS(DT13) + ABS(DU13)</f>
        <v>0</v>
      </c>
      <c r="DT13" s="402"/>
      <c r="DU13" s="402"/>
      <c r="DV13" s="402"/>
      <c r="DW13" s="358"/>
      <c r="DX13" s="358"/>
      <c r="DY13" s="358"/>
      <c r="DZ13" s="164" t="b">
        <v>0</v>
      </c>
      <c r="EA13" s="164" t="b">
        <v>0</v>
      </c>
      <c r="EB13" s="358" t="e">
        <f>(DW13-DN13)/DN13</f>
        <v>#DIV/0!</v>
      </c>
      <c r="EC13" s="358" t="e">
        <f>(DV13-DK13)/DK13</f>
        <v>#DIV/0!</v>
      </c>
      <c r="ED13" s="402">
        <f>EG13 + ABS(EE13) + ABS(EF13)</f>
        <v>0</v>
      </c>
      <c r="EE13" s="402"/>
      <c r="EF13" s="402"/>
      <c r="EG13" s="402"/>
      <c r="EH13" s="358"/>
      <c r="EI13" s="358"/>
      <c r="EJ13" s="358"/>
      <c r="EK13" s="164" t="b">
        <v>0</v>
      </c>
      <c r="EL13" s="164" t="b">
        <v>0</v>
      </c>
      <c r="EM13" s="358" t="e">
        <f>(EH13-DW13)/DW13</f>
        <v>#DIV/0!</v>
      </c>
      <c r="EN13" s="358" t="e">
        <f>(EG13-DV13)/DV13</f>
        <v>#DIV/0!</v>
      </c>
      <c r="EO13" s="402">
        <f>ER13 + ABS(EP13) + ABS(EQ13)</f>
        <v>0</v>
      </c>
      <c r="EP13" s="402"/>
      <c r="EQ13" s="402"/>
      <c r="ER13" s="402"/>
      <c r="ES13" s="358"/>
      <c r="ET13" s="358"/>
      <c r="EU13" s="358"/>
      <c r="EV13" s="164" t="b">
        <v>0</v>
      </c>
      <c r="EW13" s="164" t="b">
        <v>0</v>
      </c>
      <c r="EX13" s="358" t="e">
        <f>(ES13-EJ13)/EJ13</f>
        <v>#DIV/0!</v>
      </c>
      <c r="EY13" s="358" t="e">
        <f>(ER13-EG13)/EG13</f>
        <v>#DIV/0!</v>
      </c>
      <c r="EZ13" s="449"/>
      <c r="FA13" s="449"/>
      <c r="FB13" s="449"/>
      <c r="FC13" s="449"/>
      <c r="FD13" s="449"/>
      <c r="FE13" s="449"/>
      <c r="FF13" s="449"/>
      <c r="FG13" s="449"/>
      <c r="FH13" s="449"/>
      <c r="FI13" s="449"/>
      <c r="FJ13" s="449"/>
      <c r="FK13" s="449"/>
      <c r="FL13" s="449"/>
      <c r="FM13" s="449"/>
      <c r="FN13" s="449"/>
      <c r="FO13" s="175"/>
      <c r="FP13" s="175"/>
      <c r="FQ13" s="801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</row>
    <row r="14" spans="1:221" ht="15">
      <c r="B14" s="175"/>
      <c r="C14" s="802" t="s">
        <v>197</v>
      </c>
      <c r="D14" s="154">
        <v>1450022</v>
      </c>
      <c r="E14" s="154">
        <v>85</v>
      </c>
      <c r="F14" s="154" t="s">
        <v>198</v>
      </c>
      <c r="G14" s="255" t="s">
        <v>199</v>
      </c>
      <c r="H14" s="171" t="s">
        <v>169</v>
      </c>
      <c r="I14" s="445" t="s">
        <v>170</v>
      </c>
      <c r="J14" s="154"/>
      <c r="K14" s="154"/>
      <c r="L14" s="154"/>
      <c r="M14" s="176"/>
      <c r="N14" s="418">
        <v>107</v>
      </c>
      <c r="O14" s="176"/>
      <c r="P14" s="203">
        <v>9263.7000000000007</v>
      </c>
      <c r="Q14" s="203"/>
      <c r="R14" s="203">
        <v>183730.14</v>
      </c>
      <c r="S14" s="176">
        <v>6418</v>
      </c>
      <c r="T14" s="188" t="s">
        <v>171</v>
      </c>
      <c r="U14" s="176"/>
      <c r="V14" s="176"/>
      <c r="W14" s="176"/>
      <c r="X14" s="203">
        <f t="shared" si="1"/>
        <v>237196.38999999998</v>
      </c>
      <c r="Y14" s="203">
        <v>-11385.43</v>
      </c>
      <c r="Z14" s="203">
        <v>0</v>
      </c>
      <c r="AA14" s="203">
        <v>225810.96</v>
      </c>
      <c r="AB14" s="446">
        <v>7879</v>
      </c>
      <c r="AC14" s="444" t="s">
        <v>172</v>
      </c>
      <c r="AD14" s="444" t="s">
        <v>173</v>
      </c>
      <c r="AE14" s="177" t="b">
        <v>1</v>
      </c>
      <c r="AF14" s="177" t="b">
        <v>1</v>
      </c>
      <c r="AG14" s="392">
        <f>(AB14-S14)/S14</f>
        <v>0.22764100966033032</v>
      </c>
      <c r="AH14" s="392">
        <f>(AA14-R14)/R14</f>
        <v>0.22903601989308872</v>
      </c>
      <c r="AI14" s="203">
        <f t="shared" si="2"/>
        <v>232539.57</v>
      </c>
      <c r="AJ14" s="368">
        <v>-11161.9</v>
      </c>
      <c r="AK14" s="368">
        <v>0</v>
      </c>
      <c r="AL14" s="368">
        <v>221377.67</v>
      </c>
      <c r="AM14" s="1068">
        <v>7522</v>
      </c>
      <c r="AN14" s="172">
        <v>46122</v>
      </c>
      <c r="AO14" s="171" t="s">
        <v>174</v>
      </c>
      <c r="AP14" s="861" t="b">
        <v>1</v>
      </c>
      <c r="AQ14" s="861" t="b">
        <v>1</v>
      </c>
      <c r="AR14" s="392">
        <f t="shared" si="0"/>
        <v>-4.5310318568346233E-2</v>
      </c>
      <c r="AS14" s="392">
        <f>(AL14-AA14)/AA14</f>
        <v>-1.963274944670524E-2</v>
      </c>
      <c r="AT14" s="203">
        <f t="shared" si="3"/>
        <v>0</v>
      </c>
      <c r="AU14" s="203"/>
      <c r="AV14" s="203"/>
      <c r="AW14" s="203"/>
      <c r="AX14" s="176"/>
      <c r="AY14" s="176"/>
      <c r="AZ14" s="176"/>
      <c r="BA14" s="177" t="b">
        <v>0</v>
      </c>
      <c r="BB14" s="177" t="b">
        <v>0</v>
      </c>
      <c r="BC14" s="176">
        <f>(AX14-AM14)/AM14</f>
        <v>-1</v>
      </c>
      <c r="BD14" s="176">
        <f>(AW14-AL14)/AL14</f>
        <v>-1</v>
      </c>
      <c r="BE14" s="203">
        <f>BH14 + ABS(BF14) + ABS(BG14)</f>
        <v>0</v>
      </c>
      <c r="BF14" s="203"/>
      <c r="BG14" s="203"/>
      <c r="BH14" s="203"/>
      <c r="BI14" s="176"/>
      <c r="BJ14" s="176"/>
      <c r="BK14" s="176"/>
      <c r="BL14" s="177" t="b">
        <v>0</v>
      </c>
      <c r="BM14" s="177" t="b">
        <v>0</v>
      </c>
      <c r="BN14" s="176" t="e">
        <f>(BI14-AZ14)/AZ14</f>
        <v>#DIV/0!</v>
      </c>
      <c r="BO14" s="176" t="e">
        <f>(BH14-AW14)/AW14</f>
        <v>#DIV/0!</v>
      </c>
      <c r="BP14" s="203">
        <f>BS14 + ABS(BQ14) + ABS(BR14)</f>
        <v>0</v>
      </c>
      <c r="BQ14" s="203"/>
      <c r="BR14" s="203"/>
      <c r="BS14" s="203"/>
      <c r="BT14" s="176"/>
      <c r="BU14" s="176"/>
      <c r="BV14" s="176"/>
      <c r="BW14" s="177" t="b">
        <v>0</v>
      </c>
      <c r="BX14" s="177" t="b">
        <v>0</v>
      </c>
      <c r="BY14" s="176" t="e">
        <f>(BT14-BI14)/BI14</f>
        <v>#DIV/0!</v>
      </c>
      <c r="BZ14" s="176" t="e">
        <f>(BS14-BH14)/BH14</f>
        <v>#DIV/0!</v>
      </c>
      <c r="CA14" s="203">
        <f>CD14 + ABS(CB14) + ABS(CC14)</f>
        <v>0</v>
      </c>
      <c r="CB14" s="203"/>
      <c r="CC14" s="203"/>
      <c r="CD14" s="203"/>
      <c r="CE14" s="176"/>
      <c r="CF14" s="176"/>
      <c r="CG14" s="176"/>
      <c r="CH14" s="177" t="b">
        <v>0</v>
      </c>
      <c r="CI14" s="177" t="b">
        <v>0</v>
      </c>
      <c r="CJ14" s="176" t="e">
        <f>(CE14-BV14)/BV14</f>
        <v>#DIV/0!</v>
      </c>
      <c r="CK14" s="176" t="e">
        <f>(CD14-BS14)/BS14</f>
        <v>#DIV/0!</v>
      </c>
      <c r="CL14" s="203">
        <f>CO14 + ABS(CM14) + ABS(CN14)</f>
        <v>0</v>
      </c>
      <c r="CM14" s="203"/>
      <c r="CN14" s="203"/>
      <c r="CO14" s="203"/>
      <c r="CP14" s="176"/>
      <c r="CQ14" s="176"/>
      <c r="CR14" s="176"/>
      <c r="CS14" s="177" t="b">
        <v>0</v>
      </c>
      <c r="CT14" s="177" t="b">
        <v>0</v>
      </c>
      <c r="CU14" s="176" t="e">
        <f>(CP14-CE14)/CE14</f>
        <v>#DIV/0!</v>
      </c>
      <c r="CV14" s="176" t="e">
        <f>(CO14-CD14)/CD14</f>
        <v>#DIV/0!</v>
      </c>
      <c r="CW14" s="203">
        <f>CZ14 + ABS(CX14) + ABS(CY14)</f>
        <v>0</v>
      </c>
      <c r="CX14" s="203"/>
      <c r="CY14" s="203"/>
      <c r="CZ14" s="203"/>
      <c r="DA14" s="176"/>
      <c r="DB14" s="176"/>
      <c r="DC14" s="176"/>
      <c r="DD14" s="177" t="b">
        <v>0</v>
      </c>
      <c r="DE14" s="177" t="b">
        <v>0</v>
      </c>
      <c r="DF14" s="176" t="e">
        <f>(DA14-CR14)/CR14</f>
        <v>#DIV/0!</v>
      </c>
      <c r="DG14" s="176" t="e">
        <f>(CZ14-CO14)/CO14</f>
        <v>#DIV/0!</v>
      </c>
      <c r="DH14" s="203">
        <f>DK14 + ABS(DI14) + ABS(DJ14)</f>
        <v>0</v>
      </c>
      <c r="DI14" s="203"/>
      <c r="DJ14" s="203"/>
      <c r="DK14" s="203"/>
      <c r="DL14" s="176"/>
      <c r="DM14" s="176"/>
      <c r="DN14" s="176"/>
      <c r="DO14" s="177" t="b">
        <v>0</v>
      </c>
      <c r="DP14" s="177" t="b">
        <v>0</v>
      </c>
      <c r="DQ14" s="176" t="e">
        <f>(DL14-DA14)/DA14</f>
        <v>#DIV/0!</v>
      </c>
      <c r="DR14" s="176" t="e">
        <f>(DK14-CZ14)/CZ14</f>
        <v>#DIV/0!</v>
      </c>
      <c r="DS14" s="203">
        <f>DV14 + ABS(DT14) + ABS(DU14)</f>
        <v>0</v>
      </c>
      <c r="DT14" s="203"/>
      <c r="DU14" s="203"/>
      <c r="DV14" s="203"/>
      <c r="DW14" s="176"/>
      <c r="DX14" s="176"/>
      <c r="DY14" s="176"/>
      <c r="DZ14" s="177" t="b">
        <v>0</v>
      </c>
      <c r="EA14" s="177" t="b">
        <v>0</v>
      </c>
      <c r="EB14" s="176" t="e">
        <f>(DW14-DN14)/DN14</f>
        <v>#DIV/0!</v>
      </c>
      <c r="EC14" s="176" t="e">
        <f>(DV14-DK14)/DK14</f>
        <v>#DIV/0!</v>
      </c>
      <c r="ED14" s="203">
        <f>EG14 + ABS(EE14) + ABS(EF14)</f>
        <v>0</v>
      </c>
      <c r="EE14" s="203"/>
      <c r="EF14" s="203"/>
      <c r="EG14" s="203"/>
      <c r="EH14" s="176"/>
      <c r="EI14" s="176"/>
      <c r="EJ14" s="176"/>
      <c r="EK14" s="177" t="b">
        <v>0</v>
      </c>
      <c r="EL14" s="177" t="b">
        <v>0</v>
      </c>
      <c r="EM14" s="176" t="e">
        <f>(EH14-DW14)/DW14</f>
        <v>#DIV/0!</v>
      </c>
      <c r="EN14" s="176" t="e">
        <f>(EG14-DV14)/DV14</f>
        <v>#DIV/0!</v>
      </c>
      <c r="EO14" s="203">
        <f>ER14 + ABS(EP14) + ABS(EQ14)</f>
        <v>0</v>
      </c>
      <c r="EP14" s="203"/>
      <c r="EQ14" s="203"/>
      <c r="ER14" s="203"/>
      <c r="ES14" s="176"/>
      <c r="ET14" s="176"/>
      <c r="EU14" s="176"/>
      <c r="EV14" s="177" t="b">
        <v>0</v>
      </c>
      <c r="EW14" s="177" t="b">
        <v>0</v>
      </c>
      <c r="EX14" s="176" t="e">
        <f>(ES14-EJ14)/EJ14</f>
        <v>#DIV/0!</v>
      </c>
      <c r="EY14" s="176" t="e">
        <f>(ER14-EG14)/EG14</f>
        <v>#DIV/0!</v>
      </c>
      <c r="EZ14" s="175"/>
      <c r="FA14" s="175"/>
      <c r="FB14" s="175"/>
      <c r="FC14" s="175"/>
      <c r="FD14" s="175"/>
      <c r="FE14" s="175"/>
      <c r="FF14" s="175"/>
      <c r="FG14" s="175"/>
      <c r="FH14" s="175"/>
      <c r="FI14" s="175"/>
      <c r="FJ14" s="175"/>
      <c r="FK14" s="175"/>
      <c r="FL14" s="175"/>
      <c r="FM14" s="175"/>
      <c r="FN14" s="175"/>
      <c r="FO14" s="175"/>
      <c r="FP14" s="175"/>
      <c r="FQ14" s="801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</row>
    <row r="15" spans="1:221" ht="15">
      <c r="B15" s="175"/>
      <c r="C15" s="800" t="s">
        <v>200</v>
      </c>
      <c r="D15" s="357">
        <v>1450022</v>
      </c>
      <c r="E15" s="357">
        <v>136</v>
      </c>
      <c r="F15" s="357" t="s">
        <v>201</v>
      </c>
      <c r="G15" s="426" t="s">
        <v>202</v>
      </c>
      <c r="H15" s="148" t="s">
        <v>169</v>
      </c>
      <c r="I15" s="448" t="s">
        <v>170</v>
      </c>
      <c r="J15" s="357"/>
      <c r="K15" s="357"/>
      <c r="L15" s="357"/>
      <c r="M15" s="358"/>
      <c r="N15" s="359">
        <v>107</v>
      </c>
      <c r="O15" s="358"/>
      <c r="P15" s="402">
        <v>284.5</v>
      </c>
      <c r="Q15" s="402"/>
      <c r="R15" s="402">
        <v>5642.68</v>
      </c>
      <c r="S15" s="358">
        <v>235</v>
      </c>
      <c r="T15" s="188" t="s">
        <v>171</v>
      </c>
      <c r="U15" s="358"/>
      <c r="V15" s="358"/>
      <c r="W15" s="358"/>
      <c r="X15" s="402">
        <f t="shared" si="1"/>
        <v>16758.46</v>
      </c>
      <c r="Y15" s="402">
        <v>-804.41</v>
      </c>
      <c r="Z15" s="402">
        <v>0</v>
      </c>
      <c r="AA15" s="402">
        <v>15954.05</v>
      </c>
      <c r="AB15" s="357">
        <v>593</v>
      </c>
      <c r="AC15" s="426" t="s">
        <v>172</v>
      </c>
      <c r="AD15" s="426" t="s">
        <v>173</v>
      </c>
      <c r="AE15" s="164" t="b">
        <v>1</v>
      </c>
      <c r="AF15" s="164" t="b">
        <v>1</v>
      </c>
      <c r="AG15" s="409">
        <f>(AB15-S15)/S15</f>
        <v>1.5234042553191489</v>
      </c>
      <c r="AH15" s="409">
        <f>(AA15-R15)/R15</f>
        <v>1.8273887585331789</v>
      </c>
      <c r="AI15" s="402">
        <f t="shared" si="2"/>
        <v>16160.55</v>
      </c>
      <c r="AJ15" s="364">
        <v>-775.71</v>
      </c>
      <c r="AK15" s="364">
        <v>0</v>
      </c>
      <c r="AL15" s="364">
        <v>15384.84</v>
      </c>
      <c r="AM15" s="1069">
        <v>553</v>
      </c>
      <c r="AN15" s="407">
        <v>46122</v>
      </c>
      <c r="AO15" s="148" t="s">
        <v>174</v>
      </c>
      <c r="AP15" s="860" t="b">
        <v>1</v>
      </c>
      <c r="AQ15" s="860" t="b">
        <v>1</v>
      </c>
      <c r="AR15" s="409">
        <f t="shared" si="0"/>
        <v>-6.7453625632377737E-2</v>
      </c>
      <c r="AS15" s="409">
        <f>(AL15-AA15)/AA15</f>
        <v>-3.5678088009000797E-2</v>
      </c>
      <c r="AT15" s="402">
        <f t="shared" si="3"/>
        <v>0</v>
      </c>
      <c r="AU15" s="402"/>
      <c r="AV15" s="402"/>
      <c r="AW15" s="402"/>
      <c r="AX15" s="358"/>
      <c r="AY15" s="358"/>
      <c r="AZ15" s="358"/>
      <c r="BA15" s="164" t="b">
        <v>0</v>
      </c>
      <c r="BB15" s="164" t="b">
        <v>0</v>
      </c>
      <c r="BC15" s="358">
        <f>(AX15-AM15)/AM15</f>
        <v>-1</v>
      </c>
      <c r="BD15" s="358">
        <f>(AW15-AL15)/AL15</f>
        <v>-1</v>
      </c>
      <c r="BE15" s="402">
        <f>BH15 + ABS(BF15) + ABS(BG15)</f>
        <v>0</v>
      </c>
      <c r="BF15" s="402"/>
      <c r="BG15" s="402"/>
      <c r="BH15" s="402"/>
      <c r="BI15" s="358"/>
      <c r="BJ15" s="358"/>
      <c r="BK15" s="358"/>
      <c r="BL15" s="164" t="b">
        <v>0</v>
      </c>
      <c r="BM15" s="164" t="b">
        <v>0</v>
      </c>
      <c r="BN15" s="358" t="e">
        <f>(BI15-AZ15)/AZ15</f>
        <v>#DIV/0!</v>
      </c>
      <c r="BO15" s="358" t="e">
        <f>(BH15-AW15)/AW15</f>
        <v>#DIV/0!</v>
      </c>
      <c r="BP15" s="402">
        <f>BS15 + ABS(BQ15) + ABS(BR15)</f>
        <v>0</v>
      </c>
      <c r="BQ15" s="402"/>
      <c r="BR15" s="402"/>
      <c r="BS15" s="402"/>
      <c r="BT15" s="358"/>
      <c r="BU15" s="358"/>
      <c r="BV15" s="358"/>
      <c r="BW15" s="164" t="b">
        <v>0</v>
      </c>
      <c r="BX15" s="164" t="b">
        <v>0</v>
      </c>
      <c r="BY15" s="358" t="e">
        <f>(BT15-BI15)/BI15</f>
        <v>#DIV/0!</v>
      </c>
      <c r="BZ15" s="358" t="e">
        <f>(BS15-BH15)/BH15</f>
        <v>#DIV/0!</v>
      </c>
      <c r="CA15" s="402">
        <f>CD15 + ABS(CB15) + ABS(CC15)</f>
        <v>0</v>
      </c>
      <c r="CB15" s="402"/>
      <c r="CC15" s="402"/>
      <c r="CD15" s="402"/>
      <c r="CE15" s="358"/>
      <c r="CF15" s="358"/>
      <c r="CG15" s="358"/>
      <c r="CH15" s="164" t="b">
        <v>0</v>
      </c>
      <c r="CI15" s="164" t="b">
        <v>0</v>
      </c>
      <c r="CJ15" s="358" t="e">
        <f>(CE15-BV15)/BV15</f>
        <v>#DIV/0!</v>
      </c>
      <c r="CK15" s="358" t="e">
        <f>(CD15-BS15)/BS15</f>
        <v>#DIV/0!</v>
      </c>
      <c r="CL15" s="402">
        <f>CO15 + ABS(CM15) + ABS(CN15)</f>
        <v>0</v>
      </c>
      <c r="CM15" s="402"/>
      <c r="CN15" s="402"/>
      <c r="CO15" s="402"/>
      <c r="CP15" s="358"/>
      <c r="CQ15" s="358"/>
      <c r="CR15" s="358"/>
      <c r="CS15" s="164" t="b">
        <v>0</v>
      </c>
      <c r="CT15" s="164" t="b">
        <v>0</v>
      </c>
      <c r="CU15" s="358" t="e">
        <f>(CP15-CE15)/CE15</f>
        <v>#DIV/0!</v>
      </c>
      <c r="CV15" s="358" t="e">
        <f>(CO15-CD15)/CD15</f>
        <v>#DIV/0!</v>
      </c>
      <c r="CW15" s="402">
        <f>CZ15 + ABS(CX15) + ABS(CY15)</f>
        <v>0</v>
      </c>
      <c r="CX15" s="402"/>
      <c r="CY15" s="402"/>
      <c r="CZ15" s="402"/>
      <c r="DA15" s="358"/>
      <c r="DB15" s="358"/>
      <c r="DC15" s="358"/>
      <c r="DD15" s="164" t="b">
        <v>0</v>
      </c>
      <c r="DE15" s="164" t="b">
        <v>0</v>
      </c>
      <c r="DF15" s="358" t="e">
        <f>(DA15-CR15)/CR15</f>
        <v>#DIV/0!</v>
      </c>
      <c r="DG15" s="358" t="e">
        <f>(CZ15-CO15)/CO15</f>
        <v>#DIV/0!</v>
      </c>
      <c r="DH15" s="402">
        <f>DK15 + ABS(DI15) + ABS(DJ15)</f>
        <v>0</v>
      </c>
      <c r="DI15" s="402"/>
      <c r="DJ15" s="402"/>
      <c r="DK15" s="402"/>
      <c r="DL15" s="358"/>
      <c r="DM15" s="358"/>
      <c r="DN15" s="358"/>
      <c r="DO15" s="164" t="b">
        <v>0</v>
      </c>
      <c r="DP15" s="164" t="b">
        <v>0</v>
      </c>
      <c r="DQ15" s="358" t="e">
        <f>(DL15-DA15)/DA15</f>
        <v>#DIV/0!</v>
      </c>
      <c r="DR15" s="358" t="e">
        <f>(DK15-CZ15)/CZ15</f>
        <v>#DIV/0!</v>
      </c>
      <c r="DS15" s="402">
        <f>DV15 + ABS(DT15) + ABS(DU15)</f>
        <v>0</v>
      </c>
      <c r="DT15" s="402"/>
      <c r="DU15" s="402"/>
      <c r="DV15" s="402"/>
      <c r="DW15" s="358"/>
      <c r="DX15" s="358"/>
      <c r="DY15" s="358"/>
      <c r="DZ15" s="164" t="b">
        <v>0</v>
      </c>
      <c r="EA15" s="164" t="b">
        <v>0</v>
      </c>
      <c r="EB15" s="358" t="e">
        <f>(DW15-DN15)/DN15</f>
        <v>#DIV/0!</v>
      </c>
      <c r="EC15" s="358" t="e">
        <f>(DV15-DK15)/DK15</f>
        <v>#DIV/0!</v>
      </c>
      <c r="ED15" s="402">
        <f>EG15 + ABS(EE15) + ABS(EF15)</f>
        <v>0</v>
      </c>
      <c r="EE15" s="402"/>
      <c r="EF15" s="402"/>
      <c r="EG15" s="402"/>
      <c r="EH15" s="358"/>
      <c r="EI15" s="358"/>
      <c r="EJ15" s="358"/>
      <c r="EK15" s="164" t="b">
        <v>0</v>
      </c>
      <c r="EL15" s="164" t="b">
        <v>0</v>
      </c>
      <c r="EM15" s="358" t="e">
        <f>(EH15-DW15)/DW15</f>
        <v>#DIV/0!</v>
      </c>
      <c r="EN15" s="358" t="e">
        <f>(EG15-DV15)/DV15</f>
        <v>#DIV/0!</v>
      </c>
      <c r="EO15" s="402">
        <f>ER15 + ABS(EP15) + ABS(EQ15)</f>
        <v>0</v>
      </c>
      <c r="EP15" s="402"/>
      <c r="EQ15" s="402"/>
      <c r="ER15" s="402"/>
      <c r="ES15" s="358"/>
      <c r="ET15" s="358"/>
      <c r="EU15" s="358"/>
      <c r="EV15" s="164" t="b">
        <v>0</v>
      </c>
      <c r="EW15" s="164" t="b">
        <v>0</v>
      </c>
      <c r="EX15" s="358" t="e">
        <f>(ES15-EJ15)/EJ15</f>
        <v>#DIV/0!</v>
      </c>
      <c r="EY15" s="358" t="e">
        <f>(ER15-EG15)/EG15</f>
        <v>#DIV/0!</v>
      </c>
      <c r="EZ15" s="449"/>
      <c r="FA15" s="449"/>
      <c r="FB15" s="449"/>
      <c r="FC15" s="449"/>
      <c r="FD15" s="449"/>
      <c r="FE15" s="449"/>
      <c r="FF15" s="449"/>
      <c r="FG15" s="449"/>
      <c r="FH15" s="449"/>
      <c r="FI15" s="449"/>
      <c r="FJ15" s="449"/>
      <c r="FK15" s="449"/>
      <c r="FL15" s="449"/>
      <c r="FM15" s="449"/>
      <c r="FN15" s="175"/>
      <c r="FO15" s="175"/>
      <c r="FP15" s="175"/>
      <c r="FQ15" s="801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  <c r="GH15" s="175"/>
      <c r="GI15" s="175"/>
      <c r="GJ15" s="175"/>
      <c r="GK15" s="175"/>
      <c r="GL15" s="175"/>
      <c r="GM15" s="175"/>
      <c r="GN15" s="175"/>
      <c r="GO15" s="175"/>
      <c r="GP15" s="175"/>
      <c r="GQ15" s="175"/>
      <c r="GR15" s="175"/>
      <c r="GS15" s="175"/>
      <c r="GT15" s="175"/>
      <c r="GU15" s="175"/>
      <c r="GV15" s="175"/>
      <c r="GW15" s="175"/>
      <c r="GX15" s="175"/>
      <c r="GY15" s="175"/>
      <c r="GZ15" s="175"/>
      <c r="HA15" s="175"/>
      <c r="HB15" s="175"/>
      <c r="HC15" s="175"/>
      <c r="HD15" s="175"/>
      <c r="HE15" s="175"/>
      <c r="HF15" s="175"/>
      <c r="HG15" s="175"/>
      <c r="HH15" s="175"/>
      <c r="HI15" s="175"/>
      <c r="HJ15" s="175"/>
      <c r="HK15" s="175"/>
      <c r="HL15" s="175"/>
      <c r="HM15" s="175"/>
    </row>
    <row r="16" spans="1:221" ht="15">
      <c r="B16" s="175"/>
      <c r="C16" s="802" t="s">
        <v>203</v>
      </c>
      <c r="D16" s="154">
        <v>1450022</v>
      </c>
      <c r="E16" s="154">
        <v>86</v>
      </c>
      <c r="F16" s="154" t="s">
        <v>204</v>
      </c>
      <c r="G16" s="255" t="s">
        <v>205</v>
      </c>
      <c r="H16" s="171" t="s">
        <v>169</v>
      </c>
      <c r="I16" s="445" t="s">
        <v>170</v>
      </c>
      <c r="J16" s="154"/>
      <c r="K16" s="154"/>
      <c r="L16" s="154"/>
      <c r="M16" s="176"/>
      <c r="N16" s="418">
        <v>107</v>
      </c>
      <c r="O16" s="176"/>
      <c r="P16" s="203">
        <v>18235.64</v>
      </c>
      <c r="Q16" s="203"/>
      <c r="R16" s="203">
        <v>361673.59</v>
      </c>
      <c r="S16" s="176">
        <v>12596</v>
      </c>
      <c r="T16" s="188" t="s">
        <v>171</v>
      </c>
      <c r="U16" s="176"/>
      <c r="V16" s="176"/>
      <c r="W16" s="176"/>
      <c r="X16" s="203">
        <f t="shared" si="1"/>
        <v>450100.83</v>
      </c>
      <c r="Y16" s="203">
        <v>-21604.84</v>
      </c>
      <c r="Z16" s="203">
        <v>0</v>
      </c>
      <c r="AA16" s="203">
        <v>428495.99</v>
      </c>
      <c r="AB16" s="446">
        <v>14916</v>
      </c>
      <c r="AC16" s="444" t="s">
        <v>172</v>
      </c>
      <c r="AD16" s="444" t="s">
        <v>173</v>
      </c>
      <c r="AE16" s="177" t="b">
        <v>1</v>
      </c>
      <c r="AF16" s="177" t="b">
        <v>1</v>
      </c>
      <c r="AG16" s="392">
        <f>(AB16-S16)/S16</f>
        <v>0.18418545570022229</v>
      </c>
      <c r="AH16" s="392">
        <f>(AA16-R16)/R16</f>
        <v>0.18475885950091064</v>
      </c>
      <c r="AI16" s="203">
        <f t="shared" si="2"/>
        <v>262626.58</v>
      </c>
      <c r="AJ16" s="368">
        <v>-12606.08</v>
      </c>
      <c r="AK16" s="368">
        <v>0</v>
      </c>
      <c r="AL16" s="368">
        <v>250020.5</v>
      </c>
      <c r="AM16" s="1068">
        <v>8421</v>
      </c>
      <c r="AN16" s="172">
        <v>46122</v>
      </c>
      <c r="AO16" s="171" t="s">
        <v>174</v>
      </c>
      <c r="AP16" s="861" t="b">
        <v>1</v>
      </c>
      <c r="AQ16" s="861" t="b">
        <v>1</v>
      </c>
      <c r="AR16" s="392">
        <f t="shared" si="0"/>
        <v>-0.43543845534995979</v>
      </c>
      <c r="AS16" s="392">
        <f>(AL16-AA16)/AA16</f>
        <v>-0.41651612655698361</v>
      </c>
      <c r="AT16" s="203">
        <f t="shared" si="3"/>
        <v>0</v>
      </c>
      <c r="AU16" s="203"/>
      <c r="AV16" s="203"/>
      <c r="AW16" s="203"/>
      <c r="AX16" s="176"/>
      <c r="AY16" s="176"/>
      <c r="AZ16" s="176"/>
      <c r="BA16" s="177" t="b">
        <v>0</v>
      </c>
      <c r="BB16" s="177" t="b">
        <v>0</v>
      </c>
      <c r="BC16" s="176">
        <f>(AX16-AM16)/AM16</f>
        <v>-1</v>
      </c>
      <c r="BD16" s="176">
        <f>(AW16-AL16)/AL16</f>
        <v>-1</v>
      </c>
      <c r="BE16" s="203">
        <f>BH16 + ABS(BF16) + ABS(BG16)</f>
        <v>0</v>
      </c>
      <c r="BF16" s="203"/>
      <c r="BG16" s="203"/>
      <c r="BH16" s="203"/>
      <c r="BI16" s="176"/>
      <c r="BJ16" s="176"/>
      <c r="BK16" s="176"/>
      <c r="BL16" s="177" t="b">
        <v>0</v>
      </c>
      <c r="BM16" s="177" t="b">
        <v>0</v>
      </c>
      <c r="BN16" s="176" t="e">
        <f>(BI16-AZ16)/AZ16</f>
        <v>#DIV/0!</v>
      </c>
      <c r="BO16" s="176" t="e">
        <f>(BH16-AW16)/AW16</f>
        <v>#DIV/0!</v>
      </c>
      <c r="BP16" s="203">
        <f>BS16 + ABS(BQ16) + ABS(BR16)</f>
        <v>0</v>
      </c>
      <c r="BQ16" s="203"/>
      <c r="BR16" s="203"/>
      <c r="BS16" s="203"/>
      <c r="BT16" s="176"/>
      <c r="BU16" s="176"/>
      <c r="BV16" s="176"/>
      <c r="BW16" s="177" t="b">
        <v>0</v>
      </c>
      <c r="BX16" s="177" t="b">
        <v>0</v>
      </c>
      <c r="BY16" s="176" t="e">
        <f>(BT16-BI16)/BI16</f>
        <v>#DIV/0!</v>
      </c>
      <c r="BZ16" s="176" t="e">
        <f>(BS16-BH16)/BH16</f>
        <v>#DIV/0!</v>
      </c>
      <c r="CA16" s="203">
        <f>CD16 + ABS(CB16) + ABS(CC16)</f>
        <v>0</v>
      </c>
      <c r="CB16" s="203"/>
      <c r="CC16" s="203"/>
      <c r="CD16" s="203"/>
      <c r="CE16" s="176"/>
      <c r="CF16" s="176"/>
      <c r="CG16" s="176"/>
      <c r="CH16" s="177" t="b">
        <v>0</v>
      </c>
      <c r="CI16" s="177" t="b">
        <v>0</v>
      </c>
      <c r="CJ16" s="176" t="e">
        <f>(CE16-BV16)/BV16</f>
        <v>#DIV/0!</v>
      </c>
      <c r="CK16" s="176" t="e">
        <f>(CD16-BS16)/BS16</f>
        <v>#DIV/0!</v>
      </c>
      <c r="CL16" s="203">
        <f>CO16 + ABS(CM16) + ABS(CN16)</f>
        <v>0</v>
      </c>
      <c r="CM16" s="203"/>
      <c r="CN16" s="203"/>
      <c r="CO16" s="203"/>
      <c r="CP16" s="176"/>
      <c r="CQ16" s="176"/>
      <c r="CR16" s="176"/>
      <c r="CS16" s="177" t="b">
        <v>0</v>
      </c>
      <c r="CT16" s="177" t="b">
        <v>0</v>
      </c>
      <c r="CU16" s="176" t="e">
        <f>(CP16-CE16)/CE16</f>
        <v>#DIV/0!</v>
      </c>
      <c r="CV16" s="176" t="e">
        <f>(CO16-CD16)/CD16</f>
        <v>#DIV/0!</v>
      </c>
      <c r="CW16" s="203">
        <f>CZ16 + ABS(CX16) + ABS(CY16)</f>
        <v>0</v>
      </c>
      <c r="CX16" s="203"/>
      <c r="CY16" s="203"/>
      <c r="CZ16" s="203"/>
      <c r="DA16" s="176"/>
      <c r="DB16" s="176"/>
      <c r="DC16" s="176"/>
      <c r="DD16" s="177" t="b">
        <v>0</v>
      </c>
      <c r="DE16" s="177" t="b">
        <v>0</v>
      </c>
      <c r="DF16" s="176" t="e">
        <f>(DA16-CR16)/CR16</f>
        <v>#DIV/0!</v>
      </c>
      <c r="DG16" s="176" t="e">
        <f>(CZ16-CO16)/CO16</f>
        <v>#DIV/0!</v>
      </c>
      <c r="DH16" s="203">
        <f>DK16 + ABS(DI16) + ABS(DJ16)</f>
        <v>0</v>
      </c>
      <c r="DI16" s="203"/>
      <c r="DJ16" s="203"/>
      <c r="DK16" s="203"/>
      <c r="DL16" s="176"/>
      <c r="DM16" s="176"/>
      <c r="DN16" s="176"/>
      <c r="DO16" s="177" t="b">
        <v>0</v>
      </c>
      <c r="DP16" s="177" t="b">
        <v>0</v>
      </c>
      <c r="DQ16" s="176" t="e">
        <f>(DL16-DA16)/DA16</f>
        <v>#DIV/0!</v>
      </c>
      <c r="DR16" s="176" t="e">
        <f>(DK16-CZ16)/CZ16</f>
        <v>#DIV/0!</v>
      </c>
      <c r="DS16" s="203">
        <f>DV16 + ABS(DT16) + ABS(DU16)</f>
        <v>0</v>
      </c>
      <c r="DT16" s="203"/>
      <c r="DU16" s="203"/>
      <c r="DV16" s="203"/>
      <c r="DW16" s="176"/>
      <c r="DX16" s="176"/>
      <c r="DY16" s="176"/>
      <c r="DZ16" s="177" t="b">
        <v>0</v>
      </c>
      <c r="EA16" s="177" t="b">
        <v>0</v>
      </c>
      <c r="EB16" s="176" t="e">
        <f>(DW16-DN16)/DN16</f>
        <v>#DIV/0!</v>
      </c>
      <c r="EC16" s="176" t="e">
        <f>(DV16-DK16)/DK16</f>
        <v>#DIV/0!</v>
      </c>
      <c r="ED16" s="203">
        <f>EG16 + ABS(EE16) + ABS(EF16)</f>
        <v>0</v>
      </c>
      <c r="EE16" s="203"/>
      <c r="EF16" s="203"/>
      <c r="EG16" s="203"/>
      <c r="EH16" s="176"/>
      <c r="EI16" s="176"/>
      <c r="EJ16" s="176"/>
      <c r="EK16" s="177" t="b">
        <v>0</v>
      </c>
      <c r="EL16" s="177" t="b">
        <v>0</v>
      </c>
      <c r="EM16" s="176" t="e">
        <f>(EH16-DW16)/DW16</f>
        <v>#DIV/0!</v>
      </c>
      <c r="EN16" s="176" t="e">
        <f>(EG16-DV16)/DV16</f>
        <v>#DIV/0!</v>
      </c>
      <c r="EO16" s="203">
        <f>ER16 + ABS(EP16) + ABS(EQ16)</f>
        <v>0</v>
      </c>
      <c r="EP16" s="203"/>
      <c r="EQ16" s="203"/>
      <c r="ER16" s="203"/>
      <c r="ES16" s="176"/>
      <c r="ET16" s="176"/>
      <c r="EU16" s="176"/>
      <c r="EV16" s="177" t="b">
        <v>0</v>
      </c>
      <c r="EW16" s="177" t="b">
        <v>0</v>
      </c>
      <c r="EX16" s="176" t="e">
        <f>(ES16-EJ16)/EJ16</f>
        <v>#DIV/0!</v>
      </c>
      <c r="EY16" s="176" t="e">
        <f>(ER16-EG16)/EG16</f>
        <v>#DIV/0!</v>
      </c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801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</row>
    <row r="17" spans="1:221" ht="15">
      <c r="B17" s="175"/>
      <c r="C17" s="800" t="s">
        <v>206</v>
      </c>
      <c r="D17" s="357">
        <v>1450022</v>
      </c>
      <c r="E17" s="357">
        <v>106</v>
      </c>
      <c r="F17" s="357" t="s">
        <v>207</v>
      </c>
      <c r="G17" s="426" t="s">
        <v>208</v>
      </c>
      <c r="H17" s="148" t="s">
        <v>169</v>
      </c>
      <c r="I17" s="448" t="s">
        <v>170</v>
      </c>
      <c r="J17" s="357"/>
      <c r="K17" s="357"/>
      <c r="L17" s="357"/>
      <c r="M17" s="358"/>
      <c r="N17" s="359">
        <v>107</v>
      </c>
      <c r="O17" s="358"/>
      <c r="P17" s="402">
        <v>7436.79</v>
      </c>
      <c r="Q17" s="402"/>
      <c r="R17" s="402">
        <v>147496.26</v>
      </c>
      <c r="S17" s="358">
        <v>5160</v>
      </c>
      <c r="T17" s="188" t="s">
        <v>171</v>
      </c>
      <c r="U17" s="358"/>
      <c r="V17" s="358"/>
      <c r="W17" s="358"/>
      <c r="X17" s="402">
        <f t="shared" si="1"/>
        <v>177321.75</v>
      </c>
      <c r="Y17" s="402">
        <v>-8511.44</v>
      </c>
      <c r="Z17" s="402">
        <v>0</v>
      </c>
      <c r="AA17" s="402">
        <v>168810.31</v>
      </c>
      <c r="AB17" s="450">
        <v>5900</v>
      </c>
      <c r="AC17" s="426" t="s">
        <v>172</v>
      </c>
      <c r="AD17" s="426" t="s">
        <v>173</v>
      </c>
      <c r="AE17" s="164" t="b">
        <v>1</v>
      </c>
      <c r="AF17" s="164" t="b">
        <v>1</v>
      </c>
      <c r="AG17" s="409">
        <f>(AB17-S17)/S17</f>
        <v>0.1434108527131783</v>
      </c>
      <c r="AH17" s="409">
        <f>(AA17-R17)/R17</f>
        <v>0.14450569797498586</v>
      </c>
      <c r="AI17" s="402">
        <f t="shared" si="2"/>
        <v>150467.34</v>
      </c>
      <c r="AJ17" s="364">
        <v>-7222.43</v>
      </c>
      <c r="AK17" s="364">
        <v>0</v>
      </c>
      <c r="AL17" s="364">
        <v>143244.91</v>
      </c>
      <c r="AM17" s="1069">
        <v>4897</v>
      </c>
      <c r="AN17" s="407">
        <v>46122</v>
      </c>
      <c r="AO17" s="148" t="s">
        <v>174</v>
      </c>
      <c r="AP17" s="860" t="b">
        <v>1</v>
      </c>
      <c r="AQ17" s="860" t="b">
        <v>1</v>
      </c>
      <c r="AR17" s="409">
        <f t="shared" si="0"/>
        <v>-0.17</v>
      </c>
      <c r="AS17" s="409">
        <f>(AL17-AA17)/AA17</f>
        <v>-0.15144454150934261</v>
      </c>
      <c r="AT17" s="402">
        <f t="shared" si="3"/>
        <v>0</v>
      </c>
      <c r="AU17" s="402"/>
      <c r="AV17" s="402"/>
      <c r="AW17" s="402"/>
      <c r="AX17" s="358"/>
      <c r="AY17" s="358"/>
      <c r="AZ17" s="358"/>
      <c r="BA17" s="164" t="b">
        <v>0</v>
      </c>
      <c r="BB17" s="164" t="b">
        <v>0</v>
      </c>
      <c r="BC17" s="358">
        <f>(AX17-AM17)/AM17</f>
        <v>-1</v>
      </c>
      <c r="BD17" s="358">
        <f>(AW17-AL17)/AL17</f>
        <v>-1</v>
      </c>
      <c r="BE17" s="402">
        <f>BH17 + ABS(BF17) + ABS(BG17)</f>
        <v>0</v>
      </c>
      <c r="BF17" s="402"/>
      <c r="BG17" s="402"/>
      <c r="BH17" s="402"/>
      <c r="BI17" s="358"/>
      <c r="BJ17" s="358"/>
      <c r="BK17" s="358"/>
      <c r="BL17" s="164" t="b">
        <v>0</v>
      </c>
      <c r="BM17" s="164" t="b">
        <v>0</v>
      </c>
      <c r="BN17" s="358" t="e">
        <f>(BI17-AZ17)/AZ17</f>
        <v>#DIV/0!</v>
      </c>
      <c r="BO17" s="358" t="e">
        <f>(BH17-AW17)/AW17</f>
        <v>#DIV/0!</v>
      </c>
      <c r="BP17" s="402">
        <f>BS17 + ABS(BQ17) + ABS(BR17)</f>
        <v>0</v>
      </c>
      <c r="BQ17" s="402"/>
      <c r="BR17" s="402"/>
      <c r="BS17" s="402"/>
      <c r="BT17" s="358"/>
      <c r="BU17" s="358"/>
      <c r="BV17" s="358"/>
      <c r="BW17" s="164" t="b">
        <v>0</v>
      </c>
      <c r="BX17" s="164" t="b">
        <v>0</v>
      </c>
      <c r="BY17" s="358" t="e">
        <f>(BT17-BI17)/BI17</f>
        <v>#DIV/0!</v>
      </c>
      <c r="BZ17" s="358" t="e">
        <f>(BS17-BH17)/BH17</f>
        <v>#DIV/0!</v>
      </c>
      <c r="CA17" s="402">
        <f>CD17 + ABS(CB17) + ABS(CC17)</f>
        <v>0</v>
      </c>
      <c r="CB17" s="402"/>
      <c r="CC17" s="402"/>
      <c r="CD17" s="402"/>
      <c r="CE17" s="358"/>
      <c r="CF17" s="358"/>
      <c r="CG17" s="358"/>
      <c r="CH17" s="164" t="b">
        <v>0</v>
      </c>
      <c r="CI17" s="164" t="b">
        <v>0</v>
      </c>
      <c r="CJ17" s="358" t="e">
        <f>(CE17-BV17)/BV17</f>
        <v>#DIV/0!</v>
      </c>
      <c r="CK17" s="358" t="e">
        <f>(CD17-BS17)/BS17</f>
        <v>#DIV/0!</v>
      </c>
      <c r="CL17" s="402">
        <f>CO17 + ABS(CM17) + ABS(CN17)</f>
        <v>0</v>
      </c>
      <c r="CM17" s="402"/>
      <c r="CN17" s="402"/>
      <c r="CO17" s="402"/>
      <c r="CP17" s="358"/>
      <c r="CQ17" s="358"/>
      <c r="CR17" s="358"/>
      <c r="CS17" s="164" t="b">
        <v>0</v>
      </c>
      <c r="CT17" s="164" t="b">
        <v>0</v>
      </c>
      <c r="CU17" s="358" t="e">
        <f>(CP17-CE17)/CE17</f>
        <v>#DIV/0!</v>
      </c>
      <c r="CV17" s="358" t="e">
        <f>(CO17-CD17)/CD17</f>
        <v>#DIV/0!</v>
      </c>
      <c r="CW17" s="402">
        <f>CZ17 + ABS(CX17) + ABS(CY17)</f>
        <v>0</v>
      </c>
      <c r="CX17" s="402"/>
      <c r="CY17" s="402"/>
      <c r="CZ17" s="402"/>
      <c r="DA17" s="358"/>
      <c r="DB17" s="358"/>
      <c r="DC17" s="358"/>
      <c r="DD17" s="164" t="b">
        <v>0</v>
      </c>
      <c r="DE17" s="164" t="b">
        <v>0</v>
      </c>
      <c r="DF17" s="358" t="e">
        <f>(DA17-CR17)/CR17</f>
        <v>#DIV/0!</v>
      </c>
      <c r="DG17" s="358" t="e">
        <f>(CZ17-CO17)/CO17</f>
        <v>#DIV/0!</v>
      </c>
      <c r="DH17" s="402">
        <f>DK17 + ABS(DI17) + ABS(DJ17)</f>
        <v>0</v>
      </c>
      <c r="DI17" s="402"/>
      <c r="DJ17" s="402"/>
      <c r="DK17" s="402"/>
      <c r="DL17" s="358"/>
      <c r="DM17" s="358"/>
      <c r="DN17" s="358"/>
      <c r="DO17" s="164" t="b">
        <v>0</v>
      </c>
      <c r="DP17" s="164" t="b">
        <v>0</v>
      </c>
      <c r="DQ17" s="358" t="e">
        <f>(DL17-DA17)/DA17</f>
        <v>#DIV/0!</v>
      </c>
      <c r="DR17" s="358" t="e">
        <f>(DK17-CZ17)/CZ17</f>
        <v>#DIV/0!</v>
      </c>
      <c r="DS17" s="402">
        <f>DV17 + ABS(DT17) + ABS(DU17)</f>
        <v>0</v>
      </c>
      <c r="DT17" s="402"/>
      <c r="DU17" s="402"/>
      <c r="DV17" s="402"/>
      <c r="DW17" s="358"/>
      <c r="DX17" s="358"/>
      <c r="DY17" s="358"/>
      <c r="DZ17" s="164" t="b">
        <v>0</v>
      </c>
      <c r="EA17" s="164" t="b">
        <v>0</v>
      </c>
      <c r="EB17" s="358" t="e">
        <f>(DW17-DN17)/DN17</f>
        <v>#DIV/0!</v>
      </c>
      <c r="EC17" s="358" t="e">
        <f>(DV17-DK17)/DK17</f>
        <v>#DIV/0!</v>
      </c>
      <c r="ED17" s="402">
        <f>EG17 + ABS(EE17) + ABS(EF17)</f>
        <v>0</v>
      </c>
      <c r="EE17" s="402"/>
      <c r="EF17" s="402"/>
      <c r="EG17" s="402"/>
      <c r="EH17" s="358"/>
      <c r="EI17" s="358"/>
      <c r="EJ17" s="358"/>
      <c r="EK17" s="164" t="b">
        <v>0</v>
      </c>
      <c r="EL17" s="164" t="b">
        <v>0</v>
      </c>
      <c r="EM17" s="358" t="e">
        <f>(EH17-DW17)/DW17</f>
        <v>#DIV/0!</v>
      </c>
      <c r="EN17" s="358" t="e">
        <f>(EG17-DV17)/DV17</f>
        <v>#DIV/0!</v>
      </c>
      <c r="EO17" s="402">
        <f>ER17 + ABS(EP17) + ABS(EQ17)</f>
        <v>0</v>
      </c>
      <c r="EP17" s="402"/>
      <c r="EQ17" s="402"/>
      <c r="ER17" s="402"/>
      <c r="ES17" s="358"/>
      <c r="ET17" s="358"/>
      <c r="EU17" s="358"/>
      <c r="EV17" s="164" t="b">
        <v>0</v>
      </c>
      <c r="EW17" s="164" t="b">
        <v>0</v>
      </c>
      <c r="EX17" s="358" t="e">
        <f>(ES17-EJ17)/EJ17</f>
        <v>#DIV/0!</v>
      </c>
      <c r="EY17" s="358" t="e">
        <f>(ER17-EG17)/EG17</f>
        <v>#DIV/0!</v>
      </c>
      <c r="EZ17" s="449"/>
      <c r="FA17" s="449"/>
      <c r="FB17" s="449"/>
      <c r="FC17" s="449"/>
      <c r="FD17" s="449"/>
      <c r="FE17" s="449"/>
      <c r="FF17" s="449"/>
      <c r="FG17" s="449"/>
      <c r="FH17" s="449"/>
      <c r="FI17" s="449"/>
      <c r="FJ17" s="449"/>
      <c r="FK17" s="449"/>
      <c r="FL17" s="175"/>
      <c r="FM17" s="175"/>
      <c r="FN17" s="175"/>
      <c r="FO17" s="175"/>
      <c r="FP17" s="175"/>
      <c r="FQ17" s="801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</row>
    <row r="18" spans="1:221" ht="15">
      <c r="B18" s="175"/>
      <c r="C18" s="802" t="s">
        <v>209</v>
      </c>
      <c r="D18" s="154">
        <v>1450022</v>
      </c>
      <c r="E18" s="154">
        <v>27</v>
      </c>
      <c r="F18" s="154" t="s">
        <v>210</v>
      </c>
      <c r="G18" s="255" t="s">
        <v>211</v>
      </c>
      <c r="H18" s="171" t="s">
        <v>169</v>
      </c>
      <c r="I18" s="445" t="s">
        <v>170</v>
      </c>
      <c r="J18" s="154"/>
      <c r="K18" s="154"/>
      <c r="L18" s="154"/>
      <c r="M18" s="176"/>
      <c r="N18" s="418">
        <v>107</v>
      </c>
      <c r="O18" s="176"/>
      <c r="P18" s="203">
        <v>2927.58</v>
      </c>
      <c r="Q18" s="203"/>
      <c r="R18" s="203">
        <v>58063.7</v>
      </c>
      <c r="S18" s="176">
        <v>2055</v>
      </c>
      <c r="T18" s="188" t="s">
        <v>171</v>
      </c>
      <c r="U18" s="176"/>
      <c r="V18" s="176"/>
      <c r="W18" s="176"/>
      <c r="X18" s="203">
        <f t="shared" si="1"/>
        <v>33748.060000000005</v>
      </c>
      <c r="Y18" s="203">
        <v>-1619.91</v>
      </c>
      <c r="Z18" s="203">
        <v>0</v>
      </c>
      <c r="AA18" s="203">
        <v>32128.15</v>
      </c>
      <c r="AB18" s="446">
        <v>1151</v>
      </c>
      <c r="AC18" s="444" t="s">
        <v>172</v>
      </c>
      <c r="AD18" s="444" t="s">
        <v>173</v>
      </c>
      <c r="AE18" s="177" t="b">
        <v>1</v>
      </c>
      <c r="AF18" s="177" t="b">
        <v>1</v>
      </c>
      <c r="AG18" s="392">
        <f>(AB18-S18)/S18</f>
        <v>-0.43990267639902675</v>
      </c>
      <c r="AH18" s="392">
        <f>(AA18-R18)/R18</f>
        <v>-0.4466740838079557</v>
      </c>
      <c r="AI18" s="203">
        <f t="shared" si="2"/>
        <v>32032.5</v>
      </c>
      <c r="AJ18" s="368">
        <v>-1537.56</v>
      </c>
      <c r="AK18" s="368">
        <v>0</v>
      </c>
      <c r="AL18" s="368">
        <v>30494.94</v>
      </c>
      <c r="AM18" s="1068">
        <v>1048</v>
      </c>
      <c r="AN18" s="172">
        <v>46122</v>
      </c>
      <c r="AO18" s="171" t="s">
        <v>174</v>
      </c>
      <c r="AP18" s="861" t="b">
        <v>1</v>
      </c>
      <c r="AQ18" s="861" t="b">
        <v>1</v>
      </c>
      <c r="AR18" s="392">
        <f t="shared" si="0"/>
        <v>-8.9487402258905294E-2</v>
      </c>
      <c r="AS18" s="392">
        <f>(AL18-AA18)/AA18</f>
        <v>-5.0834237265451096E-2</v>
      </c>
      <c r="AT18" s="203">
        <f t="shared" si="3"/>
        <v>0</v>
      </c>
      <c r="AU18" s="203"/>
      <c r="AV18" s="203"/>
      <c r="AW18" s="203"/>
      <c r="AX18" s="176"/>
      <c r="AY18" s="176"/>
      <c r="AZ18" s="176"/>
      <c r="BA18" s="177" t="b">
        <v>0</v>
      </c>
      <c r="BB18" s="177" t="b">
        <v>0</v>
      </c>
      <c r="BC18" s="176">
        <f>(AX18-AM18)/AM18</f>
        <v>-1</v>
      </c>
      <c r="BD18" s="176">
        <f>(AW18-AL18)/AL18</f>
        <v>-1</v>
      </c>
      <c r="BE18" s="203">
        <f>BH18 + ABS(BF18) + ABS(BG18)</f>
        <v>0</v>
      </c>
      <c r="BF18" s="203"/>
      <c r="BG18" s="203"/>
      <c r="BH18" s="203"/>
      <c r="BI18" s="176"/>
      <c r="BJ18" s="176"/>
      <c r="BK18" s="176"/>
      <c r="BL18" s="177" t="b">
        <v>0</v>
      </c>
      <c r="BM18" s="177" t="b">
        <v>0</v>
      </c>
      <c r="BN18" s="176" t="e">
        <f>(BI18-AZ18)/AZ18</f>
        <v>#DIV/0!</v>
      </c>
      <c r="BO18" s="176" t="e">
        <f>(BH18-AW18)/AW18</f>
        <v>#DIV/0!</v>
      </c>
      <c r="BP18" s="203">
        <f>BS18 + ABS(BQ18) + ABS(BR18)</f>
        <v>0</v>
      </c>
      <c r="BQ18" s="203"/>
      <c r="BR18" s="203"/>
      <c r="BS18" s="203"/>
      <c r="BT18" s="176"/>
      <c r="BU18" s="176"/>
      <c r="BV18" s="176"/>
      <c r="BW18" s="177" t="b">
        <v>0</v>
      </c>
      <c r="BX18" s="177" t="b">
        <v>0</v>
      </c>
      <c r="BY18" s="176" t="e">
        <f>(BT18-BI18)/BI18</f>
        <v>#DIV/0!</v>
      </c>
      <c r="BZ18" s="176" t="e">
        <f>(BS18-BH18)/BH18</f>
        <v>#DIV/0!</v>
      </c>
      <c r="CA18" s="203">
        <f>CD18 + ABS(CB18) + ABS(CC18)</f>
        <v>0</v>
      </c>
      <c r="CB18" s="203"/>
      <c r="CC18" s="203"/>
      <c r="CD18" s="203"/>
      <c r="CE18" s="176"/>
      <c r="CF18" s="176"/>
      <c r="CG18" s="176"/>
      <c r="CH18" s="177" t="b">
        <v>0</v>
      </c>
      <c r="CI18" s="177" t="b">
        <v>0</v>
      </c>
      <c r="CJ18" s="176" t="e">
        <f>(CE18-BV18)/BV18</f>
        <v>#DIV/0!</v>
      </c>
      <c r="CK18" s="176" t="e">
        <f>(CD18-BS18)/BS18</f>
        <v>#DIV/0!</v>
      </c>
      <c r="CL18" s="203">
        <f>CO18 + ABS(CM18) + ABS(CN18)</f>
        <v>0</v>
      </c>
      <c r="CM18" s="203"/>
      <c r="CN18" s="203"/>
      <c r="CO18" s="203"/>
      <c r="CP18" s="176"/>
      <c r="CQ18" s="176"/>
      <c r="CR18" s="176"/>
      <c r="CS18" s="177" t="b">
        <v>0</v>
      </c>
      <c r="CT18" s="177" t="b">
        <v>0</v>
      </c>
      <c r="CU18" s="176" t="e">
        <f>(CP18-CE18)/CE18</f>
        <v>#DIV/0!</v>
      </c>
      <c r="CV18" s="176" t="e">
        <f>(CO18-CD18)/CD18</f>
        <v>#DIV/0!</v>
      </c>
      <c r="CW18" s="203">
        <f>CZ18 + ABS(CX18) + ABS(CY18)</f>
        <v>0</v>
      </c>
      <c r="CX18" s="203"/>
      <c r="CY18" s="203"/>
      <c r="CZ18" s="203"/>
      <c r="DA18" s="176"/>
      <c r="DB18" s="176"/>
      <c r="DC18" s="176"/>
      <c r="DD18" s="177" t="b">
        <v>0</v>
      </c>
      <c r="DE18" s="177" t="b">
        <v>0</v>
      </c>
      <c r="DF18" s="176" t="e">
        <f>(DA18-CR18)/CR18</f>
        <v>#DIV/0!</v>
      </c>
      <c r="DG18" s="176" t="e">
        <f>(CZ18-CO18)/CO18</f>
        <v>#DIV/0!</v>
      </c>
      <c r="DH18" s="203">
        <f>DK18 + ABS(DI18) + ABS(DJ18)</f>
        <v>0</v>
      </c>
      <c r="DI18" s="203"/>
      <c r="DJ18" s="203"/>
      <c r="DK18" s="203"/>
      <c r="DL18" s="176"/>
      <c r="DM18" s="176"/>
      <c r="DN18" s="176"/>
      <c r="DO18" s="177" t="b">
        <v>0</v>
      </c>
      <c r="DP18" s="177" t="b">
        <v>0</v>
      </c>
      <c r="DQ18" s="176" t="e">
        <f>(DL18-DA18)/DA18</f>
        <v>#DIV/0!</v>
      </c>
      <c r="DR18" s="176" t="e">
        <f>(DK18-CZ18)/CZ18</f>
        <v>#DIV/0!</v>
      </c>
      <c r="DS18" s="203">
        <f>DV18 + ABS(DT18) + ABS(DU18)</f>
        <v>0</v>
      </c>
      <c r="DT18" s="203"/>
      <c r="DU18" s="203"/>
      <c r="DV18" s="203"/>
      <c r="DW18" s="176"/>
      <c r="DX18" s="176"/>
      <c r="DY18" s="176"/>
      <c r="DZ18" s="177" t="b">
        <v>0</v>
      </c>
      <c r="EA18" s="177" t="b">
        <v>0</v>
      </c>
      <c r="EB18" s="176" t="e">
        <f>(DW18-DN18)/DN18</f>
        <v>#DIV/0!</v>
      </c>
      <c r="EC18" s="176" t="e">
        <f>(DV18-DK18)/DK18</f>
        <v>#DIV/0!</v>
      </c>
      <c r="ED18" s="203">
        <f>EG18 + ABS(EE18) + ABS(EF18)</f>
        <v>0</v>
      </c>
      <c r="EE18" s="203"/>
      <c r="EF18" s="203"/>
      <c r="EG18" s="203"/>
      <c r="EH18" s="176"/>
      <c r="EI18" s="176"/>
      <c r="EJ18" s="176"/>
      <c r="EK18" s="177" t="b">
        <v>0</v>
      </c>
      <c r="EL18" s="177" t="b">
        <v>0</v>
      </c>
      <c r="EM18" s="176" t="e">
        <f>(EH18-DW18)/DW18</f>
        <v>#DIV/0!</v>
      </c>
      <c r="EN18" s="176" t="e">
        <f>(EG18-DV18)/DV18</f>
        <v>#DIV/0!</v>
      </c>
      <c r="EO18" s="203">
        <f>ER18 + ABS(EP18) + ABS(EQ18)</f>
        <v>0</v>
      </c>
      <c r="EP18" s="203"/>
      <c r="EQ18" s="203"/>
      <c r="ER18" s="203"/>
      <c r="ES18" s="176"/>
      <c r="ET18" s="176"/>
      <c r="EU18" s="176"/>
      <c r="EV18" s="177" t="b">
        <v>0</v>
      </c>
      <c r="EW18" s="177" t="b">
        <v>0</v>
      </c>
      <c r="EX18" s="176" t="e">
        <f>(ES18-EJ18)/EJ18</f>
        <v>#DIV/0!</v>
      </c>
      <c r="EY18" s="176" t="e">
        <f>(ER18-EG18)/EG18</f>
        <v>#DIV/0!</v>
      </c>
      <c r="EZ18" s="175"/>
      <c r="FA18" s="175"/>
      <c r="FB18" s="175"/>
      <c r="FC18" s="175"/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801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</row>
    <row r="19" spans="1:221" ht="15">
      <c r="B19" s="175"/>
      <c r="C19" s="802" t="s">
        <v>209</v>
      </c>
      <c r="D19" s="154">
        <v>1450022</v>
      </c>
      <c r="E19" s="154">
        <v>27</v>
      </c>
      <c r="F19" s="154" t="s">
        <v>212</v>
      </c>
      <c r="G19" s="255" t="s">
        <v>213</v>
      </c>
      <c r="H19" s="171" t="s">
        <v>169</v>
      </c>
      <c r="I19" s="445" t="s">
        <v>170</v>
      </c>
      <c r="J19" s="154"/>
      <c r="K19" s="154"/>
      <c r="L19" s="154"/>
      <c r="M19" s="176"/>
      <c r="N19" s="193">
        <v>107</v>
      </c>
      <c r="O19" s="176"/>
      <c r="P19" s="203">
        <v>4854.7</v>
      </c>
      <c r="Q19" s="203"/>
      <c r="R19" s="203">
        <v>96284.96</v>
      </c>
      <c r="S19" s="176">
        <v>3382</v>
      </c>
      <c r="T19" s="188" t="s">
        <v>171</v>
      </c>
      <c r="U19" s="176"/>
      <c r="V19" s="176"/>
      <c r="W19" s="176"/>
      <c r="X19" s="203">
        <f t="shared" si="1"/>
        <v>101097.07</v>
      </c>
      <c r="Y19" s="203">
        <v>-4852.66</v>
      </c>
      <c r="Z19" s="203">
        <v>0</v>
      </c>
      <c r="AA19" s="203">
        <v>96244.41</v>
      </c>
      <c r="AB19" s="446">
        <v>3370</v>
      </c>
      <c r="AC19" s="444" t="s">
        <v>172</v>
      </c>
      <c r="AD19" s="444" t="s">
        <v>173</v>
      </c>
      <c r="AE19" s="177" t="b">
        <v>1</v>
      </c>
      <c r="AF19" s="177" t="b">
        <v>1</v>
      </c>
      <c r="AG19" s="392">
        <f>(AB19-S19)/S19</f>
        <v>-3.5481963335304554E-3</v>
      </c>
      <c r="AH19" s="392">
        <f>(AA19-R19)/R19</f>
        <v>-4.2114573241763728E-4</v>
      </c>
      <c r="AI19" s="203">
        <f t="shared" si="2"/>
        <v>101928.38</v>
      </c>
      <c r="AJ19" s="368">
        <v>-4892.5600000000004</v>
      </c>
      <c r="AK19" s="368">
        <v>0</v>
      </c>
      <c r="AL19" s="368">
        <v>97035.82</v>
      </c>
      <c r="AM19" s="1068">
        <v>3250</v>
      </c>
      <c r="AN19" s="172">
        <v>46122</v>
      </c>
      <c r="AO19" s="171" t="s">
        <v>174</v>
      </c>
      <c r="AP19" s="861" t="b">
        <v>1</v>
      </c>
      <c r="AQ19" s="861" t="b">
        <v>1</v>
      </c>
      <c r="AR19" s="392">
        <f t="shared" si="0"/>
        <v>-3.5608308605341248E-2</v>
      </c>
      <c r="AS19" s="392">
        <f>(AL19-AA19)/AA19</f>
        <v>8.2229191284979922E-3</v>
      </c>
      <c r="AT19" s="203">
        <f t="shared" si="3"/>
        <v>0</v>
      </c>
      <c r="AU19" s="203"/>
      <c r="AV19" s="203"/>
      <c r="AW19" s="203"/>
      <c r="AX19" s="176"/>
      <c r="AY19" s="176"/>
      <c r="AZ19" s="176"/>
      <c r="BA19" s="177" t="b">
        <v>0</v>
      </c>
      <c r="BB19" s="177" t="b">
        <v>0</v>
      </c>
      <c r="BC19" s="176">
        <f>(AX19-AM19)/AM19</f>
        <v>-1</v>
      </c>
      <c r="BD19" s="176">
        <f>(AW19-AL19)/AL19</f>
        <v>-1</v>
      </c>
      <c r="BE19" s="203">
        <f>BH19 + ABS(BF19) + ABS(BG19)</f>
        <v>0</v>
      </c>
      <c r="BF19" s="203"/>
      <c r="BG19" s="203"/>
      <c r="BH19" s="203"/>
      <c r="BI19" s="176"/>
      <c r="BJ19" s="176"/>
      <c r="BK19" s="176"/>
      <c r="BL19" s="177" t="b">
        <v>0</v>
      </c>
      <c r="BM19" s="177" t="b">
        <v>0</v>
      </c>
      <c r="BN19" s="176" t="e">
        <f>(BI19-AZ19)/AZ19</f>
        <v>#DIV/0!</v>
      </c>
      <c r="BO19" s="176" t="e">
        <f>(BH19-AW19)/AW19</f>
        <v>#DIV/0!</v>
      </c>
      <c r="BP19" s="203">
        <f>BS19 + ABS(BQ19) + ABS(BR19)</f>
        <v>0</v>
      </c>
      <c r="BQ19" s="203"/>
      <c r="BR19" s="203"/>
      <c r="BS19" s="203"/>
      <c r="BT19" s="176"/>
      <c r="BU19" s="176"/>
      <c r="BV19" s="176"/>
      <c r="BW19" s="177" t="b">
        <v>0</v>
      </c>
      <c r="BX19" s="177" t="b">
        <v>0</v>
      </c>
      <c r="BY19" s="176" t="e">
        <f>(BT19-BI19)/BI19</f>
        <v>#DIV/0!</v>
      </c>
      <c r="BZ19" s="176" t="e">
        <f>(BS19-BH19)/BH19</f>
        <v>#DIV/0!</v>
      </c>
      <c r="CA19" s="203">
        <f>CD19 + ABS(CB19) + ABS(CC19)</f>
        <v>0</v>
      </c>
      <c r="CB19" s="203"/>
      <c r="CC19" s="203"/>
      <c r="CD19" s="203"/>
      <c r="CE19" s="176"/>
      <c r="CF19" s="176"/>
      <c r="CG19" s="176"/>
      <c r="CH19" s="177" t="b">
        <v>0</v>
      </c>
      <c r="CI19" s="177" t="b">
        <v>0</v>
      </c>
      <c r="CJ19" s="176" t="e">
        <f>(CE19-BV19)/BV19</f>
        <v>#DIV/0!</v>
      </c>
      <c r="CK19" s="176" t="e">
        <f>(CD19-BS19)/BS19</f>
        <v>#DIV/0!</v>
      </c>
      <c r="CL19" s="203">
        <f>CO19 + ABS(CM19) + ABS(CN19)</f>
        <v>0</v>
      </c>
      <c r="CM19" s="203"/>
      <c r="CN19" s="203"/>
      <c r="CO19" s="203"/>
      <c r="CP19" s="176"/>
      <c r="CQ19" s="176"/>
      <c r="CR19" s="176"/>
      <c r="CS19" s="177" t="b">
        <v>0</v>
      </c>
      <c r="CT19" s="177" t="b">
        <v>0</v>
      </c>
      <c r="CU19" s="176" t="e">
        <f>(CP19-CE19)/CE19</f>
        <v>#DIV/0!</v>
      </c>
      <c r="CV19" s="176" t="e">
        <f>(CO19-CD19)/CD19</f>
        <v>#DIV/0!</v>
      </c>
      <c r="CW19" s="203">
        <f>CZ19 + ABS(CX19) + ABS(CY19)</f>
        <v>0</v>
      </c>
      <c r="CX19" s="203"/>
      <c r="CY19" s="203"/>
      <c r="CZ19" s="203"/>
      <c r="DA19" s="176"/>
      <c r="DB19" s="176"/>
      <c r="DC19" s="176"/>
      <c r="DD19" s="177" t="b">
        <v>0</v>
      </c>
      <c r="DE19" s="177" t="b">
        <v>0</v>
      </c>
      <c r="DF19" s="176" t="e">
        <f>(DA19-CR19)/CR19</f>
        <v>#DIV/0!</v>
      </c>
      <c r="DG19" s="176" t="e">
        <f>(CZ19-CO19)/CO19</f>
        <v>#DIV/0!</v>
      </c>
      <c r="DH19" s="203">
        <f>DK19 + ABS(DI19) + ABS(DJ19)</f>
        <v>0</v>
      </c>
      <c r="DI19" s="203"/>
      <c r="DJ19" s="203"/>
      <c r="DK19" s="203"/>
      <c r="DL19" s="176"/>
      <c r="DM19" s="176"/>
      <c r="DN19" s="176"/>
      <c r="DO19" s="177" t="b">
        <v>0</v>
      </c>
      <c r="DP19" s="177" t="b">
        <v>0</v>
      </c>
      <c r="DQ19" s="176" t="e">
        <f>(DL19-DA19)/DA19</f>
        <v>#DIV/0!</v>
      </c>
      <c r="DR19" s="176" t="e">
        <f>(DK19-CZ19)/CZ19</f>
        <v>#DIV/0!</v>
      </c>
      <c r="DS19" s="203">
        <f>DV19 + ABS(DT19) + ABS(DU19)</f>
        <v>0</v>
      </c>
      <c r="DT19" s="203"/>
      <c r="DU19" s="203"/>
      <c r="DV19" s="203"/>
      <c r="DW19" s="176"/>
      <c r="DX19" s="176"/>
      <c r="DY19" s="176"/>
      <c r="DZ19" s="177" t="b">
        <v>0</v>
      </c>
      <c r="EA19" s="177" t="b">
        <v>0</v>
      </c>
      <c r="EB19" s="176" t="e">
        <f>(DW19-DN19)/DN19</f>
        <v>#DIV/0!</v>
      </c>
      <c r="EC19" s="176" t="e">
        <f>(DV19-DK19)/DK19</f>
        <v>#DIV/0!</v>
      </c>
      <c r="ED19" s="203">
        <f>EG19 + ABS(EE19) + ABS(EF19)</f>
        <v>0</v>
      </c>
      <c r="EE19" s="203"/>
      <c r="EF19" s="203"/>
      <c r="EG19" s="203"/>
      <c r="EH19" s="176"/>
      <c r="EI19" s="176"/>
      <c r="EJ19" s="176"/>
      <c r="EK19" s="177" t="b">
        <v>0</v>
      </c>
      <c r="EL19" s="177" t="b">
        <v>0</v>
      </c>
      <c r="EM19" s="176" t="e">
        <f>(EH19-DW19)/DW19</f>
        <v>#DIV/0!</v>
      </c>
      <c r="EN19" s="176" t="e">
        <f>(EG19-DV19)/DV19</f>
        <v>#DIV/0!</v>
      </c>
      <c r="EO19" s="203">
        <f>ER19 + ABS(EP19) + ABS(EQ19)</f>
        <v>0</v>
      </c>
      <c r="EP19" s="203"/>
      <c r="EQ19" s="203"/>
      <c r="ER19" s="203"/>
      <c r="ES19" s="176"/>
      <c r="ET19" s="176"/>
      <c r="EU19" s="176"/>
      <c r="EV19" s="177" t="b">
        <v>0</v>
      </c>
      <c r="EW19" s="177" t="b">
        <v>0</v>
      </c>
      <c r="EX19" s="176" t="e">
        <f>(ES19-EJ19)/EJ19</f>
        <v>#DIV/0!</v>
      </c>
      <c r="EY19" s="176" t="e">
        <f>(ER19-EG19)/EG19</f>
        <v>#DIV/0!</v>
      </c>
      <c r="EZ19" s="175"/>
      <c r="FA19" s="175"/>
      <c r="FB19" s="175"/>
      <c r="FC19" s="175"/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801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</row>
    <row r="20" spans="1:221" ht="15">
      <c r="B20" s="175"/>
      <c r="C20" s="800" t="s">
        <v>214</v>
      </c>
      <c r="D20" s="357">
        <v>1450022</v>
      </c>
      <c r="E20" s="357">
        <v>36</v>
      </c>
      <c r="F20" s="357" t="s">
        <v>215</v>
      </c>
      <c r="G20" s="426" t="s">
        <v>216</v>
      </c>
      <c r="H20" s="148" t="s">
        <v>169</v>
      </c>
      <c r="I20" s="448" t="s">
        <v>170</v>
      </c>
      <c r="J20" s="357"/>
      <c r="K20" s="357"/>
      <c r="L20" s="357"/>
      <c r="M20" s="358"/>
      <c r="N20" s="361">
        <v>107</v>
      </c>
      <c r="O20" s="358"/>
      <c r="P20" s="402">
        <v>38164.730000000003</v>
      </c>
      <c r="Q20" s="402"/>
      <c r="R20" s="402">
        <v>756933.86</v>
      </c>
      <c r="S20" s="358">
        <v>26319</v>
      </c>
      <c r="T20" s="188" t="s">
        <v>171</v>
      </c>
      <c r="U20" s="358"/>
      <c r="V20" s="358"/>
      <c r="W20" s="358"/>
      <c r="X20" s="402">
        <f t="shared" si="1"/>
        <v>1021755.05</v>
      </c>
      <c r="Y20" s="402">
        <v>-49044.24</v>
      </c>
      <c r="Z20" s="402">
        <v>0</v>
      </c>
      <c r="AA20" s="402">
        <v>972710.81</v>
      </c>
      <c r="AB20" s="450">
        <v>33757</v>
      </c>
      <c r="AC20" s="173" t="s">
        <v>172</v>
      </c>
      <c r="AD20" s="173" t="s">
        <v>173</v>
      </c>
      <c r="AE20" s="164" t="b">
        <v>1</v>
      </c>
      <c r="AF20" s="164" t="b">
        <v>1</v>
      </c>
      <c r="AG20" s="409">
        <f>(AB20-S20)/S20</f>
        <v>0.28260952163836012</v>
      </c>
      <c r="AH20" s="409">
        <f>(AA20-R20)/R20</f>
        <v>0.28506711273294089</v>
      </c>
      <c r="AI20" s="402">
        <f t="shared" si="2"/>
        <v>766256.7</v>
      </c>
      <c r="AJ20" s="364">
        <v>-36780.32</v>
      </c>
      <c r="AK20" s="364">
        <v>0</v>
      </c>
      <c r="AL20" s="364">
        <v>729476.38</v>
      </c>
      <c r="AM20" s="1069">
        <v>24179</v>
      </c>
      <c r="AN20" s="407">
        <v>46122</v>
      </c>
      <c r="AO20" s="148" t="s">
        <v>174</v>
      </c>
      <c r="AP20" s="860" t="b">
        <v>1</v>
      </c>
      <c r="AQ20" s="860" t="b">
        <v>1</v>
      </c>
      <c r="AR20" s="409">
        <f t="shared" si="0"/>
        <v>-0.28373374411233226</v>
      </c>
      <c r="AS20" s="409">
        <f>(AL20-AA20)/AA20</f>
        <v>-0.25005831897766206</v>
      </c>
      <c r="AT20" s="402">
        <f t="shared" si="3"/>
        <v>0</v>
      </c>
      <c r="AU20" s="402"/>
      <c r="AV20" s="402"/>
      <c r="AW20" s="402"/>
      <c r="AX20" s="358"/>
      <c r="AY20" s="358"/>
      <c r="AZ20" s="358"/>
      <c r="BA20" s="164" t="b">
        <v>0</v>
      </c>
      <c r="BB20" s="164" t="b">
        <v>0</v>
      </c>
      <c r="BC20" s="358">
        <f>(AX20-AM20)/AM20</f>
        <v>-1</v>
      </c>
      <c r="BD20" s="358">
        <f>(AW20-AL20)/AL20</f>
        <v>-1</v>
      </c>
      <c r="BE20" s="402">
        <f>BH20 + ABS(BF20) + ABS(BG20)</f>
        <v>0</v>
      </c>
      <c r="BF20" s="402"/>
      <c r="BG20" s="402"/>
      <c r="BH20" s="402"/>
      <c r="BI20" s="358"/>
      <c r="BJ20" s="358"/>
      <c r="BK20" s="358"/>
      <c r="BL20" s="164" t="b">
        <v>0</v>
      </c>
      <c r="BM20" s="164" t="b">
        <v>0</v>
      </c>
      <c r="BN20" s="358" t="e">
        <f>(BI20-AZ20)/AZ20</f>
        <v>#DIV/0!</v>
      </c>
      <c r="BO20" s="358" t="e">
        <f>(BH20-AW20)/AW20</f>
        <v>#DIV/0!</v>
      </c>
      <c r="BP20" s="402">
        <f>BS20 + ABS(BQ20) + ABS(BR20)</f>
        <v>0</v>
      </c>
      <c r="BQ20" s="402"/>
      <c r="BR20" s="402"/>
      <c r="BS20" s="402"/>
      <c r="BT20" s="358"/>
      <c r="BU20" s="358"/>
      <c r="BV20" s="358"/>
      <c r="BW20" s="164" t="b">
        <v>0</v>
      </c>
      <c r="BX20" s="164" t="b">
        <v>0</v>
      </c>
      <c r="BY20" s="358" t="e">
        <f>(BT20-BI20)/BI20</f>
        <v>#DIV/0!</v>
      </c>
      <c r="BZ20" s="358" t="e">
        <f>(BS20-BH20)/BH20</f>
        <v>#DIV/0!</v>
      </c>
      <c r="CA20" s="402">
        <f>CD20 + ABS(CB20) + ABS(CC20)</f>
        <v>0</v>
      </c>
      <c r="CB20" s="402"/>
      <c r="CC20" s="402"/>
      <c r="CD20" s="402"/>
      <c r="CE20" s="358"/>
      <c r="CF20" s="358"/>
      <c r="CG20" s="358"/>
      <c r="CH20" s="164" t="b">
        <v>0</v>
      </c>
      <c r="CI20" s="164" t="b">
        <v>0</v>
      </c>
      <c r="CJ20" s="358" t="e">
        <f>(CE20-BV20)/BV20</f>
        <v>#DIV/0!</v>
      </c>
      <c r="CK20" s="358" t="e">
        <f>(CD20-BS20)/BS20</f>
        <v>#DIV/0!</v>
      </c>
      <c r="CL20" s="402">
        <f>CO20 + ABS(CM20) + ABS(CN20)</f>
        <v>0</v>
      </c>
      <c r="CM20" s="402"/>
      <c r="CN20" s="402"/>
      <c r="CO20" s="402"/>
      <c r="CP20" s="358"/>
      <c r="CQ20" s="358"/>
      <c r="CR20" s="358"/>
      <c r="CS20" s="164" t="b">
        <v>0</v>
      </c>
      <c r="CT20" s="164" t="b">
        <v>0</v>
      </c>
      <c r="CU20" s="358" t="e">
        <f>(CP20-CE20)/CE20</f>
        <v>#DIV/0!</v>
      </c>
      <c r="CV20" s="358" t="e">
        <f>(CO20-CD20)/CD20</f>
        <v>#DIV/0!</v>
      </c>
      <c r="CW20" s="402">
        <f>CZ20 + ABS(CX20) + ABS(CY20)</f>
        <v>0</v>
      </c>
      <c r="CX20" s="402"/>
      <c r="CY20" s="402"/>
      <c r="CZ20" s="402"/>
      <c r="DA20" s="358"/>
      <c r="DB20" s="358"/>
      <c r="DC20" s="358"/>
      <c r="DD20" s="164" t="b">
        <v>0</v>
      </c>
      <c r="DE20" s="164" t="b">
        <v>0</v>
      </c>
      <c r="DF20" s="358" t="e">
        <f>(DA20-CR20)/CR20</f>
        <v>#DIV/0!</v>
      </c>
      <c r="DG20" s="358" t="e">
        <f>(CZ20-CO20)/CO20</f>
        <v>#DIV/0!</v>
      </c>
      <c r="DH20" s="402">
        <f>DK20 + ABS(DI20) + ABS(DJ20)</f>
        <v>0</v>
      </c>
      <c r="DI20" s="402"/>
      <c r="DJ20" s="402"/>
      <c r="DK20" s="402"/>
      <c r="DL20" s="358"/>
      <c r="DM20" s="358"/>
      <c r="DN20" s="358"/>
      <c r="DO20" s="164" t="b">
        <v>0</v>
      </c>
      <c r="DP20" s="164" t="b">
        <v>0</v>
      </c>
      <c r="DQ20" s="358" t="e">
        <f>(DL20-DA20)/DA20</f>
        <v>#DIV/0!</v>
      </c>
      <c r="DR20" s="358" t="e">
        <f>(DK20-CZ20)/CZ20</f>
        <v>#DIV/0!</v>
      </c>
      <c r="DS20" s="402">
        <f>DV20 + ABS(DT20) + ABS(DU20)</f>
        <v>0</v>
      </c>
      <c r="DT20" s="402"/>
      <c r="DU20" s="402"/>
      <c r="DV20" s="402"/>
      <c r="DW20" s="358"/>
      <c r="DX20" s="358"/>
      <c r="DY20" s="358"/>
      <c r="DZ20" s="164" t="b">
        <v>0</v>
      </c>
      <c r="EA20" s="164" t="b">
        <v>0</v>
      </c>
      <c r="EB20" s="358" t="e">
        <f>(DW20-DN20)/DN20</f>
        <v>#DIV/0!</v>
      </c>
      <c r="EC20" s="358" t="e">
        <f>(DV20-DK20)/DK20</f>
        <v>#DIV/0!</v>
      </c>
      <c r="ED20" s="402">
        <f>EG20 + ABS(EE20) + ABS(EF20)</f>
        <v>0</v>
      </c>
      <c r="EE20" s="402"/>
      <c r="EF20" s="402"/>
      <c r="EG20" s="402"/>
      <c r="EH20" s="358"/>
      <c r="EI20" s="358"/>
      <c r="EJ20" s="358"/>
      <c r="EK20" s="164" t="b">
        <v>0</v>
      </c>
      <c r="EL20" s="164" t="b">
        <v>0</v>
      </c>
      <c r="EM20" s="358" t="e">
        <f>(EH20-DW20)/DW20</f>
        <v>#DIV/0!</v>
      </c>
      <c r="EN20" s="358" t="e">
        <f>(EG20-DV20)/DV20</f>
        <v>#DIV/0!</v>
      </c>
      <c r="EO20" s="402">
        <f>ER20 + ABS(EP20) + ABS(EQ20)</f>
        <v>0</v>
      </c>
      <c r="EP20" s="402"/>
      <c r="EQ20" s="402"/>
      <c r="ER20" s="402"/>
      <c r="ES20" s="358"/>
      <c r="ET20" s="358"/>
      <c r="EU20" s="358"/>
      <c r="EV20" s="164" t="b">
        <v>0</v>
      </c>
      <c r="EW20" s="164" t="b">
        <v>0</v>
      </c>
      <c r="EX20" s="358" t="e">
        <f>(ES20-EJ20)/EJ20</f>
        <v>#DIV/0!</v>
      </c>
      <c r="EY20" s="358" t="e">
        <f>(ER20-EG20)/EG20</f>
        <v>#DIV/0!</v>
      </c>
      <c r="EZ20" s="449"/>
      <c r="FA20" s="449"/>
      <c r="FB20" s="449"/>
      <c r="FC20" s="449"/>
      <c r="FD20" s="449"/>
      <c r="FE20" s="449"/>
      <c r="FF20" s="449"/>
      <c r="FG20" s="449"/>
      <c r="FH20" s="449"/>
      <c r="FI20" s="449"/>
      <c r="FJ20" s="449"/>
      <c r="FK20" s="449"/>
      <c r="FL20" s="449"/>
      <c r="FM20" s="449"/>
      <c r="FN20" s="449"/>
      <c r="FO20" s="449"/>
      <c r="FP20" s="449"/>
      <c r="FQ20" s="803"/>
      <c r="FR20" s="449"/>
      <c r="FS20" s="449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</row>
    <row r="21" spans="1:221" ht="15">
      <c r="B21" s="175"/>
      <c r="C21" s="802" t="s">
        <v>217</v>
      </c>
      <c r="D21" s="154">
        <v>1450022</v>
      </c>
      <c r="E21" s="154">
        <v>38</v>
      </c>
      <c r="F21" s="154" t="s">
        <v>218</v>
      </c>
      <c r="G21" s="255" t="s">
        <v>219</v>
      </c>
      <c r="H21" s="171" t="s">
        <v>169</v>
      </c>
      <c r="I21" s="445" t="s">
        <v>170</v>
      </c>
      <c r="J21" s="154"/>
      <c r="K21" s="154"/>
      <c r="L21" s="154"/>
      <c r="M21" s="176"/>
      <c r="N21" s="193">
        <v>107</v>
      </c>
      <c r="O21" s="176"/>
      <c r="P21" s="203">
        <v>1836.95</v>
      </c>
      <c r="Q21" s="203"/>
      <c r="R21" s="203">
        <v>36432.82</v>
      </c>
      <c r="S21" s="176">
        <v>1304</v>
      </c>
      <c r="T21" s="188" t="s">
        <v>171</v>
      </c>
      <c r="U21" s="176"/>
      <c r="V21" s="176"/>
      <c r="W21" s="176"/>
      <c r="X21" s="203">
        <f t="shared" si="1"/>
        <v>50002.75</v>
      </c>
      <c r="Y21" s="203">
        <v>-2400.13</v>
      </c>
      <c r="Z21" s="203">
        <v>0</v>
      </c>
      <c r="AA21" s="203">
        <v>47602.62</v>
      </c>
      <c r="AB21" s="446">
        <v>1673</v>
      </c>
      <c r="AC21" s="444" t="s">
        <v>172</v>
      </c>
      <c r="AD21" s="444" t="s">
        <v>173</v>
      </c>
      <c r="AE21" s="177" t="b">
        <v>1</v>
      </c>
      <c r="AF21" s="177" t="b">
        <v>1</v>
      </c>
      <c r="AG21" s="392">
        <f>(AB21-S21)/S21</f>
        <v>0.28297546012269936</v>
      </c>
      <c r="AH21" s="392">
        <f>(AA21-R21)/R21</f>
        <v>0.30658620441678691</v>
      </c>
      <c r="AI21" s="203">
        <f t="shared" si="2"/>
        <v>33841.79</v>
      </c>
      <c r="AJ21" s="368">
        <v>-1624.41</v>
      </c>
      <c r="AK21" s="368">
        <v>0</v>
      </c>
      <c r="AL21" s="368">
        <v>32217.38</v>
      </c>
      <c r="AM21" s="1068">
        <v>1105</v>
      </c>
      <c r="AN21" s="172">
        <v>46122</v>
      </c>
      <c r="AO21" s="171" t="s">
        <v>174</v>
      </c>
      <c r="AP21" s="861" t="b">
        <v>1</v>
      </c>
      <c r="AQ21" s="861" t="b">
        <v>1</v>
      </c>
      <c r="AR21" s="392">
        <f t="shared" si="0"/>
        <v>-0.33950986252241483</v>
      </c>
      <c r="AS21" s="392">
        <f>(AL21-AA21)/AA21</f>
        <v>-0.32320153806660223</v>
      </c>
      <c r="AT21" s="203">
        <f t="shared" si="3"/>
        <v>0</v>
      </c>
      <c r="AU21" s="203"/>
      <c r="AV21" s="203"/>
      <c r="AW21" s="203"/>
      <c r="AX21" s="176"/>
      <c r="AY21" s="176"/>
      <c r="AZ21" s="176"/>
      <c r="BA21" s="177" t="b">
        <v>0</v>
      </c>
      <c r="BB21" s="177" t="b">
        <v>0</v>
      </c>
      <c r="BC21" s="176">
        <f>(AX21-AM21)/AM21</f>
        <v>-1</v>
      </c>
      <c r="BD21" s="176">
        <f>(AW21-AL21)/AL21</f>
        <v>-1</v>
      </c>
      <c r="BE21" s="203">
        <f>BH21 + ABS(BF21) + ABS(BG21)</f>
        <v>0</v>
      </c>
      <c r="BF21" s="203"/>
      <c r="BG21" s="203"/>
      <c r="BH21" s="203"/>
      <c r="BI21" s="176"/>
      <c r="BJ21" s="176"/>
      <c r="BK21" s="176"/>
      <c r="BL21" s="177" t="b">
        <v>0</v>
      </c>
      <c r="BM21" s="177" t="b">
        <v>0</v>
      </c>
      <c r="BN21" s="176" t="e">
        <f>(BI21-AZ21)/AZ21</f>
        <v>#DIV/0!</v>
      </c>
      <c r="BO21" s="176" t="e">
        <f>(BH21-AW21)/AW21</f>
        <v>#DIV/0!</v>
      </c>
      <c r="BP21" s="203">
        <f>BS21 + ABS(BQ21) + ABS(BR21)</f>
        <v>0</v>
      </c>
      <c r="BQ21" s="203"/>
      <c r="BR21" s="203"/>
      <c r="BS21" s="203"/>
      <c r="BT21" s="176"/>
      <c r="BU21" s="176"/>
      <c r="BV21" s="176"/>
      <c r="BW21" s="177" t="b">
        <v>0</v>
      </c>
      <c r="BX21" s="177" t="b">
        <v>0</v>
      </c>
      <c r="BY21" s="176" t="e">
        <f>(BT21-BI21)/BI21</f>
        <v>#DIV/0!</v>
      </c>
      <c r="BZ21" s="176" t="e">
        <f>(BS21-BH21)/BH21</f>
        <v>#DIV/0!</v>
      </c>
      <c r="CA21" s="203">
        <f>CD21 + ABS(CB21) + ABS(CC21)</f>
        <v>0</v>
      </c>
      <c r="CB21" s="203"/>
      <c r="CC21" s="203"/>
      <c r="CD21" s="203"/>
      <c r="CE21" s="176"/>
      <c r="CF21" s="176"/>
      <c r="CG21" s="176"/>
      <c r="CH21" s="177" t="b">
        <v>0</v>
      </c>
      <c r="CI21" s="177" t="b">
        <v>0</v>
      </c>
      <c r="CJ21" s="176" t="e">
        <f>(CE21-BV21)/BV21</f>
        <v>#DIV/0!</v>
      </c>
      <c r="CK21" s="176" t="e">
        <f>(CD21-BS21)/BS21</f>
        <v>#DIV/0!</v>
      </c>
      <c r="CL21" s="203">
        <f>CO21 + ABS(CM21) + ABS(CN21)</f>
        <v>0</v>
      </c>
      <c r="CM21" s="203"/>
      <c r="CN21" s="203"/>
      <c r="CO21" s="203"/>
      <c r="CP21" s="176"/>
      <c r="CQ21" s="176"/>
      <c r="CR21" s="176"/>
      <c r="CS21" s="177" t="b">
        <v>0</v>
      </c>
      <c r="CT21" s="177" t="b">
        <v>0</v>
      </c>
      <c r="CU21" s="176" t="e">
        <f>(CP21-CE21)/CE21</f>
        <v>#DIV/0!</v>
      </c>
      <c r="CV21" s="176" t="e">
        <f>(CO21-CD21)/CD21</f>
        <v>#DIV/0!</v>
      </c>
      <c r="CW21" s="203">
        <f>CZ21 + ABS(CX21) + ABS(CY21)</f>
        <v>0</v>
      </c>
      <c r="CX21" s="203"/>
      <c r="CY21" s="203"/>
      <c r="CZ21" s="203"/>
      <c r="DA21" s="176"/>
      <c r="DB21" s="176"/>
      <c r="DC21" s="176"/>
      <c r="DD21" s="177" t="b">
        <v>0</v>
      </c>
      <c r="DE21" s="177" t="b">
        <v>0</v>
      </c>
      <c r="DF21" s="176" t="e">
        <f>(DA21-CR21)/CR21</f>
        <v>#DIV/0!</v>
      </c>
      <c r="DG21" s="176" t="e">
        <f>(CZ21-CO21)/CO21</f>
        <v>#DIV/0!</v>
      </c>
      <c r="DH21" s="203">
        <f>DK21 + ABS(DI21) + ABS(DJ21)</f>
        <v>0</v>
      </c>
      <c r="DI21" s="203"/>
      <c r="DJ21" s="203"/>
      <c r="DK21" s="203"/>
      <c r="DL21" s="176"/>
      <c r="DM21" s="176"/>
      <c r="DN21" s="176"/>
      <c r="DO21" s="177" t="b">
        <v>0</v>
      </c>
      <c r="DP21" s="177" t="b">
        <v>0</v>
      </c>
      <c r="DQ21" s="176" t="e">
        <f>(DL21-DA21)/DA21</f>
        <v>#DIV/0!</v>
      </c>
      <c r="DR21" s="176" t="e">
        <f>(DK21-CZ21)/CZ21</f>
        <v>#DIV/0!</v>
      </c>
      <c r="DS21" s="203">
        <f>DV21 + ABS(DT21) + ABS(DU21)</f>
        <v>0</v>
      </c>
      <c r="DT21" s="203"/>
      <c r="DU21" s="203"/>
      <c r="DV21" s="203"/>
      <c r="DW21" s="176"/>
      <c r="DX21" s="176"/>
      <c r="DY21" s="176"/>
      <c r="DZ21" s="177" t="b">
        <v>0</v>
      </c>
      <c r="EA21" s="177" t="b">
        <v>0</v>
      </c>
      <c r="EB21" s="176" t="e">
        <f>(DW21-DN21)/DN21</f>
        <v>#DIV/0!</v>
      </c>
      <c r="EC21" s="176" t="e">
        <f>(DV21-DK21)/DK21</f>
        <v>#DIV/0!</v>
      </c>
      <c r="ED21" s="203">
        <f>EG21 + ABS(EE21) + ABS(EF21)</f>
        <v>0</v>
      </c>
      <c r="EE21" s="203"/>
      <c r="EF21" s="203"/>
      <c r="EG21" s="203"/>
      <c r="EH21" s="176"/>
      <c r="EI21" s="176"/>
      <c r="EJ21" s="176"/>
      <c r="EK21" s="177" t="b">
        <v>0</v>
      </c>
      <c r="EL21" s="177" t="b">
        <v>0</v>
      </c>
      <c r="EM21" s="176" t="e">
        <f>(EH21-DW21)/DW21</f>
        <v>#DIV/0!</v>
      </c>
      <c r="EN21" s="176" t="e">
        <f>(EG21-DV21)/DV21</f>
        <v>#DIV/0!</v>
      </c>
      <c r="EO21" s="203">
        <f>ER21 + ABS(EP21) + ABS(EQ21)</f>
        <v>0</v>
      </c>
      <c r="EP21" s="203"/>
      <c r="EQ21" s="203"/>
      <c r="ER21" s="203"/>
      <c r="ES21" s="176"/>
      <c r="ET21" s="176"/>
      <c r="EU21" s="176"/>
      <c r="EV21" s="177" t="b">
        <v>0</v>
      </c>
      <c r="EW21" s="177" t="b">
        <v>0</v>
      </c>
      <c r="EX21" s="176" t="e">
        <f>(ES21-EJ21)/EJ21</f>
        <v>#DIV/0!</v>
      </c>
      <c r="EY21" s="176" t="e">
        <f>(ER21-EG21)/EG21</f>
        <v>#DIV/0!</v>
      </c>
      <c r="EZ21" s="175"/>
      <c r="FA21" s="175"/>
      <c r="FB21" s="175"/>
      <c r="FC21" s="175"/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801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</row>
    <row r="22" spans="1:221" ht="15">
      <c r="B22" s="175"/>
      <c r="C22" s="802" t="s">
        <v>217</v>
      </c>
      <c r="D22" s="154">
        <v>1450022</v>
      </c>
      <c r="E22" s="154">
        <v>38</v>
      </c>
      <c r="F22" s="154" t="s">
        <v>220</v>
      </c>
      <c r="G22" s="255" t="s">
        <v>221</v>
      </c>
      <c r="H22" s="171" t="s">
        <v>169</v>
      </c>
      <c r="I22" s="445" t="s">
        <v>170</v>
      </c>
      <c r="J22" s="154"/>
      <c r="K22" s="154"/>
      <c r="L22" s="154"/>
      <c r="M22" s="176"/>
      <c r="N22" s="418">
        <v>107</v>
      </c>
      <c r="O22" s="176"/>
      <c r="P22" s="203">
        <v>3662.41</v>
      </c>
      <c r="Q22" s="203"/>
      <c r="R22" s="203">
        <v>72637.899999999994</v>
      </c>
      <c r="S22" s="176">
        <v>2561</v>
      </c>
      <c r="T22" s="188" t="s">
        <v>171</v>
      </c>
      <c r="U22" s="176"/>
      <c r="V22" s="176"/>
      <c r="W22" s="176"/>
      <c r="X22" s="203">
        <f t="shared" si="1"/>
        <v>97405.35</v>
      </c>
      <c r="Y22" s="203">
        <v>-4675.46</v>
      </c>
      <c r="Z22" s="203">
        <v>0</v>
      </c>
      <c r="AA22" s="203">
        <v>92729.89</v>
      </c>
      <c r="AB22" s="446">
        <v>3222</v>
      </c>
      <c r="AC22" s="444" t="s">
        <v>172</v>
      </c>
      <c r="AD22" s="444" t="s">
        <v>173</v>
      </c>
      <c r="AE22" s="177" t="b">
        <v>1</v>
      </c>
      <c r="AF22" s="177" t="b">
        <v>1</v>
      </c>
      <c r="AG22" s="392">
        <f>(AB22-S22)/S22</f>
        <v>0.25810230378758298</v>
      </c>
      <c r="AH22" s="392">
        <f>(AA22-R22)/R22</f>
        <v>0.27660477519311555</v>
      </c>
      <c r="AI22" s="203">
        <f t="shared" si="2"/>
        <v>99992.12</v>
      </c>
      <c r="AJ22" s="368">
        <v>-4799.62</v>
      </c>
      <c r="AK22" s="368">
        <v>0</v>
      </c>
      <c r="AL22" s="368">
        <v>95192.5</v>
      </c>
      <c r="AM22" s="1068">
        <v>3189</v>
      </c>
      <c r="AN22" s="172">
        <v>46122</v>
      </c>
      <c r="AO22" s="171" t="s">
        <v>174</v>
      </c>
      <c r="AP22" s="861" t="b">
        <v>1</v>
      </c>
      <c r="AQ22" s="861" t="b">
        <v>1</v>
      </c>
      <c r="AR22" s="392">
        <f t="shared" si="0"/>
        <v>-1.0242085661080074E-2</v>
      </c>
      <c r="AS22" s="392">
        <f>(AL22-AA22)/AA22</f>
        <v>2.6556809244570448E-2</v>
      </c>
      <c r="AT22" s="203">
        <f t="shared" si="3"/>
        <v>0</v>
      </c>
      <c r="AU22" s="203"/>
      <c r="AV22" s="203"/>
      <c r="AW22" s="203"/>
      <c r="AX22" s="176"/>
      <c r="AY22" s="176"/>
      <c r="AZ22" s="176"/>
      <c r="BA22" s="177" t="b">
        <v>0</v>
      </c>
      <c r="BB22" s="177" t="b">
        <v>0</v>
      </c>
      <c r="BC22" s="176">
        <f>(AX22-AM22)/AM22</f>
        <v>-1</v>
      </c>
      <c r="BD22" s="176">
        <f>(AW22-AL22)/AL22</f>
        <v>-1</v>
      </c>
      <c r="BE22" s="203">
        <f>BH22 + ABS(BF22) + ABS(BG22)</f>
        <v>0</v>
      </c>
      <c r="BF22" s="203"/>
      <c r="BG22" s="203"/>
      <c r="BH22" s="203"/>
      <c r="BI22" s="176"/>
      <c r="BJ22" s="176"/>
      <c r="BK22" s="176"/>
      <c r="BL22" s="177" t="b">
        <v>0</v>
      </c>
      <c r="BM22" s="177" t="b">
        <v>0</v>
      </c>
      <c r="BN22" s="176" t="e">
        <f>(BI22-AZ22)/AZ22</f>
        <v>#DIV/0!</v>
      </c>
      <c r="BO22" s="176" t="e">
        <f>(BH22-AW22)/AW22</f>
        <v>#DIV/0!</v>
      </c>
      <c r="BP22" s="203">
        <f>BS22 + ABS(BQ22) + ABS(BR22)</f>
        <v>0</v>
      </c>
      <c r="BQ22" s="203"/>
      <c r="BR22" s="203"/>
      <c r="BS22" s="203"/>
      <c r="BT22" s="176"/>
      <c r="BU22" s="176"/>
      <c r="BV22" s="176"/>
      <c r="BW22" s="177" t="b">
        <v>0</v>
      </c>
      <c r="BX22" s="177" t="b">
        <v>0</v>
      </c>
      <c r="BY22" s="176" t="e">
        <f>(BT22-BI22)/BI22</f>
        <v>#DIV/0!</v>
      </c>
      <c r="BZ22" s="176" t="e">
        <f>(BS22-BH22)/BH22</f>
        <v>#DIV/0!</v>
      </c>
      <c r="CA22" s="203">
        <f>CD22 + ABS(CB22) + ABS(CC22)</f>
        <v>0</v>
      </c>
      <c r="CB22" s="203"/>
      <c r="CC22" s="203"/>
      <c r="CD22" s="203"/>
      <c r="CE22" s="176"/>
      <c r="CF22" s="176"/>
      <c r="CG22" s="176"/>
      <c r="CH22" s="177" t="b">
        <v>0</v>
      </c>
      <c r="CI22" s="177" t="b">
        <v>0</v>
      </c>
      <c r="CJ22" s="176" t="e">
        <f>(CE22-BV22)/BV22</f>
        <v>#DIV/0!</v>
      </c>
      <c r="CK22" s="176" t="e">
        <f>(CD22-BS22)/BS22</f>
        <v>#DIV/0!</v>
      </c>
      <c r="CL22" s="203">
        <f>CO22 + ABS(CM22) + ABS(CN22)</f>
        <v>0</v>
      </c>
      <c r="CM22" s="203"/>
      <c r="CN22" s="203"/>
      <c r="CO22" s="203"/>
      <c r="CP22" s="176"/>
      <c r="CQ22" s="176"/>
      <c r="CR22" s="176"/>
      <c r="CS22" s="177" t="b">
        <v>0</v>
      </c>
      <c r="CT22" s="177" t="b">
        <v>0</v>
      </c>
      <c r="CU22" s="176" t="e">
        <f>(CP22-CE22)/CE22</f>
        <v>#DIV/0!</v>
      </c>
      <c r="CV22" s="176" t="e">
        <f>(CO22-CD22)/CD22</f>
        <v>#DIV/0!</v>
      </c>
      <c r="CW22" s="203">
        <f>CZ22 + ABS(CX22) + ABS(CY22)</f>
        <v>0</v>
      </c>
      <c r="CX22" s="203"/>
      <c r="CY22" s="203"/>
      <c r="CZ22" s="203"/>
      <c r="DA22" s="176"/>
      <c r="DB22" s="176"/>
      <c r="DC22" s="176"/>
      <c r="DD22" s="177" t="b">
        <v>0</v>
      </c>
      <c r="DE22" s="177" t="b">
        <v>0</v>
      </c>
      <c r="DF22" s="176" t="e">
        <f>(DA22-CR22)/CR22</f>
        <v>#DIV/0!</v>
      </c>
      <c r="DG22" s="176" t="e">
        <f>(CZ22-CO22)/CO22</f>
        <v>#DIV/0!</v>
      </c>
      <c r="DH22" s="203">
        <f>DK22 + ABS(DI22) + ABS(DJ22)</f>
        <v>0</v>
      </c>
      <c r="DI22" s="203"/>
      <c r="DJ22" s="203"/>
      <c r="DK22" s="203"/>
      <c r="DL22" s="176"/>
      <c r="DM22" s="176"/>
      <c r="DN22" s="176"/>
      <c r="DO22" s="177" t="b">
        <v>0</v>
      </c>
      <c r="DP22" s="177" t="b">
        <v>0</v>
      </c>
      <c r="DQ22" s="176" t="e">
        <f>(DL22-DA22)/DA22</f>
        <v>#DIV/0!</v>
      </c>
      <c r="DR22" s="176" t="e">
        <f>(DK22-CZ22)/CZ22</f>
        <v>#DIV/0!</v>
      </c>
      <c r="DS22" s="203">
        <f>DV22 + ABS(DT22) + ABS(DU22)</f>
        <v>0</v>
      </c>
      <c r="DT22" s="203"/>
      <c r="DU22" s="203"/>
      <c r="DV22" s="203"/>
      <c r="DW22" s="176"/>
      <c r="DX22" s="176"/>
      <c r="DY22" s="176"/>
      <c r="DZ22" s="177" t="b">
        <v>0</v>
      </c>
      <c r="EA22" s="177" t="b">
        <v>0</v>
      </c>
      <c r="EB22" s="176" t="e">
        <f>(DW22-DN22)/DN22</f>
        <v>#DIV/0!</v>
      </c>
      <c r="EC22" s="176" t="e">
        <f>(DV22-DK22)/DK22</f>
        <v>#DIV/0!</v>
      </c>
      <c r="ED22" s="203">
        <f>EG22 + ABS(EE22) + ABS(EF22)</f>
        <v>0</v>
      </c>
      <c r="EE22" s="203"/>
      <c r="EF22" s="203"/>
      <c r="EG22" s="203"/>
      <c r="EH22" s="176"/>
      <c r="EI22" s="176"/>
      <c r="EJ22" s="176"/>
      <c r="EK22" s="177" t="b">
        <v>0</v>
      </c>
      <c r="EL22" s="177" t="b">
        <v>0</v>
      </c>
      <c r="EM22" s="176" t="e">
        <f>(EH22-DW22)/DW22</f>
        <v>#DIV/0!</v>
      </c>
      <c r="EN22" s="176" t="e">
        <f>(EG22-DV22)/DV22</f>
        <v>#DIV/0!</v>
      </c>
      <c r="EO22" s="203">
        <f>ER22 + ABS(EP22) + ABS(EQ22)</f>
        <v>0</v>
      </c>
      <c r="EP22" s="203"/>
      <c r="EQ22" s="203"/>
      <c r="ER22" s="203"/>
      <c r="ES22" s="176"/>
      <c r="ET22" s="176"/>
      <c r="EU22" s="176"/>
      <c r="EV22" s="177" t="b">
        <v>0</v>
      </c>
      <c r="EW22" s="177" t="b">
        <v>0</v>
      </c>
      <c r="EX22" s="176" t="e">
        <f>(ES22-EJ22)/EJ22</f>
        <v>#DIV/0!</v>
      </c>
      <c r="EY22" s="176" t="e">
        <f>(ER22-EG22)/EG22</f>
        <v>#DIV/0!</v>
      </c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801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</row>
    <row r="23" spans="1:221" ht="15">
      <c r="B23" s="175"/>
      <c r="C23" s="802" t="s">
        <v>217</v>
      </c>
      <c r="D23" s="154">
        <v>1450022</v>
      </c>
      <c r="E23" s="154">
        <v>38</v>
      </c>
      <c r="F23" s="154" t="s">
        <v>222</v>
      </c>
      <c r="G23" s="255" t="s">
        <v>223</v>
      </c>
      <c r="H23" s="171" t="s">
        <v>169</v>
      </c>
      <c r="I23" s="445" t="s">
        <v>170</v>
      </c>
      <c r="J23" s="154"/>
      <c r="K23" s="154"/>
      <c r="L23" s="154"/>
      <c r="M23" s="176"/>
      <c r="N23" s="193">
        <v>107</v>
      </c>
      <c r="O23" s="176"/>
      <c r="P23" s="203">
        <v>2364.11</v>
      </c>
      <c r="Q23" s="203"/>
      <c r="R23" s="203">
        <v>46888.23</v>
      </c>
      <c r="S23" s="176">
        <v>1667</v>
      </c>
      <c r="T23" s="188" t="s">
        <v>171</v>
      </c>
      <c r="U23" s="176"/>
      <c r="V23" s="176"/>
      <c r="W23" s="176"/>
      <c r="X23" s="203">
        <f t="shared" si="1"/>
        <v>70842.759999999995</v>
      </c>
      <c r="Y23" s="203">
        <v>-3400.45</v>
      </c>
      <c r="Z23" s="203">
        <v>0</v>
      </c>
      <c r="AA23" s="203">
        <v>67442.31</v>
      </c>
      <c r="AB23" s="446">
        <v>2354</v>
      </c>
      <c r="AC23" s="444" t="s">
        <v>172</v>
      </c>
      <c r="AD23" s="444" t="s">
        <v>173</v>
      </c>
      <c r="AE23" s="177" t="b">
        <v>1</v>
      </c>
      <c r="AF23" s="177" t="b">
        <v>1</v>
      </c>
      <c r="AG23" s="392">
        <f>(AB23-S23)/S23</f>
        <v>0.41211757648470304</v>
      </c>
      <c r="AH23" s="392">
        <f>(AA23-R23)/R23</f>
        <v>0.43836331633759673</v>
      </c>
      <c r="AI23" s="203">
        <f t="shared" si="2"/>
        <v>37587.350000000006</v>
      </c>
      <c r="AJ23" s="368">
        <v>-1804.19</v>
      </c>
      <c r="AK23" s="368">
        <v>0</v>
      </c>
      <c r="AL23" s="368">
        <v>35783.160000000003</v>
      </c>
      <c r="AM23" s="1068">
        <v>1223</v>
      </c>
      <c r="AN23" s="172">
        <v>46122</v>
      </c>
      <c r="AO23" s="171" t="s">
        <v>174</v>
      </c>
      <c r="AP23" s="861" t="b">
        <v>1</v>
      </c>
      <c r="AQ23" s="861" t="b">
        <v>1</v>
      </c>
      <c r="AR23" s="392">
        <f t="shared" si="0"/>
        <v>-0.48045879354290572</v>
      </c>
      <c r="AS23" s="392">
        <f>(AL23-AA23)/AA23</f>
        <v>-0.46942564689732597</v>
      </c>
      <c r="AT23" s="203">
        <f t="shared" si="3"/>
        <v>0</v>
      </c>
      <c r="AU23" s="203"/>
      <c r="AV23" s="203"/>
      <c r="AW23" s="203"/>
      <c r="AX23" s="176"/>
      <c r="AY23" s="176"/>
      <c r="AZ23" s="176"/>
      <c r="BA23" s="177" t="b">
        <v>0</v>
      </c>
      <c r="BB23" s="177" t="b">
        <v>0</v>
      </c>
      <c r="BC23" s="176">
        <f>(AX23-AM23)/AM23</f>
        <v>-1</v>
      </c>
      <c r="BD23" s="176">
        <f>(AW23-AL23)/AL23</f>
        <v>-1</v>
      </c>
      <c r="BE23" s="203">
        <f>BH23 + ABS(BF23) + ABS(BG23)</f>
        <v>0</v>
      </c>
      <c r="BF23" s="203"/>
      <c r="BG23" s="203"/>
      <c r="BH23" s="203"/>
      <c r="BI23" s="176"/>
      <c r="BJ23" s="176"/>
      <c r="BK23" s="176"/>
      <c r="BL23" s="177" t="b">
        <v>0</v>
      </c>
      <c r="BM23" s="177" t="b">
        <v>0</v>
      </c>
      <c r="BN23" s="176" t="e">
        <f>(BI23-AZ23)/AZ23</f>
        <v>#DIV/0!</v>
      </c>
      <c r="BO23" s="176" t="e">
        <f>(BH23-AW23)/AW23</f>
        <v>#DIV/0!</v>
      </c>
      <c r="BP23" s="203">
        <f>BS23 + ABS(BQ23) + ABS(BR23)</f>
        <v>0</v>
      </c>
      <c r="BQ23" s="203"/>
      <c r="BR23" s="203"/>
      <c r="BS23" s="203"/>
      <c r="BT23" s="176"/>
      <c r="BU23" s="176"/>
      <c r="BV23" s="176"/>
      <c r="BW23" s="177" t="b">
        <v>0</v>
      </c>
      <c r="BX23" s="177" t="b">
        <v>0</v>
      </c>
      <c r="BY23" s="176" t="e">
        <f>(BT23-BI23)/BI23</f>
        <v>#DIV/0!</v>
      </c>
      <c r="BZ23" s="176" t="e">
        <f>(BS23-BH23)/BH23</f>
        <v>#DIV/0!</v>
      </c>
      <c r="CA23" s="203">
        <f>CD23 + ABS(CB23) + ABS(CC23)</f>
        <v>0</v>
      </c>
      <c r="CB23" s="203"/>
      <c r="CC23" s="203"/>
      <c r="CD23" s="203"/>
      <c r="CE23" s="176"/>
      <c r="CF23" s="176"/>
      <c r="CG23" s="176"/>
      <c r="CH23" s="177" t="b">
        <v>0</v>
      </c>
      <c r="CI23" s="177" t="b">
        <v>0</v>
      </c>
      <c r="CJ23" s="176" t="e">
        <f>(CE23-BV23)/BV23</f>
        <v>#DIV/0!</v>
      </c>
      <c r="CK23" s="176" t="e">
        <f>(CD23-BS23)/BS23</f>
        <v>#DIV/0!</v>
      </c>
      <c r="CL23" s="203">
        <f>CO23 + ABS(CM23) + ABS(CN23)</f>
        <v>0</v>
      </c>
      <c r="CM23" s="203"/>
      <c r="CN23" s="203"/>
      <c r="CO23" s="203"/>
      <c r="CP23" s="176"/>
      <c r="CQ23" s="176"/>
      <c r="CR23" s="176"/>
      <c r="CS23" s="177" t="b">
        <v>0</v>
      </c>
      <c r="CT23" s="177" t="b">
        <v>0</v>
      </c>
      <c r="CU23" s="176" t="e">
        <f>(CP23-CE23)/CE23</f>
        <v>#DIV/0!</v>
      </c>
      <c r="CV23" s="176" t="e">
        <f>(CO23-CD23)/CD23</f>
        <v>#DIV/0!</v>
      </c>
      <c r="CW23" s="203">
        <f>CZ23 + ABS(CX23) + ABS(CY23)</f>
        <v>0</v>
      </c>
      <c r="CX23" s="203"/>
      <c r="CY23" s="203"/>
      <c r="CZ23" s="203"/>
      <c r="DA23" s="176"/>
      <c r="DB23" s="176"/>
      <c r="DC23" s="176"/>
      <c r="DD23" s="177" t="b">
        <v>0</v>
      </c>
      <c r="DE23" s="177" t="b">
        <v>0</v>
      </c>
      <c r="DF23" s="176" t="e">
        <f>(DA23-CR23)/CR23</f>
        <v>#DIV/0!</v>
      </c>
      <c r="DG23" s="176" t="e">
        <f>(CZ23-CO23)/CO23</f>
        <v>#DIV/0!</v>
      </c>
      <c r="DH23" s="203">
        <f>DK23 + ABS(DI23) + ABS(DJ23)</f>
        <v>0</v>
      </c>
      <c r="DI23" s="203"/>
      <c r="DJ23" s="203"/>
      <c r="DK23" s="203"/>
      <c r="DL23" s="176"/>
      <c r="DM23" s="176"/>
      <c r="DN23" s="176"/>
      <c r="DO23" s="177" t="b">
        <v>0</v>
      </c>
      <c r="DP23" s="177" t="b">
        <v>0</v>
      </c>
      <c r="DQ23" s="176" t="e">
        <f>(DL23-DA23)/DA23</f>
        <v>#DIV/0!</v>
      </c>
      <c r="DR23" s="176" t="e">
        <f>(DK23-CZ23)/CZ23</f>
        <v>#DIV/0!</v>
      </c>
      <c r="DS23" s="203">
        <f>DV23 + ABS(DT23) + ABS(DU23)</f>
        <v>0</v>
      </c>
      <c r="DT23" s="203"/>
      <c r="DU23" s="203"/>
      <c r="DV23" s="203"/>
      <c r="DW23" s="176"/>
      <c r="DX23" s="176"/>
      <c r="DY23" s="176"/>
      <c r="DZ23" s="177" t="b">
        <v>0</v>
      </c>
      <c r="EA23" s="177" t="b">
        <v>0</v>
      </c>
      <c r="EB23" s="176" t="e">
        <f>(DW23-DN23)/DN23</f>
        <v>#DIV/0!</v>
      </c>
      <c r="EC23" s="176" t="e">
        <f>(DV23-DK23)/DK23</f>
        <v>#DIV/0!</v>
      </c>
      <c r="ED23" s="203">
        <f>EG23 + ABS(EE23) + ABS(EF23)</f>
        <v>0</v>
      </c>
      <c r="EE23" s="203"/>
      <c r="EF23" s="203"/>
      <c r="EG23" s="203"/>
      <c r="EH23" s="176"/>
      <c r="EI23" s="176"/>
      <c r="EJ23" s="176"/>
      <c r="EK23" s="177" t="b">
        <v>0</v>
      </c>
      <c r="EL23" s="177" t="b">
        <v>0</v>
      </c>
      <c r="EM23" s="176" t="e">
        <f>(EH23-DW23)/DW23</f>
        <v>#DIV/0!</v>
      </c>
      <c r="EN23" s="176" t="e">
        <f>(EG23-DV23)/DV23</f>
        <v>#DIV/0!</v>
      </c>
      <c r="EO23" s="203">
        <f>ER23 + ABS(EP23) + ABS(EQ23)</f>
        <v>0</v>
      </c>
      <c r="EP23" s="203"/>
      <c r="EQ23" s="203"/>
      <c r="ER23" s="203"/>
      <c r="ES23" s="176"/>
      <c r="ET23" s="176"/>
      <c r="EU23" s="176"/>
      <c r="EV23" s="177" t="b">
        <v>0</v>
      </c>
      <c r="EW23" s="177" t="b">
        <v>0</v>
      </c>
      <c r="EX23" s="176" t="e">
        <f>(ES23-EJ23)/EJ23</f>
        <v>#DIV/0!</v>
      </c>
      <c r="EY23" s="176" t="e">
        <f>(ER23-EG23)/EG23</f>
        <v>#DIV/0!</v>
      </c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801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</row>
    <row r="24" spans="1:221" s="343" customFormat="1" ht="15">
      <c r="A24" s="184"/>
      <c r="B24" s="175"/>
      <c r="C24" s="804" t="s">
        <v>224</v>
      </c>
      <c r="D24" s="448">
        <v>1450022</v>
      </c>
      <c r="E24" s="448">
        <v>10</v>
      </c>
      <c r="F24" s="448" t="s">
        <v>225</v>
      </c>
      <c r="G24" s="451" t="s">
        <v>226</v>
      </c>
      <c r="H24" s="148" t="s">
        <v>169</v>
      </c>
      <c r="I24" s="448" t="s">
        <v>170</v>
      </c>
      <c r="J24" s="448"/>
      <c r="K24" s="448"/>
      <c r="L24" s="448"/>
      <c r="M24" s="452"/>
      <c r="N24" s="361">
        <v>107</v>
      </c>
      <c r="O24" s="452"/>
      <c r="P24" s="481">
        <v>547.36</v>
      </c>
      <c r="Q24" s="481"/>
      <c r="R24" s="481">
        <v>10855.97</v>
      </c>
      <c r="S24" s="452">
        <v>416</v>
      </c>
      <c r="T24" s="188" t="s">
        <v>171</v>
      </c>
      <c r="U24" s="452"/>
      <c r="V24" s="452"/>
      <c r="W24" s="452"/>
      <c r="X24" s="481">
        <f t="shared" si="1"/>
        <v>13037.1</v>
      </c>
      <c r="Y24" s="402">
        <v>-625.78</v>
      </c>
      <c r="Z24" s="402">
        <v>0</v>
      </c>
      <c r="AA24" s="402">
        <v>12411.32</v>
      </c>
      <c r="AB24" s="357">
        <v>470</v>
      </c>
      <c r="AC24" s="173" t="s">
        <v>172</v>
      </c>
      <c r="AD24" s="173" t="s">
        <v>173</v>
      </c>
      <c r="AE24" s="164" t="b">
        <v>1</v>
      </c>
      <c r="AF24" s="164" t="b">
        <v>1</v>
      </c>
      <c r="AG24" s="409">
        <f>(AB24-S24)/S24</f>
        <v>0.12980769230769232</v>
      </c>
      <c r="AH24" s="409">
        <f>(AA24-R24)/R24</f>
        <v>0.14327139813393003</v>
      </c>
      <c r="AI24" s="481">
        <f t="shared" si="2"/>
        <v>3010.06</v>
      </c>
      <c r="AJ24" s="364">
        <v>-144.47999999999999</v>
      </c>
      <c r="AK24" s="364">
        <v>0</v>
      </c>
      <c r="AL24" s="364">
        <v>2865.58</v>
      </c>
      <c r="AM24" s="1069">
        <v>122</v>
      </c>
      <c r="AN24" s="407">
        <v>46122</v>
      </c>
      <c r="AO24" s="148" t="s">
        <v>174</v>
      </c>
      <c r="AP24" s="860" t="b">
        <v>1</v>
      </c>
      <c r="AQ24" s="860" t="b">
        <v>1</v>
      </c>
      <c r="AR24" s="409">
        <f t="shared" si="0"/>
        <v>-0.74042553191489358</v>
      </c>
      <c r="AS24" s="409">
        <f>(AL24-AA24)/AA24</f>
        <v>-0.7691156138106181</v>
      </c>
      <c r="AT24" s="481">
        <f t="shared" si="3"/>
        <v>0</v>
      </c>
      <c r="AU24" s="402"/>
      <c r="AV24" s="402"/>
      <c r="AW24" s="402"/>
      <c r="AX24" s="358"/>
      <c r="AY24" s="358"/>
      <c r="AZ24" s="358"/>
      <c r="BA24" s="164" t="b">
        <v>0</v>
      </c>
      <c r="BB24" s="164" t="b">
        <v>0</v>
      </c>
      <c r="BC24" s="358">
        <f>(AX24-AM24)/AM24</f>
        <v>-1</v>
      </c>
      <c r="BD24" s="358">
        <f>(AW24-AL24)/AL24</f>
        <v>-1</v>
      </c>
      <c r="BE24" s="481">
        <f>BH24 + ABS(BF24) + ABS(BG24)</f>
        <v>0</v>
      </c>
      <c r="BF24" s="402"/>
      <c r="BG24" s="402"/>
      <c r="BH24" s="402"/>
      <c r="BI24" s="358"/>
      <c r="BJ24" s="358"/>
      <c r="BK24" s="358"/>
      <c r="BL24" s="164" t="b">
        <v>0</v>
      </c>
      <c r="BM24" s="164" t="b">
        <v>0</v>
      </c>
      <c r="BN24" s="358" t="e">
        <f>(BI24-AZ24)/AZ24</f>
        <v>#DIV/0!</v>
      </c>
      <c r="BO24" s="358" t="e">
        <f>(BH24-AW24)/AW24</f>
        <v>#DIV/0!</v>
      </c>
      <c r="BP24" s="481">
        <f>BS24 + ABS(BQ24) + ABS(BR24)</f>
        <v>0</v>
      </c>
      <c r="BQ24" s="402"/>
      <c r="BR24" s="402"/>
      <c r="BS24" s="402"/>
      <c r="BT24" s="358"/>
      <c r="BU24" s="358"/>
      <c r="BV24" s="358"/>
      <c r="BW24" s="164" t="b">
        <v>0</v>
      </c>
      <c r="BX24" s="164" t="b">
        <v>0</v>
      </c>
      <c r="BY24" s="358" t="e">
        <f>(BT24-BI24)/BI24</f>
        <v>#DIV/0!</v>
      </c>
      <c r="BZ24" s="358" t="e">
        <f>(BS24-BH24)/BH24</f>
        <v>#DIV/0!</v>
      </c>
      <c r="CA24" s="481">
        <f>CD24 + ABS(CB24) + ABS(CC24)</f>
        <v>0</v>
      </c>
      <c r="CB24" s="402"/>
      <c r="CC24" s="402"/>
      <c r="CD24" s="402"/>
      <c r="CE24" s="358"/>
      <c r="CF24" s="358"/>
      <c r="CG24" s="358"/>
      <c r="CH24" s="164" t="b">
        <v>0</v>
      </c>
      <c r="CI24" s="164" t="b">
        <v>0</v>
      </c>
      <c r="CJ24" s="358" t="e">
        <f>(CE24-BV24)/BV24</f>
        <v>#DIV/0!</v>
      </c>
      <c r="CK24" s="358" t="e">
        <f>(CD24-BS24)/BS24</f>
        <v>#DIV/0!</v>
      </c>
      <c r="CL24" s="481">
        <f>CO24 + ABS(CM24) + ABS(CN24)</f>
        <v>0</v>
      </c>
      <c r="CM24" s="402"/>
      <c r="CN24" s="402"/>
      <c r="CO24" s="402"/>
      <c r="CP24" s="358"/>
      <c r="CQ24" s="358"/>
      <c r="CR24" s="358"/>
      <c r="CS24" s="164" t="b">
        <v>0</v>
      </c>
      <c r="CT24" s="164" t="b">
        <v>0</v>
      </c>
      <c r="CU24" s="358" t="e">
        <f>(CP24-CE24)/CE24</f>
        <v>#DIV/0!</v>
      </c>
      <c r="CV24" s="358" t="e">
        <f>(CO24-CD24)/CD24</f>
        <v>#DIV/0!</v>
      </c>
      <c r="CW24" s="481">
        <f>CZ24 + ABS(CX24) + ABS(CY24)</f>
        <v>0</v>
      </c>
      <c r="CX24" s="402"/>
      <c r="CY24" s="402"/>
      <c r="CZ24" s="402"/>
      <c r="DA24" s="358"/>
      <c r="DB24" s="358"/>
      <c r="DC24" s="358"/>
      <c r="DD24" s="164" t="b">
        <v>0</v>
      </c>
      <c r="DE24" s="164" t="b">
        <v>0</v>
      </c>
      <c r="DF24" s="358" t="e">
        <f>(DA24-CR24)/CR24</f>
        <v>#DIV/0!</v>
      </c>
      <c r="DG24" s="358" t="e">
        <f>(CZ24-CO24)/CO24</f>
        <v>#DIV/0!</v>
      </c>
      <c r="DH24" s="481">
        <f>DK24 + ABS(DI24) + ABS(DJ24)</f>
        <v>0</v>
      </c>
      <c r="DI24" s="402"/>
      <c r="DJ24" s="402"/>
      <c r="DK24" s="402"/>
      <c r="DL24" s="358"/>
      <c r="DM24" s="358"/>
      <c r="DN24" s="358"/>
      <c r="DO24" s="164" t="b">
        <v>0</v>
      </c>
      <c r="DP24" s="164" t="b">
        <v>0</v>
      </c>
      <c r="DQ24" s="358" t="e">
        <f>(DL24-DA24)/DA24</f>
        <v>#DIV/0!</v>
      </c>
      <c r="DR24" s="358" t="e">
        <f>(DK24-CZ24)/CZ24</f>
        <v>#DIV/0!</v>
      </c>
      <c r="DS24" s="481">
        <f>DV24 + ABS(DT24) + ABS(DU24)</f>
        <v>0</v>
      </c>
      <c r="DT24" s="402"/>
      <c r="DU24" s="402"/>
      <c r="DV24" s="402"/>
      <c r="DW24" s="358"/>
      <c r="DX24" s="358"/>
      <c r="DY24" s="358"/>
      <c r="DZ24" s="164" t="b">
        <v>0</v>
      </c>
      <c r="EA24" s="164" t="b">
        <v>0</v>
      </c>
      <c r="EB24" s="358" t="e">
        <f>(DW24-DN24)/DN24</f>
        <v>#DIV/0!</v>
      </c>
      <c r="EC24" s="358" t="e">
        <f>(DV24-DK24)/DK24</f>
        <v>#DIV/0!</v>
      </c>
      <c r="ED24" s="481">
        <f>EG24 + ABS(EE24) + ABS(EF24)</f>
        <v>0</v>
      </c>
      <c r="EE24" s="402"/>
      <c r="EF24" s="402"/>
      <c r="EG24" s="402"/>
      <c r="EH24" s="358"/>
      <c r="EI24" s="358"/>
      <c r="EJ24" s="358"/>
      <c r="EK24" s="164" t="b">
        <v>0</v>
      </c>
      <c r="EL24" s="164" t="b">
        <v>0</v>
      </c>
      <c r="EM24" s="358" t="e">
        <f>(EH24-DW24)/DW24</f>
        <v>#DIV/0!</v>
      </c>
      <c r="EN24" s="358" t="e">
        <f>(EG24-DV24)/DV24</f>
        <v>#DIV/0!</v>
      </c>
      <c r="EO24" s="481">
        <f>ER24 + ABS(EP24) + ABS(EQ24)</f>
        <v>0</v>
      </c>
      <c r="EP24" s="402"/>
      <c r="EQ24" s="402"/>
      <c r="ER24" s="402"/>
      <c r="ES24" s="358"/>
      <c r="ET24" s="358"/>
      <c r="EU24" s="358"/>
      <c r="EV24" s="164" t="b">
        <v>0</v>
      </c>
      <c r="EW24" s="164" t="b">
        <v>0</v>
      </c>
      <c r="EX24" s="358" t="e">
        <f>(ES24-EJ24)/EJ24</f>
        <v>#DIV/0!</v>
      </c>
      <c r="EY24" s="358" t="e">
        <f>(ER24-EG24)/EG24</f>
        <v>#DIV/0!</v>
      </c>
      <c r="EZ24" s="449"/>
      <c r="FA24" s="449"/>
      <c r="FB24" s="449"/>
      <c r="FC24" s="449"/>
      <c r="FD24" s="449"/>
      <c r="FE24" s="449"/>
      <c r="FF24" s="449"/>
      <c r="FG24" s="449"/>
      <c r="FH24" s="449"/>
      <c r="FI24" s="449"/>
      <c r="FJ24" s="449"/>
      <c r="FK24" s="449"/>
      <c r="FL24" s="449"/>
      <c r="FM24" s="449"/>
      <c r="FN24" s="449"/>
      <c r="FO24" s="449"/>
      <c r="FP24" s="449"/>
      <c r="FQ24" s="803"/>
      <c r="FR24" s="449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</row>
    <row r="25" spans="1:221" s="343" customFormat="1" ht="15">
      <c r="A25" s="184"/>
      <c r="B25" s="175"/>
      <c r="C25" s="802" t="s">
        <v>227</v>
      </c>
      <c r="D25" s="154">
        <v>1450022</v>
      </c>
      <c r="E25" s="154">
        <v>261</v>
      </c>
      <c r="F25" s="154" t="s">
        <v>228</v>
      </c>
      <c r="G25" s="255" t="s">
        <v>229</v>
      </c>
      <c r="H25" s="171" t="s">
        <v>169</v>
      </c>
      <c r="I25" s="445" t="s">
        <v>170</v>
      </c>
      <c r="J25" s="154"/>
      <c r="K25" s="154"/>
      <c r="L25" s="154"/>
      <c r="M25" s="176"/>
      <c r="N25" s="193">
        <v>107</v>
      </c>
      <c r="O25" s="176"/>
      <c r="P25" s="203">
        <v>14.07</v>
      </c>
      <c r="Q25" s="203"/>
      <c r="R25" s="203">
        <v>279.13</v>
      </c>
      <c r="S25" s="176">
        <v>18</v>
      </c>
      <c r="T25" s="188" t="s">
        <v>171</v>
      </c>
      <c r="U25" s="176"/>
      <c r="V25" s="176"/>
      <c r="W25" s="176"/>
      <c r="X25" s="203">
        <f t="shared" si="1"/>
        <v>396.93</v>
      </c>
      <c r="Y25" s="203">
        <v>-19.05</v>
      </c>
      <c r="Z25" s="203">
        <v>0</v>
      </c>
      <c r="AA25" s="203">
        <v>377.88</v>
      </c>
      <c r="AB25" s="154">
        <v>23</v>
      </c>
      <c r="AC25" s="255" t="s">
        <v>172</v>
      </c>
      <c r="AD25" s="255" t="s">
        <v>173</v>
      </c>
      <c r="AE25" s="177" t="b">
        <v>1</v>
      </c>
      <c r="AF25" s="177" t="b">
        <v>1</v>
      </c>
      <c r="AG25" s="392">
        <f>(AB25-S25)/S25</f>
        <v>0.27777777777777779</v>
      </c>
      <c r="AH25" s="392">
        <f>(AA25-R25)/R25</f>
        <v>0.3537778096227564</v>
      </c>
      <c r="AI25" s="203">
        <f t="shared" si="2"/>
        <v>440.06</v>
      </c>
      <c r="AJ25" s="368">
        <v>-21.12</v>
      </c>
      <c r="AK25" s="368">
        <v>0</v>
      </c>
      <c r="AL25" s="368">
        <v>418.94</v>
      </c>
      <c r="AM25" s="1068">
        <v>24</v>
      </c>
      <c r="AN25" s="172">
        <v>46122</v>
      </c>
      <c r="AO25" s="171" t="s">
        <v>174</v>
      </c>
      <c r="AP25" s="861" t="b">
        <v>1</v>
      </c>
      <c r="AQ25" s="861" t="b">
        <v>1</v>
      </c>
      <c r="AR25" s="392">
        <f t="shared" si="0"/>
        <v>4.3478260869565216E-2</v>
      </c>
      <c r="AS25" s="392">
        <f>(AL25-AA25)/AA25</f>
        <v>0.1086588334921139</v>
      </c>
      <c r="AT25" s="203">
        <f t="shared" si="3"/>
        <v>0</v>
      </c>
      <c r="AU25" s="203"/>
      <c r="AV25" s="203"/>
      <c r="AW25" s="203"/>
      <c r="AX25" s="176"/>
      <c r="AY25" s="176"/>
      <c r="AZ25" s="176"/>
      <c r="BA25" s="177" t="b">
        <v>0</v>
      </c>
      <c r="BB25" s="177" t="b">
        <v>0</v>
      </c>
      <c r="BC25" s="176">
        <f>(AX25-AM25)/AM25</f>
        <v>-1</v>
      </c>
      <c r="BD25" s="176">
        <f>(AW25-AL25)/AL25</f>
        <v>-1</v>
      </c>
      <c r="BE25" s="203">
        <f>BH25 + ABS(BF25) + ABS(BG25)</f>
        <v>0</v>
      </c>
      <c r="BF25" s="203"/>
      <c r="BG25" s="203"/>
      <c r="BH25" s="203"/>
      <c r="BI25" s="176"/>
      <c r="BJ25" s="176"/>
      <c r="BK25" s="176"/>
      <c r="BL25" s="177" t="b">
        <v>0</v>
      </c>
      <c r="BM25" s="177" t="b">
        <v>0</v>
      </c>
      <c r="BN25" s="176" t="e">
        <f>(BI25-AZ25)/AZ25</f>
        <v>#DIV/0!</v>
      </c>
      <c r="BO25" s="176" t="e">
        <f>(BH25-AW25)/AW25</f>
        <v>#DIV/0!</v>
      </c>
      <c r="BP25" s="203">
        <f>BS25 + ABS(BQ25) + ABS(BR25)</f>
        <v>0</v>
      </c>
      <c r="BQ25" s="203"/>
      <c r="BR25" s="203"/>
      <c r="BS25" s="203"/>
      <c r="BT25" s="176"/>
      <c r="BU25" s="176"/>
      <c r="BV25" s="176"/>
      <c r="BW25" s="177" t="b">
        <v>0</v>
      </c>
      <c r="BX25" s="177" t="b">
        <v>0</v>
      </c>
      <c r="BY25" s="176" t="e">
        <f>(BT25-BI25)/BI25</f>
        <v>#DIV/0!</v>
      </c>
      <c r="BZ25" s="176" t="e">
        <f>(BS25-BH25)/BH25</f>
        <v>#DIV/0!</v>
      </c>
      <c r="CA25" s="203">
        <f>CD25 + ABS(CB25) + ABS(CC25)</f>
        <v>0</v>
      </c>
      <c r="CB25" s="203"/>
      <c r="CC25" s="203"/>
      <c r="CD25" s="203"/>
      <c r="CE25" s="176"/>
      <c r="CF25" s="176"/>
      <c r="CG25" s="176"/>
      <c r="CH25" s="177" t="b">
        <v>0</v>
      </c>
      <c r="CI25" s="177" t="b">
        <v>0</v>
      </c>
      <c r="CJ25" s="176" t="e">
        <f>(CE25-BV25)/BV25</f>
        <v>#DIV/0!</v>
      </c>
      <c r="CK25" s="176" t="e">
        <f>(CD25-BS25)/BS25</f>
        <v>#DIV/0!</v>
      </c>
      <c r="CL25" s="203">
        <f>CO25 + ABS(CM25) + ABS(CN25)</f>
        <v>0</v>
      </c>
      <c r="CM25" s="203"/>
      <c r="CN25" s="203"/>
      <c r="CO25" s="203"/>
      <c r="CP25" s="176"/>
      <c r="CQ25" s="176"/>
      <c r="CR25" s="176"/>
      <c r="CS25" s="177" t="b">
        <v>0</v>
      </c>
      <c r="CT25" s="177" t="b">
        <v>0</v>
      </c>
      <c r="CU25" s="176" t="e">
        <f>(CP25-CE25)/CE25</f>
        <v>#DIV/0!</v>
      </c>
      <c r="CV25" s="176" t="e">
        <f>(CO25-CD25)/CD25</f>
        <v>#DIV/0!</v>
      </c>
      <c r="CW25" s="203">
        <f>CZ25 + ABS(CX25) + ABS(CY25)</f>
        <v>0</v>
      </c>
      <c r="CX25" s="203"/>
      <c r="CY25" s="203"/>
      <c r="CZ25" s="203"/>
      <c r="DA25" s="176"/>
      <c r="DB25" s="176"/>
      <c r="DC25" s="176"/>
      <c r="DD25" s="177" t="b">
        <v>0</v>
      </c>
      <c r="DE25" s="177" t="b">
        <v>0</v>
      </c>
      <c r="DF25" s="176" t="e">
        <f>(DA25-CR25)/CR25</f>
        <v>#DIV/0!</v>
      </c>
      <c r="DG25" s="176" t="e">
        <f>(CZ25-CO25)/CO25</f>
        <v>#DIV/0!</v>
      </c>
      <c r="DH25" s="203">
        <f>DK25 + ABS(DI25) + ABS(DJ25)</f>
        <v>0</v>
      </c>
      <c r="DI25" s="203"/>
      <c r="DJ25" s="203"/>
      <c r="DK25" s="203"/>
      <c r="DL25" s="176"/>
      <c r="DM25" s="176"/>
      <c r="DN25" s="176"/>
      <c r="DO25" s="177" t="b">
        <v>0</v>
      </c>
      <c r="DP25" s="177" t="b">
        <v>0</v>
      </c>
      <c r="DQ25" s="176" t="e">
        <f>(DL25-DA25)/DA25</f>
        <v>#DIV/0!</v>
      </c>
      <c r="DR25" s="176" t="e">
        <f>(DK25-CZ25)/CZ25</f>
        <v>#DIV/0!</v>
      </c>
      <c r="DS25" s="203">
        <f>DV25 + ABS(DT25) + ABS(DU25)</f>
        <v>0</v>
      </c>
      <c r="DT25" s="203"/>
      <c r="DU25" s="203"/>
      <c r="DV25" s="203"/>
      <c r="DW25" s="176"/>
      <c r="DX25" s="176"/>
      <c r="DY25" s="176"/>
      <c r="DZ25" s="177" t="b">
        <v>0</v>
      </c>
      <c r="EA25" s="177" t="b">
        <v>0</v>
      </c>
      <c r="EB25" s="176" t="e">
        <f>(DW25-DN25)/DN25</f>
        <v>#DIV/0!</v>
      </c>
      <c r="EC25" s="176" t="e">
        <f>(DV25-DK25)/DK25</f>
        <v>#DIV/0!</v>
      </c>
      <c r="ED25" s="203">
        <f>EG25 + ABS(EE25) + ABS(EF25)</f>
        <v>0</v>
      </c>
      <c r="EE25" s="203"/>
      <c r="EF25" s="203"/>
      <c r="EG25" s="203"/>
      <c r="EH25" s="176"/>
      <c r="EI25" s="176"/>
      <c r="EJ25" s="176"/>
      <c r="EK25" s="177" t="b">
        <v>0</v>
      </c>
      <c r="EL25" s="177" t="b">
        <v>0</v>
      </c>
      <c r="EM25" s="176" t="e">
        <f>(EH25-DW25)/DW25</f>
        <v>#DIV/0!</v>
      </c>
      <c r="EN25" s="176" t="e">
        <f>(EG25-DV25)/DV25</f>
        <v>#DIV/0!</v>
      </c>
      <c r="EO25" s="203">
        <f>ER25 + ABS(EP25) + ABS(EQ25)</f>
        <v>0</v>
      </c>
      <c r="EP25" s="203"/>
      <c r="EQ25" s="203"/>
      <c r="ER25" s="203"/>
      <c r="ES25" s="176"/>
      <c r="ET25" s="176"/>
      <c r="EU25" s="176"/>
      <c r="EV25" s="177" t="b">
        <v>0</v>
      </c>
      <c r="EW25" s="177" t="b">
        <v>0</v>
      </c>
      <c r="EX25" s="176" t="e">
        <f>(ES25-EJ25)/EJ25</f>
        <v>#DIV/0!</v>
      </c>
      <c r="EY25" s="176" t="e">
        <f>(ER25-EG25)/EG25</f>
        <v>#DIV/0!</v>
      </c>
      <c r="EZ25" s="175"/>
      <c r="FA25" s="175"/>
      <c r="FB25" s="175"/>
      <c r="FC25" s="175"/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801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</row>
    <row r="26" spans="1:221" s="343" customFormat="1" ht="15">
      <c r="A26" s="184"/>
      <c r="B26" s="175"/>
      <c r="C26" s="800" t="s">
        <v>230</v>
      </c>
      <c r="D26" s="357">
        <v>1450022</v>
      </c>
      <c r="E26" s="357">
        <v>160</v>
      </c>
      <c r="F26" s="357" t="s">
        <v>231</v>
      </c>
      <c r="G26" s="426" t="s">
        <v>232</v>
      </c>
      <c r="H26" s="357" t="s">
        <v>169</v>
      </c>
      <c r="I26" s="357" t="s">
        <v>170</v>
      </c>
      <c r="J26" s="357"/>
      <c r="K26" s="357"/>
      <c r="L26" s="357"/>
      <c r="M26" s="358"/>
      <c r="N26" s="361">
        <v>107</v>
      </c>
      <c r="O26" s="358"/>
      <c r="P26" s="402">
        <v>425.41</v>
      </c>
      <c r="Q26" s="402"/>
      <c r="R26" s="402">
        <v>8437.2900000000009</v>
      </c>
      <c r="S26" s="358">
        <v>1</v>
      </c>
      <c r="T26" s="188" t="s">
        <v>171</v>
      </c>
      <c r="U26" s="358"/>
      <c r="V26" s="358"/>
      <c r="W26" s="358"/>
      <c r="X26" s="402">
        <f t="shared" si="1"/>
        <v>8882.32</v>
      </c>
      <c r="Y26" s="402">
        <v>-426.35</v>
      </c>
      <c r="Z26" s="402">
        <v>0</v>
      </c>
      <c r="AA26" s="402">
        <v>8455.9699999999993</v>
      </c>
      <c r="AB26" s="357">
        <v>5</v>
      </c>
      <c r="AC26" s="173" t="s">
        <v>172</v>
      </c>
      <c r="AD26" s="173" t="s">
        <v>173</v>
      </c>
      <c r="AE26" s="164" t="b">
        <v>1</v>
      </c>
      <c r="AF26" s="164" t="b">
        <v>1</v>
      </c>
      <c r="AG26" s="409">
        <f>(AB26-S26)/S26</f>
        <v>4</v>
      </c>
      <c r="AH26" s="409">
        <f>(AA26-R26)/R26</f>
        <v>2.2139810294535887E-3</v>
      </c>
      <c r="AI26" s="402">
        <f t="shared" si="2"/>
        <v>8878.41</v>
      </c>
      <c r="AJ26" s="364">
        <v>-426.16</v>
      </c>
      <c r="AK26" s="364">
        <v>0</v>
      </c>
      <c r="AL26" s="364">
        <v>8452.25</v>
      </c>
      <c r="AM26" s="1069">
        <v>3</v>
      </c>
      <c r="AN26" s="407">
        <v>46122</v>
      </c>
      <c r="AO26" s="148" t="s">
        <v>174</v>
      </c>
      <c r="AP26" s="860" t="b">
        <v>1</v>
      </c>
      <c r="AQ26" s="860" t="b">
        <v>1</v>
      </c>
      <c r="AR26" s="409">
        <f t="shared" si="0"/>
        <v>-0.4</v>
      </c>
      <c r="AS26" s="409">
        <f>(AL26-AA26)/AA26</f>
        <v>-4.3992587485520236E-4</v>
      </c>
      <c r="AT26" s="402">
        <f t="shared" si="3"/>
        <v>0</v>
      </c>
      <c r="AU26" s="402"/>
      <c r="AV26" s="402"/>
      <c r="AW26" s="402"/>
      <c r="AX26" s="358"/>
      <c r="AY26" s="358"/>
      <c r="AZ26" s="358"/>
      <c r="BA26" s="164" t="b">
        <v>0</v>
      </c>
      <c r="BB26" s="164" t="b">
        <v>0</v>
      </c>
      <c r="BC26" s="358">
        <f>(AX26-AM26)/AM26</f>
        <v>-1</v>
      </c>
      <c r="BD26" s="358">
        <f>(AW26-AL26)/AL26</f>
        <v>-1</v>
      </c>
      <c r="BE26" s="402">
        <f>BH26 + ABS(BF26) + ABS(BG26)</f>
        <v>0</v>
      </c>
      <c r="BF26" s="402"/>
      <c r="BG26" s="402"/>
      <c r="BH26" s="402"/>
      <c r="BI26" s="358"/>
      <c r="BJ26" s="358"/>
      <c r="BK26" s="358"/>
      <c r="BL26" s="164" t="b">
        <v>0</v>
      </c>
      <c r="BM26" s="164" t="b">
        <v>0</v>
      </c>
      <c r="BN26" s="358" t="e">
        <f>(BI26-AZ26)/AZ26</f>
        <v>#DIV/0!</v>
      </c>
      <c r="BO26" s="358" t="e">
        <f>(BH26-AW26)/AW26</f>
        <v>#DIV/0!</v>
      </c>
      <c r="BP26" s="402">
        <f>BS26 + ABS(BQ26) + ABS(BR26)</f>
        <v>0</v>
      </c>
      <c r="BQ26" s="402"/>
      <c r="BR26" s="402"/>
      <c r="BS26" s="402"/>
      <c r="BT26" s="358"/>
      <c r="BU26" s="358"/>
      <c r="BV26" s="358"/>
      <c r="BW26" s="164" t="b">
        <v>0</v>
      </c>
      <c r="BX26" s="164" t="b">
        <v>0</v>
      </c>
      <c r="BY26" s="358" t="e">
        <f>(BT26-BI26)/BI26</f>
        <v>#DIV/0!</v>
      </c>
      <c r="BZ26" s="358" t="e">
        <f>(BS26-BH26)/BH26</f>
        <v>#DIV/0!</v>
      </c>
      <c r="CA26" s="402">
        <f>CD26 + ABS(CB26) + ABS(CC26)</f>
        <v>0</v>
      </c>
      <c r="CB26" s="402"/>
      <c r="CC26" s="402"/>
      <c r="CD26" s="402"/>
      <c r="CE26" s="358"/>
      <c r="CF26" s="358"/>
      <c r="CG26" s="358"/>
      <c r="CH26" s="164" t="b">
        <v>0</v>
      </c>
      <c r="CI26" s="164" t="b">
        <v>0</v>
      </c>
      <c r="CJ26" s="358" t="e">
        <f>(CE26-BV26)/BV26</f>
        <v>#DIV/0!</v>
      </c>
      <c r="CK26" s="358" t="e">
        <f>(CD26-BS26)/BS26</f>
        <v>#DIV/0!</v>
      </c>
      <c r="CL26" s="402">
        <f>CO26 + ABS(CM26) + ABS(CN26)</f>
        <v>0</v>
      </c>
      <c r="CM26" s="402"/>
      <c r="CN26" s="402"/>
      <c r="CO26" s="402"/>
      <c r="CP26" s="358"/>
      <c r="CQ26" s="358"/>
      <c r="CR26" s="358"/>
      <c r="CS26" s="164" t="b">
        <v>0</v>
      </c>
      <c r="CT26" s="164" t="b">
        <v>0</v>
      </c>
      <c r="CU26" s="358" t="e">
        <f>(CP26-CE26)/CE26</f>
        <v>#DIV/0!</v>
      </c>
      <c r="CV26" s="358" t="e">
        <f>(CO26-CD26)/CD26</f>
        <v>#DIV/0!</v>
      </c>
      <c r="CW26" s="402">
        <f>CZ26 + ABS(CX26) + ABS(CY26)</f>
        <v>0</v>
      </c>
      <c r="CX26" s="402"/>
      <c r="CY26" s="402"/>
      <c r="CZ26" s="402"/>
      <c r="DA26" s="358"/>
      <c r="DB26" s="358"/>
      <c r="DC26" s="358"/>
      <c r="DD26" s="164" t="b">
        <v>0</v>
      </c>
      <c r="DE26" s="164" t="b">
        <v>0</v>
      </c>
      <c r="DF26" s="358" t="e">
        <f>(DA26-CR26)/CR26</f>
        <v>#DIV/0!</v>
      </c>
      <c r="DG26" s="358" t="e">
        <f>(CZ26-CO26)/CO26</f>
        <v>#DIV/0!</v>
      </c>
      <c r="DH26" s="402">
        <f>DK26 + ABS(DI26) + ABS(DJ26)</f>
        <v>0</v>
      </c>
      <c r="DI26" s="402"/>
      <c r="DJ26" s="402"/>
      <c r="DK26" s="402"/>
      <c r="DL26" s="358"/>
      <c r="DM26" s="358"/>
      <c r="DN26" s="358"/>
      <c r="DO26" s="164" t="b">
        <v>0</v>
      </c>
      <c r="DP26" s="164" t="b">
        <v>0</v>
      </c>
      <c r="DQ26" s="358" t="e">
        <f>(DL26-DA26)/DA26</f>
        <v>#DIV/0!</v>
      </c>
      <c r="DR26" s="358" t="e">
        <f>(DK26-CZ26)/CZ26</f>
        <v>#DIV/0!</v>
      </c>
      <c r="DS26" s="402">
        <f>DV26 + ABS(DT26) + ABS(DU26)</f>
        <v>0</v>
      </c>
      <c r="DT26" s="402"/>
      <c r="DU26" s="402"/>
      <c r="DV26" s="402"/>
      <c r="DW26" s="358"/>
      <c r="DX26" s="358"/>
      <c r="DY26" s="358"/>
      <c r="DZ26" s="164" t="b">
        <v>0</v>
      </c>
      <c r="EA26" s="164" t="b">
        <v>0</v>
      </c>
      <c r="EB26" s="358" t="e">
        <f>(DW26-DN26)/DN26</f>
        <v>#DIV/0!</v>
      </c>
      <c r="EC26" s="358" t="e">
        <f>(DV26-DK26)/DK26</f>
        <v>#DIV/0!</v>
      </c>
      <c r="ED26" s="402">
        <f>EG26 + ABS(EE26) + ABS(EF26)</f>
        <v>0</v>
      </c>
      <c r="EE26" s="402"/>
      <c r="EF26" s="402"/>
      <c r="EG26" s="402"/>
      <c r="EH26" s="358"/>
      <c r="EI26" s="358"/>
      <c r="EJ26" s="358"/>
      <c r="EK26" s="164" t="b">
        <v>0</v>
      </c>
      <c r="EL26" s="164" t="b">
        <v>0</v>
      </c>
      <c r="EM26" s="358" t="e">
        <f>(EH26-DW26)/DW26</f>
        <v>#DIV/0!</v>
      </c>
      <c r="EN26" s="358" t="e">
        <f>(EG26-DV26)/DV26</f>
        <v>#DIV/0!</v>
      </c>
      <c r="EO26" s="402">
        <f>ER26 + ABS(EP26) + ABS(EQ26)</f>
        <v>0</v>
      </c>
      <c r="EP26" s="402"/>
      <c r="EQ26" s="402"/>
      <c r="ER26" s="402"/>
      <c r="ES26" s="358"/>
      <c r="ET26" s="358"/>
      <c r="EU26" s="358"/>
      <c r="EV26" s="164" t="b">
        <v>0</v>
      </c>
      <c r="EW26" s="164" t="b">
        <v>0</v>
      </c>
      <c r="EX26" s="358" t="e">
        <f>(ES26-EJ26)/EJ26</f>
        <v>#DIV/0!</v>
      </c>
      <c r="EY26" s="358" t="e">
        <f>(ER26-EG26)/EG26</f>
        <v>#DIV/0!</v>
      </c>
      <c r="EZ26" s="449"/>
      <c r="FA26" s="449"/>
      <c r="FB26" s="449"/>
      <c r="FC26" s="449"/>
      <c r="FD26" s="449"/>
      <c r="FE26" s="449"/>
      <c r="FF26" s="449"/>
      <c r="FG26" s="449"/>
      <c r="FH26" s="449"/>
      <c r="FI26" s="449"/>
      <c r="FJ26" s="449"/>
      <c r="FK26" s="449"/>
      <c r="FL26" s="449"/>
      <c r="FM26" s="449"/>
      <c r="FN26" s="449"/>
      <c r="FO26" s="449"/>
      <c r="FP26" s="449"/>
      <c r="FQ26" s="803"/>
      <c r="FR26" s="449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</row>
    <row r="27" spans="1:221" s="343" customFormat="1" ht="15">
      <c r="A27" s="184"/>
      <c r="B27" s="175"/>
      <c r="C27" s="802" t="s">
        <v>233</v>
      </c>
      <c r="D27" s="154">
        <v>1450022</v>
      </c>
      <c r="E27" s="154">
        <v>32</v>
      </c>
      <c r="F27" s="154" t="s">
        <v>234</v>
      </c>
      <c r="G27" s="255" t="s">
        <v>235</v>
      </c>
      <c r="H27" s="171" t="s">
        <v>169</v>
      </c>
      <c r="I27" s="445" t="s">
        <v>170</v>
      </c>
      <c r="J27" s="154"/>
      <c r="K27" s="154"/>
      <c r="L27" s="154"/>
      <c r="M27" s="176"/>
      <c r="N27" s="193">
        <v>107</v>
      </c>
      <c r="O27" s="176"/>
      <c r="P27" s="203">
        <v>11315.94</v>
      </c>
      <c r="Q27" s="203"/>
      <c r="R27" s="203">
        <v>224432.91</v>
      </c>
      <c r="S27" s="176">
        <v>13598</v>
      </c>
      <c r="T27" s="188" t="s">
        <v>171</v>
      </c>
      <c r="U27" s="176"/>
      <c r="V27" s="176"/>
      <c r="W27" s="176"/>
      <c r="X27" s="203">
        <f t="shared" si="1"/>
        <v>265428.46000000002</v>
      </c>
      <c r="Y27" s="203">
        <v>-12740.57</v>
      </c>
      <c r="Z27" s="203">
        <v>0</v>
      </c>
      <c r="AA27" s="203">
        <v>252687.89</v>
      </c>
      <c r="AB27" s="446">
        <v>15305</v>
      </c>
      <c r="AC27" s="255" t="s">
        <v>172</v>
      </c>
      <c r="AD27" s="255" t="s">
        <v>173</v>
      </c>
      <c r="AE27" s="177" t="b">
        <v>1</v>
      </c>
      <c r="AF27" s="177" t="b">
        <v>1</v>
      </c>
      <c r="AG27" s="392">
        <f>(AB27-S27)/S27</f>
        <v>0.12553316664215325</v>
      </c>
      <c r="AH27" s="392">
        <f>(AA27-R27)/R27</f>
        <v>0.12589499463336287</v>
      </c>
      <c r="AI27" s="203">
        <f t="shared" si="2"/>
        <v>244798.46</v>
      </c>
      <c r="AJ27" s="368">
        <v>-11750.33</v>
      </c>
      <c r="AK27" s="368">
        <v>0</v>
      </c>
      <c r="AL27" s="368">
        <v>233048.13</v>
      </c>
      <c r="AM27" s="1068">
        <v>13480</v>
      </c>
      <c r="AN27" s="172">
        <v>46122</v>
      </c>
      <c r="AO27" s="171" t="s">
        <v>174</v>
      </c>
      <c r="AP27" s="861" t="b">
        <v>1</v>
      </c>
      <c r="AQ27" s="861" t="b">
        <v>1</v>
      </c>
      <c r="AR27" s="392">
        <f t="shared" si="0"/>
        <v>-0.1192420777523685</v>
      </c>
      <c r="AS27" s="392">
        <f>(AL27-AA27)/AA27</f>
        <v>-7.772339228445023E-2</v>
      </c>
      <c r="AT27" s="203">
        <f t="shared" si="3"/>
        <v>0</v>
      </c>
      <c r="AU27" s="203"/>
      <c r="AV27" s="203"/>
      <c r="AW27" s="203"/>
      <c r="AX27" s="176"/>
      <c r="AY27" s="176"/>
      <c r="AZ27" s="176"/>
      <c r="BA27" s="177" t="b">
        <v>0</v>
      </c>
      <c r="BB27" s="177" t="b">
        <v>0</v>
      </c>
      <c r="BC27" s="176">
        <f>(AX27-AM27)/AM27</f>
        <v>-1</v>
      </c>
      <c r="BD27" s="176">
        <f>(AW27-AL27)/AL27</f>
        <v>-1</v>
      </c>
      <c r="BE27" s="203">
        <f>BH27 + ABS(BF27) + ABS(BG27)</f>
        <v>0</v>
      </c>
      <c r="BF27" s="203"/>
      <c r="BG27" s="203"/>
      <c r="BH27" s="203"/>
      <c r="BI27" s="176"/>
      <c r="BJ27" s="176"/>
      <c r="BK27" s="176"/>
      <c r="BL27" s="177" t="b">
        <v>0</v>
      </c>
      <c r="BM27" s="177" t="b">
        <v>0</v>
      </c>
      <c r="BN27" s="176" t="e">
        <f>(BI27-AZ27)/AZ27</f>
        <v>#DIV/0!</v>
      </c>
      <c r="BO27" s="176" t="e">
        <f>(BH27-AW27)/AW27</f>
        <v>#DIV/0!</v>
      </c>
      <c r="BP27" s="203">
        <f>BS27 + ABS(BQ27) + ABS(BR27)</f>
        <v>0</v>
      </c>
      <c r="BQ27" s="203"/>
      <c r="BR27" s="203"/>
      <c r="BS27" s="203"/>
      <c r="BT27" s="176"/>
      <c r="BU27" s="176"/>
      <c r="BV27" s="176"/>
      <c r="BW27" s="177" t="b">
        <v>0</v>
      </c>
      <c r="BX27" s="177" t="b">
        <v>0</v>
      </c>
      <c r="BY27" s="176" t="e">
        <f>(BT27-BI27)/BI27</f>
        <v>#DIV/0!</v>
      </c>
      <c r="BZ27" s="176" t="e">
        <f>(BS27-BH27)/BH27</f>
        <v>#DIV/0!</v>
      </c>
      <c r="CA27" s="203">
        <f>CD27 + ABS(CB27) + ABS(CC27)</f>
        <v>0</v>
      </c>
      <c r="CB27" s="203"/>
      <c r="CC27" s="203"/>
      <c r="CD27" s="203"/>
      <c r="CE27" s="176"/>
      <c r="CF27" s="176"/>
      <c r="CG27" s="176"/>
      <c r="CH27" s="177" t="b">
        <v>0</v>
      </c>
      <c r="CI27" s="177" t="b">
        <v>0</v>
      </c>
      <c r="CJ27" s="176" t="e">
        <f>(CE27-BV27)/BV27</f>
        <v>#DIV/0!</v>
      </c>
      <c r="CK27" s="176" t="e">
        <f>(CD27-BS27)/BS27</f>
        <v>#DIV/0!</v>
      </c>
      <c r="CL27" s="203">
        <f>CO27 + ABS(CM27) + ABS(CN27)</f>
        <v>0</v>
      </c>
      <c r="CM27" s="203"/>
      <c r="CN27" s="203"/>
      <c r="CO27" s="203"/>
      <c r="CP27" s="176"/>
      <c r="CQ27" s="176"/>
      <c r="CR27" s="176"/>
      <c r="CS27" s="177" t="b">
        <v>0</v>
      </c>
      <c r="CT27" s="177" t="b">
        <v>0</v>
      </c>
      <c r="CU27" s="176" t="e">
        <f>(CP27-CE27)/CE27</f>
        <v>#DIV/0!</v>
      </c>
      <c r="CV27" s="176" t="e">
        <f>(CO27-CD27)/CD27</f>
        <v>#DIV/0!</v>
      </c>
      <c r="CW27" s="203">
        <f>CZ27 + ABS(CX27) + ABS(CY27)</f>
        <v>0</v>
      </c>
      <c r="CX27" s="203"/>
      <c r="CY27" s="203"/>
      <c r="CZ27" s="203"/>
      <c r="DA27" s="176"/>
      <c r="DB27" s="176"/>
      <c r="DC27" s="176"/>
      <c r="DD27" s="177" t="b">
        <v>0</v>
      </c>
      <c r="DE27" s="177" t="b">
        <v>0</v>
      </c>
      <c r="DF27" s="176" t="e">
        <f>(DA27-CR27)/CR27</f>
        <v>#DIV/0!</v>
      </c>
      <c r="DG27" s="176" t="e">
        <f>(CZ27-CO27)/CO27</f>
        <v>#DIV/0!</v>
      </c>
      <c r="DH27" s="203">
        <f>DK27 + ABS(DI27) + ABS(DJ27)</f>
        <v>0</v>
      </c>
      <c r="DI27" s="203"/>
      <c r="DJ27" s="203"/>
      <c r="DK27" s="203"/>
      <c r="DL27" s="176"/>
      <c r="DM27" s="176"/>
      <c r="DN27" s="176"/>
      <c r="DO27" s="177" t="b">
        <v>0</v>
      </c>
      <c r="DP27" s="177" t="b">
        <v>0</v>
      </c>
      <c r="DQ27" s="176" t="e">
        <f>(DL27-DA27)/DA27</f>
        <v>#DIV/0!</v>
      </c>
      <c r="DR27" s="176" t="e">
        <f>(DK27-CZ27)/CZ27</f>
        <v>#DIV/0!</v>
      </c>
      <c r="DS27" s="203">
        <f>DV27 + ABS(DT27) + ABS(DU27)</f>
        <v>0</v>
      </c>
      <c r="DT27" s="203"/>
      <c r="DU27" s="203"/>
      <c r="DV27" s="203"/>
      <c r="DW27" s="176"/>
      <c r="DX27" s="176"/>
      <c r="DY27" s="176"/>
      <c r="DZ27" s="177" t="b">
        <v>0</v>
      </c>
      <c r="EA27" s="177" t="b">
        <v>0</v>
      </c>
      <c r="EB27" s="176" t="e">
        <f>(DW27-DN27)/DN27</f>
        <v>#DIV/0!</v>
      </c>
      <c r="EC27" s="176" t="e">
        <f>(DV27-DK27)/DK27</f>
        <v>#DIV/0!</v>
      </c>
      <c r="ED27" s="203">
        <f>EG27 + ABS(EE27) + ABS(EF27)</f>
        <v>0</v>
      </c>
      <c r="EE27" s="203"/>
      <c r="EF27" s="203"/>
      <c r="EG27" s="203"/>
      <c r="EH27" s="176"/>
      <c r="EI27" s="176"/>
      <c r="EJ27" s="176"/>
      <c r="EK27" s="177" t="b">
        <v>0</v>
      </c>
      <c r="EL27" s="177" t="b">
        <v>0</v>
      </c>
      <c r="EM27" s="176" t="e">
        <f>(EH27-DW27)/DW27</f>
        <v>#DIV/0!</v>
      </c>
      <c r="EN27" s="176" t="e">
        <f>(EG27-DV27)/DV27</f>
        <v>#DIV/0!</v>
      </c>
      <c r="EO27" s="203">
        <f>ER27 + ABS(EP27) + ABS(EQ27)</f>
        <v>0</v>
      </c>
      <c r="EP27" s="203"/>
      <c r="EQ27" s="203"/>
      <c r="ER27" s="203"/>
      <c r="ES27" s="176"/>
      <c r="ET27" s="176"/>
      <c r="EU27" s="176"/>
      <c r="EV27" s="177" t="b">
        <v>0</v>
      </c>
      <c r="EW27" s="177" t="b">
        <v>0</v>
      </c>
      <c r="EX27" s="176" t="e">
        <f>(ES27-EJ27)/EJ27</f>
        <v>#DIV/0!</v>
      </c>
      <c r="EY27" s="176" t="e">
        <f>(ER27-EG27)/EG27</f>
        <v>#DIV/0!</v>
      </c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801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</row>
    <row r="28" spans="1:221" s="343" customFormat="1" ht="15">
      <c r="A28" s="184"/>
      <c r="B28" s="175"/>
      <c r="C28" s="800" t="s">
        <v>236</v>
      </c>
      <c r="D28" s="357">
        <v>1450022</v>
      </c>
      <c r="E28" s="357">
        <v>61</v>
      </c>
      <c r="F28" s="357" t="s">
        <v>237</v>
      </c>
      <c r="G28" s="426" t="s">
        <v>238</v>
      </c>
      <c r="H28" s="148" t="s">
        <v>169</v>
      </c>
      <c r="I28" s="448" t="s">
        <v>170</v>
      </c>
      <c r="J28" s="357"/>
      <c r="K28" s="357"/>
      <c r="L28" s="357"/>
      <c r="M28" s="358"/>
      <c r="N28" s="361">
        <v>107</v>
      </c>
      <c r="O28" s="358"/>
      <c r="P28" s="402">
        <v>596.65</v>
      </c>
      <c r="Q28" s="402"/>
      <c r="R28" s="402">
        <v>11833.57</v>
      </c>
      <c r="S28" s="358">
        <v>754</v>
      </c>
      <c r="T28" s="188" t="s">
        <v>171</v>
      </c>
      <c r="U28" s="358"/>
      <c r="V28" s="358"/>
      <c r="W28" s="358"/>
      <c r="X28" s="402">
        <f t="shared" si="1"/>
        <v>20167.43</v>
      </c>
      <c r="Y28" s="402">
        <v>-968.04</v>
      </c>
      <c r="Z28" s="402">
        <v>0</v>
      </c>
      <c r="AA28" s="402">
        <v>19199.39</v>
      </c>
      <c r="AB28" s="450">
        <v>1199</v>
      </c>
      <c r="AC28" s="173" t="s">
        <v>172</v>
      </c>
      <c r="AD28" s="173" t="s">
        <v>173</v>
      </c>
      <c r="AE28" s="164" t="b">
        <v>1</v>
      </c>
      <c r="AF28" s="164" t="b">
        <v>1</v>
      </c>
      <c r="AG28" s="409">
        <f>(AB28-S28)/S28</f>
        <v>0.59018567639257291</v>
      </c>
      <c r="AH28" s="409">
        <f>(AA28-R28)/R28</f>
        <v>0.622451212947572</v>
      </c>
      <c r="AI28" s="402">
        <f t="shared" si="2"/>
        <v>21283.03</v>
      </c>
      <c r="AJ28" s="364">
        <v>-1021.59</v>
      </c>
      <c r="AK28" s="364">
        <v>0</v>
      </c>
      <c r="AL28" s="364">
        <v>20261.439999999999</v>
      </c>
      <c r="AM28" s="1069">
        <v>1217</v>
      </c>
      <c r="AN28" s="407">
        <v>46122</v>
      </c>
      <c r="AO28" s="148" t="s">
        <v>174</v>
      </c>
      <c r="AP28" s="860" t="b">
        <v>1</v>
      </c>
      <c r="AQ28" s="860" t="b">
        <v>1</v>
      </c>
      <c r="AR28" s="409">
        <f t="shared" si="0"/>
        <v>1.5012510425354461E-2</v>
      </c>
      <c r="AS28" s="409">
        <f>(AL28-AA28)/AA28</f>
        <v>5.5316861629457981E-2</v>
      </c>
      <c r="AT28" s="402">
        <f t="shared" si="3"/>
        <v>0</v>
      </c>
      <c r="AU28" s="402"/>
      <c r="AV28" s="402"/>
      <c r="AW28" s="402"/>
      <c r="AX28" s="358"/>
      <c r="AY28" s="358"/>
      <c r="AZ28" s="358"/>
      <c r="BA28" s="164" t="b">
        <v>0</v>
      </c>
      <c r="BB28" s="164" t="b">
        <v>0</v>
      </c>
      <c r="BC28" s="358">
        <f>(AX28-AM28)/AM28</f>
        <v>-1</v>
      </c>
      <c r="BD28" s="358">
        <f>(AW28-AL28)/AL28</f>
        <v>-1</v>
      </c>
      <c r="BE28" s="402">
        <f>BH28 + ABS(BF28) + ABS(BG28)</f>
        <v>0</v>
      </c>
      <c r="BF28" s="402"/>
      <c r="BG28" s="402"/>
      <c r="BH28" s="402"/>
      <c r="BI28" s="358"/>
      <c r="BJ28" s="358"/>
      <c r="BK28" s="358"/>
      <c r="BL28" s="164" t="b">
        <v>0</v>
      </c>
      <c r="BM28" s="164" t="b">
        <v>0</v>
      </c>
      <c r="BN28" s="358" t="e">
        <f>(BI28-AZ28)/AZ28</f>
        <v>#DIV/0!</v>
      </c>
      <c r="BO28" s="358" t="e">
        <f>(BH28-AW28)/AW28</f>
        <v>#DIV/0!</v>
      </c>
      <c r="BP28" s="402">
        <f>BS28 + ABS(BQ28) + ABS(BR28)</f>
        <v>0</v>
      </c>
      <c r="BQ28" s="402"/>
      <c r="BR28" s="402"/>
      <c r="BS28" s="402"/>
      <c r="BT28" s="358"/>
      <c r="BU28" s="358"/>
      <c r="BV28" s="358"/>
      <c r="BW28" s="164" t="b">
        <v>0</v>
      </c>
      <c r="BX28" s="164" t="b">
        <v>0</v>
      </c>
      <c r="BY28" s="358" t="e">
        <f>(BT28-BI28)/BI28</f>
        <v>#DIV/0!</v>
      </c>
      <c r="BZ28" s="358" t="e">
        <f>(BS28-BH28)/BH28</f>
        <v>#DIV/0!</v>
      </c>
      <c r="CA28" s="402">
        <f>CD28 + ABS(CB28) + ABS(CC28)</f>
        <v>0</v>
      </c>
      <c r="CB28" s="402"/>
      <c r="CC28" s="402"/>
      <c r="CD28" s="402"/>
      <c r="CE28" s="358"/>
      <c r="CF28" s="358"/>
      <c r="CG28" s="358"/>
      <c r="CH28" s="164" t="b">
        <v>0</v>
      </c>
      <c r="CI28" s="164" t="b">
        <v>0</v>
      </c>
      <c r="CJ28" s="358" t="e">
        <f>(CE28-BV28)/BV28</f>
        <v>#DIV/0!</v>
      </c>
      <c r="CK28" s="358" t="e">
        <f>(CD28-BS28)/BS28</f>
        <v>#DIV/0!</v>
      </c>
      <c r="CL28" s="402">
        <f>CO28 + ABS(CM28) + ABS(CN28)</f>
        <v>0</v>
      </c>
      <c r="CM28" s="402"/>
      <c r="CN28" s="402"/>
      <c r="CO28" s="402"/>
      <c r="CP28" s="358"/>
      <c r="CQ28" s="358"/>
      <c r="CR28" s="358"/>
      <c r="CS28" s="164" t="b">
        <v>0</v>
      </c>
      <c r="CT28" s="164" t="b">
        <v>0</v>
      </c>
      <c r="CU28" s="358" t="e">
        <f>(CP28-CE28)/CE28</f>
        <v>#DIV/0!</v>
      </c>
      <c r="CV28" s="358" t="e">
        <f>(CO28-CD28)/CD28</f>
        <v>#DIV/0!</v>
      </c>
      <c r="CW28" s="402">
        <f>CZ28 + ABS(CX28) + ABS(CY28)</f>
        <v>0</v>
      </c>
      <c r="CX28" s="402"/>
      <c r="CY28" s="402"/>
      <c r="CZ28" s="402"/>
      <c r="DA28" s="358"/>
      <c r="DB28" s="358"/>
      <c r="DC28" s="358"/>
      <c r="DD28" s="164" t="b">
        <v>0</v>
      </c>
      <c r="DE28" s="164" t="b">
        <v>0</v>
      </c>
      <c r="DF28" s="358" t="e">
        <f>(DA28-CR28)/CR28</f>
        <v>#DIV/0!</v>
      </c>
      <c r="DG28" s="358" t="e">
        <f>(CZ28-CO28)/CO28</f>
        <v>#DIV/0!</v>
      </c>
      <c r="DH28" s="402">
        <f>DK28 + ABS(DI28) + ABS(DJ28)</f>
        <v>0</v>
      </c>
      <c r="DI28" s="402"/>
      <c r="DJ28" s="402"/>
      <c r="DK28" s="402"/>
      <c r="DL28" s="358"/>
      <c r="DM28" s="358"/>
      <c r="DN28" s="358"/>
      <c r="DO28" s="164" t="b">
        <v>0</v>
      </c>
      <c r="DP28" s="164" t="b">
        <v>0</v>
      </c>
      <c r="DQ28" s="358" t="e">
        <f>(DL28-DA28)/DA28</f>
        <v>#DIV/0!</v>
      </c>
      <c r="DR28" s="358" t="e">
        <f>(DK28-CZ28)/CZ28</f>
        <v>#DIV/0!</v>
      </c>
      <c r="DS28" s="402">
        <f>DV28 + ABS(DT28) + ABS(DU28)</f>
        <v>0</v>
      </c>
      <c r="DT28" s="402"/>
      <c r="DU28" s="402"/>
      <c r="DV28" s="402"/>
      <c r="DW28" s="358"/>
      <c r="DX28" s="358"/>
      <c r="DY28" s="358"/>
      <c r="DZ28" s="164" t="b">
        <v>0</v>
      </c>
      <c r="EA28" s="164" t="b">
        <v>0</v>
      </c>
      <c r="EB28" s="358" t="e">
        <f>(DW28-DN28)/DN28</f>
        <v>#DIV/0!</v>
      </c>
      <c r="EC28" s="358" t="e">
        <f>(DV28-DK28)/DK28</f>
        <v>#DIV/0!</v>
      </c>
      <c r="ED28" s="402">
        <f>EG28 + ABS(EE28) + ABS(EF28)</f>
        <v>0</v>
      </c>
      <c r="EE28" s="402"/>
      <c r="EF28" s="402"/>
      <c r="EG28" s="402"/>
      <c r="EH28" s="358"/>
      <c r="EI28" s="358"/>
      <c r="EJ28" s="358"/>
      <c r="EK28" s="164" t="b">
        <v>0</v>
      </c>
      <c r="EL28" s="164" t="b">
        <v>0</v>
      </c>
      <c r="EM28" s="358" t="e">
        <f>(EH28-DW28)/DW28</f>
        <v>#DIV/0!</v>
      </c>
      <c r="EN28" s="358" t="e">
        <f>(EG28-DV28)/DV28</f>
        <v>#DIV/0!</v>
      </c>
      <c r="EO28" s="402">
        <f>ER28 + ABS(EP28) + ABS(EQ28)</f>
        <v>0</v>
      </c>
      <c r="EP28" s="402"/>
      <c r="EQ28" s="402"/>
      <c r="ER28" s="402"/>
      <c r="ES28" s="358"/>
      <c r="ET28" s="358"/>
      <c r="EU28" s="358"/>
      <c r="EV28" s="164" t="b">
        <v>0</v>
      </c>
      <c r="EW28" s="164" t="b">
        <v>0</v>
      </c>
      <c r="EX28" s="358" t="e">
        <f>(ES28-EJ28)/EJ28</f>
        <v>#DIV/0!</v>
      </c>
      <c r="EY28" s="358" t="e">
        <f>(ER28-EG28)/EG28</f>
        <v>#DIV/0!</v>
      </c>
      <c r="EZ28" s="449"/>
      <c r="FA28" s="449"/>
      <c r="FB28" s="449"/>
      <c r="FC28" s="449"/>
      <c r="FD28" s="449"/>
      <c r="FE28" s="449"/>
      <c r="FF28" s="449"/>
      <c r="FG28" s="449"/>
      <c r="FH28" s="449"/>
      <c r="FI28" s="449"/>
      <c r="FJ28" s="449"/>
      <c r="FK28" s="449"/>
      <c r="FL28" s="449"/>
      <c r="FM28" s="449"/>
      <c r="FN28" s="449"/>
      <c r="FO28" s="449"/>
      <c r="FP28" s="175"/>
      <c r="FQ28" s="801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  <c r="GH28" s="175"/>
      <c r="GI28" s="175"/>
      <c r="GJ28" s="175"/>
      <c r="GK28" s="175"/>
      <c r="GL28" s="175"/>
      <c r="GM28" s="175"/>
      <c r="GN28" s="175"/>
      <c r="GO28" s="175"/>
      <c r="GP28" s="175"/>
      <c r="GQ28" s="175"/>
      <c r="GR28" s="175"/>
      <c r="GS28" s="175"/>
      <c r="GT28" s="175"/>
      <c r="GU28" s="175"/>
      <c r="GV28" s="175"/>
      <c r="GW28" s="175"/>
      <c r="GX28" s="175"/>
      <c r="GY28" s="175"/>
      <c r="GZ28" s="175"/>
      <c r="HA28" s="175"/>
      <c r="HB28" s="175"/>
      <c r="HC28" s="175"/>
      <c r="HD28" s="175"/>
      <c r="HE28" s="175"/>
      <c r="HF28" s="175"/>
      <c r="HG28" s="175"/>
      <c r="HH28" s="175"/>
      <c r="HI28" s="175"/>
      <c r="HJ28" s="175"/>
      <c r="HK28" s="175"/>
      <c r="HL28" s="175"/>
      <c r="HM28" s="175"/>
    </row>
    <row r="29" spans="1:221" s="343" customFormat="1" ht="15">
      <c r="A29" s="184"/>
      <c r="B29" s="175"/>
      <c r="C29" s="800" t="s">
        <v>236</v>
      </c>
      <c r="D29" s="357">
        <v>1450022</v>
      </c>
      <c r="E29" s="357">
        <v>61</v>
      </c>
      <c r="F29" s="357" t="s">
        <v>239</v>
      </c>
      <c r="G29" s="426" t="s">
        <v>240</v>
      </c>
      <c r="H29" s="148" t="s">
        <v>169</v>
      </c>
      <c r="I29" s="448" t="s">
        <v>170</v>
      </c>
      <c r="J29" s="357"/>
      <c r="K29" s="357"/>
      <c r="L29" s="357"/>
      <c r="M29" s="358"/>
      <c r="N29" s="359">
        <v>107</v>
      </c>
      <c r="O29" s="358"/>
      <c r="P29" s="402">
        <v>6943.6</v>
      </c>
      <c r="Q29" s="402"/>
      <c r="R29" s="402">
        <v>137714.75</v>
      </c>
      <c r="S29" s="358">
        <v>8359</v>
      </c>
      <c r="T29" s="188" t="s">
        <v>171</v>
      </c>
      <c r="U29" s="358"/>
      <c r="V29" s="358"/>
      <c r="W29" s="358"/>
      <c r="X29" s="402">
        <f t="shared" si="1"/>
        <v>169365.28</v>
      </c>
      <c r="Y29" s="402">
        <v>-8129.53</v>
      </c>
      <c r="Z29" s="402">
        <v>0</v>
      </c>
      <c r="AA29" s="402">
        <v>161235.75</v>
      </c>
      <c r="AB29" s="450">
        <v>9780</v>
      </c>
      <c r="AC29" s="426" t="s">
        <v>172</v>
      </c>
      <c r="AD29" s="426" t="s">
        <v>173</v>
      </c>
      <c r="AE29" s="164" t="b">
        <v>1</v>
      </c>
      <c r="AF29" s="164" t="b">
        <v>1</v>
      </c>
      <c r="AG29" s="409">
        <f>(AB29-S29)/S29</f>
        <v>0.16999641105395383</v>
      </c>
      <c r="AH29" s="409">
        <f>(AA29-R29)/R29</f>
        <v>0.17079506734028127</v>
      </c>
      <c r="AI29" s="402">
        <f t="shared" si="2"/>
        <v>149545.84000000003</v>
      </c>
      <c r="AJ29" s="364">
        <v>-7178.2</v>
      </c>
      <c r="AK29" s="364">
        <v>0</v>
      </c>
      <c r="AL29" s="364">
        <v>142367.64000000001</v>
      </c>
      <c r="AM29" s="1069">
        <v>8317</v>
      </c>
      <c r="AN29" s="407">
        <v>46122</v>
      </c>
      <c r="AO29" s="148" t="s">
        <v>174</v>
      </c>
      <c r="AP29" s="860" t="b">
        <v>1</v>
      </c>
      <c r="AQ29" s="860" t="b">
        <v>1</v>
      </c>
      <c r="AR29" s="409">
        <f t="shared" si="0"/>
        <v>-0.14959100204498976</v>
      </c>
      <c r="AS29" s="409">
        <f>(AL29-AA29)/AA29</f>
        <v>-0.11702187635186356</v>
      </c>
      <c r="AT29" s="402">
        <f t="shared" si="3"/>
        <v>0</v>
      </c>
      <c r="AU29" s="402"/>
      <c r="AV29" s="402"/>
      <c r="AW29" s="402"/>
      <c r="AX29" s="358"/>
      <c r="AY29" s="358"/>
      <c r="AZ29" s="358"/>
      <c r="BA29" s="164" t="b">
        <v>0</v>
      </c>
      <c r="BB29" s="164" t="b">
        <v>0</v>
      </c>
      <c r="BC29" s="358">
        <f>(AX29-AM29)/AM29</f>
        <v>-1</v>
      </c>
      <c r="BD29" s="358">
        <f>(AW29-AL29)/AL29</f>
        <v>-1</v>
      </c>
      <c r="BE29" s="402">
        <f>BH29 + ABS(BF29) + ABS(BG29)</f>
        <v>0</v>
      </c>
      <c r="BF29" s="402"/>
      <c r="BG29" s="402"/>
      <c r="BH29" s="402"/>
      <c r="BI29" s="358"/>
      <c r="BJ29" s="358"/>
      <c r="BK29" s="358"/>
      <c r="BL29" s="164" t="b">
        <v>0</v>
      </c>
      <c r="BM29" s="164" t="b">
        <v>0</v>
      </c>
      <c r="BN29" s="358" t="e">
        <f>(BI29-AZ29)/AZ29</f>
        <v>#DIV/0!</v>
      </c>
      <c r="BO29" s="358" t="e">
        <f>(BH29-AW29)/AW29</f>
        <v>#DIV/0!</v>
      </c>
      <c r="BP29" s="402">
        <f>BS29 + ABS(BQ29) + ABS(BR29)</f>
        <v>0</v>
      </c>
      <c r="BQ29" s="402"/>
      <c r="BR29" s="402"/>
      <c r="BS29" s="402"/>
      <c r="BT29" s="358"/>
      <c r="BU29" s="358"/>
      <c r="BV29" s="358"/>
      <c r="BW29" s="164" t="b">
        <v>0</v>
      </c>
      <c r="BX29" s="164" t="b">
        <v>0</v>
      </c>
      <c r="BY29" s="358" t="e">
        <f>(BT29-BI29)/BI29</f>
        <v>#DIV/0!</v>
      </c>
      <c r="BZ29" s="358" t="e">
        <f>(BS29-BH29)/BH29</f>
        <v>#DIV/0!</v>
      </c>
      <c r="CA29" s="402">
        <f>CD29 + ABS(CB29) + ABS(CC29)</f>
        <v>0</v>
      </c>
      <c r="CB29" s="402"/>
      <c r="CC29" s="402"/>
      <c r="CD29" s="402"/>
      <c r="CE29" s="358"/>
      <c r="CF29" s="358"/>
      <c r="CG29" s="358"/>
      <c r="CH29" s="164" t="b">
        <v>0</v>
      </c>
      <c r="CI29" s="164" t="b">
        <v>0</v>
      </c>
      <c r="CJ29" s="358" t="e">
        <f>(CE29-BV29)/BV29</f>
        <v>#DIV/0!</v>
      </c>
      <c r="CK29" s="358" t="e">
        <f>(CD29-BS29)/BS29</f>
        <v>#DIV/0!</v>
      </c>
      <c r="CL29" s="402">
        <f>CO29 + ABS(CM29) + ABS(CN29)</f>
        <v>0</v>
      </c>
      <c r="CM29" s="402"/>
      <c r="CN29" s="402"/>
      <c r="CO29" s="402"/>
      <c r="CP29" s="358"/>
      <c r="CQ29" s="358"/>
      <c r="CR29" s="358"/>
      <c r="CS29" s="164" t="b">
        <v>0</v>
      </c>
      <c r="CT29" s="164" t="b">
        <v>0</v>
      </c>
      <c r="CU29" s="358" t="e">
        <f>(CP29-CE29)/CE29</f>
        <v>#DIV/0!</v>
      </c>
      <c r="CV29" s="358" t="e">
        <f>(CO29-CD29)/CD29</f>
        <v>#DIV/0!</v>
      </c>
      <c r="CW29" s="402">
        <f>CZ29 + ABS(CX29) + ABS(CY29)</f>
        <v>0</v>
      </c>
      <c r="CX29" s="402"/>
      <c r="CY29" s="402"/>
      <c r="CZ29" s="402"/>
      <c r="DA29" s="358"/>
      <c r="DB29" s="358"/>
      <c r="DC29" s="358"/>
      <c r="DD29" s="164" t="b">
        <v>0</v>
      </c>
      <c r="DE29" s="164" t="b">
        <v>0</v>
      </c>
      <c r="DF29" s="358" t="e">
        <f>(DA29-CR29)/CR29</f>
        <v>#DIV/0!</v>
      </c>
      <c r="DG29" s="358" t="e">
        <f>(CZ29-CO29)/CO29</f>
        <v>#DIV/0!</v>
      </c>
      <c r="DH29" s="402">
        <f>DK29 + ABS(DI29) + ABS(DJ29)</f>
        <v>0</v>
      </c>
      <c r="DI29" s="402"/>
      <c r="DJ29" s="402"/>
      <c r="DK29" s="402"/>
      <c r="DL29" s="358"/>
      <c r="DM29" s="358"/>
      <c r="DN29" s="358"/>
      <c r="DO29" s="164" t="b">
        <v>0</v>
      </c>
      <c r="DP29" s="164" t="b">
        <v>0</v>
      </c>
      <c r="DQ29" s="358" t="e">
        <f>(DL29-DA29)/DA29</f>
        <v>#DIV/0!</v>
      </c>
      <c r="DR29" s="358" t="e">
        <f>(DK29-CZ29)/CZ29</f>
        <v>#DIV/0!</v>
      </c>
      <c r="DS29" s="402">
        <f>DV29 + ABS(DT29) + ABS(DU29)</f>
        <v>0</v>
      </c>
      <c r="DT29" s="402"/>
      <c r="DU29" s="402"/>
      <c r="DV29" s="402"/>
      <c r="DW29" s="358"/>
      <c r="DX29" s="358"/>
      <c r="DY29" s="358"/>
      <c r="DZ29" s="164" t="b">
        <v>0</v>
      </c>
      <c r="EA29" s="164" t="b">
        <v>0</v>
      </c>
      <c r="EB29" s="358" t="e">
        <f>(DW29-DN29)/DN29</f>
        <v>#DIV/0!</v>
      </c>
      <c r="EC29" s="358" t="e">
        <f>(DV29-DK29)/DK29</f>
        <v>#DIV/0!</v>
      </c>
      <c r="ED29" s="402">
        <f>EG29 + ABS(EE29) + ABS(EF29)</f>
        <v>0</v>
      </c>
      <c r="EE29" s="402"/>
      <c r="EF29" s="402"/>
      <c r="EG29" s="402"/>
      <c r="EH29" s="358"/>
      <c r="EI29" s="358"/>
      <c r="EJ29" s="358"/>
      <c r="EK29" s="164" t="b">
        <v>0</v>
      </c>
      <c r="EL29" s="164" t="b">
        <v>0</v>
      </c>
      <c r="EM29" s="358" t="e">
        <f>(EH29-DW29)/DW29</f>
        <v>#DIV/0!</v>
      </c>
      <c r="EN29" s="358" t="e">
        <f>(EG29-DV29)/DV29</f>
        <v>#DIV/0!</v>
      </c>
      <c r="EO29" s="402">
        <f>ER29 + ABS(EP29) + ABS(EQ29)</f>
        <v>0</v>
      </c>
      <c r="EP29" s="402"/>
      <c r="EQ29" s="402"/>
      <c r="ER29" s="402"/>
      <c r="ES29" s="358"/>
      <c r="ET29" s="358"/>
      <c r="EU29" s="358"/>
      <c r="EV29" s="164" t="b">
        <v>0</v>
      </c>
      <c r="EW29" s="164" t="b">
        <v>0</v>
      </c>
      <c r="EX29" s="358" t="e">
        <f>(ES29-EJ29)/EJ29</f>
        <v>#DIV/0!</v>
      </c>
      <c r="EY29" s="358" t="e">
        <f>(ER29-EG29)/EG29</f>
        <v>#DIV/0!</v>
      </c>
      <c r="EZ29" s="449"/>
      <c r="FA29" s="449"/>
      <c r="FB29" s="449"/>
      <c r="FC29" s="449"/>
      <c r="FD29" s="449"/>
      <c r="FE29" s="449"/>
      <c r="FF29" s="449"/>
      <c r="FG29" s="449"/>
      <c r="FH29" s="449"/>
      <c r="FI29" s="449"/>
      <c r="FJ29" s="449"/>
      <c r="FK29" s="449"/>
      <c r="FL29" s="449"/>
      <c r="FM29" s="449"/>
      <c r="FN29" s="449"/>
      <c r="FO29" s="449"/>
      <c r="FP29" s="175"/>
      <c r="FQ29" s="801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</row>
    <row r="30" spans="1:221" s="343" customFormat="1" ht="15">
      <c r="A30" s="184"/>
      <c r="B30" s="175"/>
      <c r="C30" s="802" t="s">
        <v>241</v>
      </c>
      <c r="D30" s="154">
        <v>1450022</v>
      </c>
      <c r="E30" s="154">
        <v>35</v>
      </c>
      <c r="F30" s="154" t="s">
        <v>242</v>
      </c>
      <c r="G30" s="255" t="s">
        <v>243</v>
      </c>
      <c r="H30" s="171" t="s">
        <v>169</v>
      </c>
      <c r="I30" s="445" t="s">
        <v>170</v>
      </c>
      <c r="J30" s="154"/>
      <c r="K30" s="154"/>
      <c r="L30" s="154"/>
      <c r="M30" s="176"/>
      <c r="N30" s="418">
        <v>107</v>
      </c>
      <c r="O30" s="176"/>
      <c r="P30" s="203">
        <v>7.61</v>
      </c>
      <c r="Q30" s="203"/>
      <c r="R30" s="203">
        <v>150.83000000000001</v>
      </c>
      <c r="S30" s="176">
        <v>10</v>
      </c>
      <c r="T30" s="188" t="s">
        <v>171</v>
      </c>
      <c r="U30" s="176"/>
      <c r="V30" s="176"/>
      <c r="W30" s="176"/>
      <c r="X30" s="203">
        <f t="shared" si="1"/>
        <v>158.44000000000003</v>
      </c>
      <c r="Y30" s="203">
        <v>-7.61</v>
      </c>
      <c r="Z30" s="203">
        <v>0</v>
      </c>
      <c r="AA30" s="203">
        <v>150.83000000000001</v>
      </c>
      <c r="AB30" s="154">
        <v>10</v>
      </c>
      <c r="AC30" s="444" t="s">
        <v>172</v>
      </c>
      <c r="AD30" s="444" t="s">
        <v>173</v>
      </c>
      <c r="AE30" s="177" t="b">
        <v>1</v>
      </c>
      <c r="AF30" s="177" t="b">
        <v>1</v>
      </c>
      <c r="AG30" s="392">
        <f>(AB30-S30)/S30</f>
        <v>0</v>
      </c>
      <c r="AH30" s="392">
        <f>(AA30-R30)/R30</f>
        <v>0</v>
      </c>
      <c r="AI30" s="203">
        <f t="shared" si="2"/>
        <v>160.32999999999998</v>
      </c>
      <c r="AJ30" s="368">
        <v>-7.7</v>
      </c>
      <c r="AK30" s="368">
        <v>0</v>
      </c>
      <c r="AL30" s="368">
        <v>152.63</v>
      </c>
      <c r="AM30" s="1068">
        <v>9</v>
      </c>
      <c r="AN30" s="172">
        <v>46122</v>
      </c>
      <c r="AO30" s="171" t="s">
        <v>174</v>
      </c>
      <c r="AP30" s="861" t="b">
        <v>1</v>
      </c>
      <c r="AQ30" s="861" t="b">
        <v>1</v>
      </c>
      <c r="AR30" s="392">
        <f t="shared" si="0"/>
        <v>-0.1</v>
      </c>
      <c r="AS30" s="392">
        <f>(AL30-AA30)/AA30</f>
        <v>1.193396539150025E-2</v>
      </c>
      <c r="AT30" s="203">
        <f t="shared" si="3"/>
        <v>0</v>
      </c>
      <c r="AU30" s="203"/>
      <c r="AV30" s="203"/>
      <c r="AW30" s="203"/>
      <c r="AX30" s="176"/>
      <c r="AY30" s="176"/>
      <c r="AZ30" s="176"/>
      <c r="BA30" s="177" t="b">
        <v>0</v>
      </c>
      <c r="BB30" s="177" t="b">
        <v>0</v>
      </c>
      <c r="BC30" s="176">
        <f>(AX30-AM30)/AM30</f>
        <v>-1</v>
      </c>
      <c r="BD30" s="176">
        <f>(AW30-AL30)/AL30</f>
        <v>-1</v>
      </c>
      <c r="BE30" s="203">
        <f>BH30 + ABS(BF30) + ABS(BG30)</f>
        <v>0</v>
      </c>
      <c r="BF30" s="203"/>
      <c r="BG30" s="203"/>
      <c r="BH30" s="203"/>
      <c r="BI30" s="176"/>
      <c r="BJ30" s="176"/>
      <c r="BK30" s="176"/>
      <c r="BL30" s="177" t="b">
        <v>0</v>
      </c>
      <c r="BM30" s="177" t="b">
        <v>0</v>
      </c>
      <c r="BN30" s="176" t="e">
        <f>(BI30-AZ30)/AZ30</f>
        <v>#DIV/0!</v>
      </c>
      <c r="BO30" s="176" t="e">
        <f>(BH30-AW30)/AW30</f>
        <v>#DIV/0!</v>
      </c>
      <c r="BP30" s="203">
        <f>BS30 + ABS(BQ30) + ABS(BR30)</f>
        <v>0</v>
      </c>
      <c r="BQ30" s="203"/>
      <c r="BR30" s="203"/>
      <c r="BS30" s="203"/>
      <c r="BT30" s="176"/>
      <c r="BU30" s="176"/>
      <c r="BV30" s="176"/>
      <c r="BW30" s="177" t="b">
        <v>0</v>
      </c>
      <c r="BX30" s="177" t="b">
        <v>0</v>
      </c>
      <c r="BY30" s="176" t="e">
        <f>(BT30-BI30)/BI30</f>
        <v>#DIV/0!</v>
      </c>
      <c r="BZ30" s="176" t="e">
        <f>(BS30-BH30)/BH30</f>
        <v>#DIV/0!</v>
      </c>
      <c r="CA30" s="203">
        <f>CD30 + ABS(CB30) + ABS(CC30)</f>
        <v>0</v>
      </c>
      <c r="CB30" s="203"/>
      <c r="CC30" s="203"/>
      <c r="CD30" s="203"/>
      <c r="CE30" s="176"/>
      <c r="CF30" s="176"/>
      <c r="CG30" s="176"/>
      <c r="CH30" s="177" t="b">
        <v>0</v>
      </c>
      <c r="CI30" s="177" t="b">
        <v>0</v>
      </c>
      <c r="CJ30" s="176" t="e">
        <f>(CE30-BV30)/BV30</f>
        <v>#DIV/0!</v>
      </c>
      <c r="CK30" s="176" t="e">
        <f>(CD30-BS30)/BS30</f>
        <v>#DIV/0!</v>
      </c>
      <c r="CL30" s="203">
        <f>CO30 + ABS(CM30) + ABS(CN30)</f>
        <v>0</v>
      </c>
      <c r="CM30" s="203"/>
      <c r="CN30" s="203"/>
      <c r="CO30" s="203"/>
      <c r="CP30" s="176"/>
      <c r="CQ30" s="176"/>
      <c r="CR30" s="176"/>
      <c r="CS30" s="177" t="b">
        <v>0</v>
      </c>
      <c r="CT30" s="177" t="b">
        <v>0</v>
      </c>
      <c r="CU30" s="176" t="e">
        <f>(CP30-CE30)/CE30</f>
        <v>#DIV/0!</v>
      </c>
      <c r="CV30" s="176" t="e">
        <f>(CO30-CD30)/CD30</f>
        <v>#DIV/0!</v>
      </c>
      <c r="CW30" s="203">
        <f>CZ30 + ABS(CX30) + ABS(CY30)</f>
        <v>0</v>
      </c>
      <c r="CX30" s="203"/>
      <c r="CY30" s="203"/>
      <c r="CZ30" s="203"/>
      <c r="DA30" s="176"/>
      <c r="DB30" s="176"/>
      <c r="DC30" s="176"/>
      <c r="DD30" s="177" t="b">
        <v>0</v>
      </c>
      <c r="DE30" s="177" t="b">
        <v>0</v>
      </c>
      <c r="DF30" s="176" t="e">
        <f>(DA30-CR30)/CR30</f>
        <v>#DIV/0!</v>
      </c>
      <c r="DG30" s="176" t="e">
        <f>(CZ30-CO30)/CO30</f>
        <v>#DIV/0!</v>
      </c>
      <c r="DH30" s="203">
        <f>DK30 + ABS(DI30) + ABS(DJ30)</f>
        <v>0</v>
      </c>
      <c r="DI30" s="203"/>
      <c r="DJ30" s="203"/>
      <c r="DK30" s="203"/>
      <c r="DL30" s="176"/>
      <c r="DM30" s="176"/>
      <c r="DN30" s="176"/>
      <c r="DO30" s="177" t="b">
        <v>0</v>
      </c>
      <c r="DP30" s="177" t="b">
        <v>0</v>
      </c>
      <c r="DQ30" s="176" t="e">
        <f>(DL30-DA30)/DA30</f>
        <v>#DIV/0!</v>
      </c>
      <c r="DR30" s="176" t="e">
        <f>(DK30-CZ30)/CZ30</f>
        <v>#DIV/0!</v>
      </c>
      <c r="DS30" s="203">
        <f>DV30 + ABS(DT30) + ABS(DU30)</f>
        <v>0</v>
      </c>
      <c r="DT30" s="203"/>
      <c r="DU30" s="203"/>
      <c r="DV30" s="203"/>
      <c r="DW30" s="176"/>
      <c r="DX30" s="176"/>
      <c r="DY30" s="176"/>
      <c r="DZ30" s="177" t="b">
        <v>0</v>
      </c>
      <c r="EA30" s="177" t="b">
        <v>0</v>
      </c>
      <c r="EB30" s="176" t="e">
        <f>(DW30-DN30)/DN30</f>
        <v>#DIV/0!</v>
      </c>
      <c r="EC30" s="176" t="e">
        <f>(DV30-DK30)/DK30</f>
        <v>#DIV/0!</v>
      </c>
      <c r="ED30" s="203">
        <f>EG30 + ABS(EE30) + ABS(EF30)</f>
        <v>0</v>
      </c>
      <c r="EE30" s="203"/>
      <c r="EF30" s="203"/>
      <c r="EG30" s="203"/>
      <c r="EH30" s="176"/>
      <c r="EI30" s="176"/>
      <c r="EJ30" s="176"/>
      <c r="EK30" s="177" t="b">
        <v>0</v>
      </c>
      <c r="EL30" s="177" t="b">
        <v>0</v>
      </c>
      <c r="EM30" s="176" t="e">
        <f>(EH30-DW30)/DW30</f>
        <v>#DIV/0!</v>
      </c>
      <c r="EN30" s="176" t="e">
        <f>(EG30-DV30)/DV30</f>
        <v>#DIV/0!</v>
      </c>
      <c r="EO30" s="203">
        <f>ER30 + ABS(EP30) + ABS(EQ30)</f>
        <v>0</v>
      </c>
      <c r="EP30" s="203"/>
      <c r="EQ30" s="203"/>
      <c r="ER30" s="203"/>
      <c r="ES30" s="176"/>
      <c r="ET30" s="176"/>
      <c r="EU30" s="176"/>
      <c r="EV30" s="177" t="b">
        <v>0</v>
      </c>
      <c r="EW30" s="177" t="b">
        <v>0</v>
      </c>
      <c r="EX30" s="176" t="e">
        <f>(ES30-EJ30)/EJ30</f>
        <v>#DIV/0!</v>
      </c>
      <c r="EY30" s="176" t="e">
        <f>(ER30-EG30)/EG30</f>
        <v>#DIV/0!</v>
      </c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801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</row>
    <row r="31" spans="1:221" s="343" customFormat="1" ht="15">
      <c r="A31" s="184"/>
      <c r="B31" s="175"/>
      <c r="C31" s="802" t="s">
        <v>241</v>
      </c>
      <c r="D31" s="154">
        <v>1450022</v>
      </c>
      <c r="E31" s="154">
        <v>35</v>
      </c>
      <c r="F31" s="154" t="s">
        <v>244</v>
      </c>
      <c r="G31" s="255" t="s">
        <v>245</v>
      </c>
      <c r="H31" s="171" t="s">
        <v>169</v>
      </c>
      <c r="I31" s="445" t="s">
        <v>170</v>
      </c>
      <c r="J31" s="154"/>
      <c r="K31" s="154"/>
      <c r="L31" s="154"/>
      <c r="M31" s="176"/>
      <c r="N31" s="193">
        <v>107</v>
      </c>
      <c r="O31" s="176"/>
      <c r="P31" s="203">
        <v>2.6</v>
      </c>
      <c r="Q31" s="203"/>
      <c r="R31" s="203">
        <v>51.52</v>
      </c>
      <c r="S31" s="354"/>
      <c r="T31" s="188" t="s">
        <v>171</v>
      </c>
      <c r="U31" s="176"/>
      <c r="V31" s="176"/>
      <c r="W31" s="176"/>
      <c r="X31" s="203">
        <f t="shared" si="1"/>
        <v>242.67000000000002</v>
      </c>
      <c r="Y31" s="203">
        <v>-11.65</v>
      </c>
      <c r="Z31" s="203">
        <v>0</v>
      </c>
      <c r="AA31" s="203">
        <v>231.02</v>
      </c>
      <c r="AB31" s="154">
        <v>15</v>
      </c>
      <c r="AC31" s="255" t="s">
        <v>172</v>
      </c>
      <c r="AD31" s="255" t="s">
        <v>173</v>
      </c>
      <c r="AE31" s="177" t="b">
        <v>1</v>
      </c>
      <c r="AF31" s="177" t="b">
        <v>1</v>
      </c>
      <c r="AG31" s="392">
        <v>0</v>
      </c>
      <c r="AH31" s="392">
        <f>(AA31-R31)/R31</f>
        <v>3.4840838509316767</v>
      </c>
      <c r="AI31" s="203">
        <f t="shared" si="2"/>
        <v>618.48</v>
      </c>
      <c r="AJ31" s="368">
        <v>-29.69</v>
      </c>
      <c r="AK31" s="368">
        <v>0</v>
      </c>
      <c r="AL31" s="368">
        <v>588.79</v>
      </c>
      <c r="AM31" s="1068">
        <v>32</v>
      </c>
      <c r="AN31" s="172">
        <v>46122</v>
      </c>
      <c r="AO31" s="171" t="s">
        <v>174</v>
      </c>
      <c r="AP31" s="861" t="b">
        <v>1</v>
      </c>
      <c r="AQ31" s="861" t="b">
        <v>1</v>
      </c>
      <c r="AR31" s="392">
        <f t="shared" si="0"/>
        <v>1.1333333333333333</v>
      </c>
      <c r="AS31" s="392">
        <f>(AL31-AA31)/AA31</f>
        <v>1.5486537962081204</v>
      </c>
      <c r="AT31" s="203">
        <f t="shared" si="3"/>
        <v>0</v>
      </c>
      <c r="AU31" s="203"/>
      <c r="AV31" s="203"/>
      <c r="AW31" s="203"/>
      <c r="AX31" s="176"/>
      <c r="AY31" s="176"/>
      <c r="AZ31" s="176"/>
      <c r="BA31" s="177" t="b">
        <v>0</v>
      </c>
      <c r="BB31" s="177" t="b">
        <v>0</v>
      </c>
      <c r="BC31" s="176">
        <f>(AX31-AM31)/AM31</f>
        <v>-1</v>
      </c>
      <c r="BD31" s="176">
        <f>(AW31-AL31)/AL31</f>
        <v>-1</v>
      </c>
      <c r="BE31" s="203">
        <f>BH31 + ABS(BF31) + ABS(BG31)</f>
        <v>0</v>
      </c>
      <c r="BF31" s="203"/>
      <c r="BG31" s="203"/>
      <c r="BH31" s="203"/>
      <c r="BI31" s="176"/>
      <c r="BJ31" s="176"/>
      <c r="BK31" s="176"/>
      <c r="BL31" s="177" t="b">
        <v>0</v>
      </c>
      <c r="BM31" s="177" t="b">
        <v>0</v>
      </c>
      <c r="BN31" s="176" t="e">
        <f>(BI31-AZ31)/AZ31</f>
        <v>#DIV/0!</v>
      </c>
      <c r="BO31" s="176" t="e">
        <f>(BH31-AW31)/AW31</f>
        <v>#DIV/0!</v>
      </c>
      <c r="BP31" s="203">
        <f>BS31 + ABS(BQ31) + ABS(BR31)</f>
        <v>0</v>
      </c>
      <c r="BQ31" s="203"/>
      <c r="BR31" s="203"/>
      <c r="BS31" s="203"/>
      <c r="BT31" s="176"/>
      <c r="BU31" s="176"/>
      <c r="BV31" s="176"/>
      <c r="BW31" s="177" t="b">
        <v>0</v>
      </c>
      <c r="BX31" s="177" t="b">
        <v>0</v>
      </c>
      <c r="BY31" s="176" t="e">
        <f>(BT31-BI31)/BI31</f>
        <v>#DIV/0!</v>
      </c>
      <c r="BZ31" s="176" t="e">
        <f>(BS31-BH31)/BH31</f>
        <v>#DIV/0!</v>
      </c>
      <c r="CA31" s="203">
        <f>CD31 + ABS(CB31) + ABS(CC31)</f>
        <v>0</v>
      </c>
      <c r="CB31" s="203"/>
      <c r="CC31" s="203"/>
      <c r="CD31" s="203"/>
      <c r="CE31" s="176"/>
      <c r="CF31" s="176"/>
      <c r="CG31" s="176"/>
      <c r="CH31" s="177" t="b">
        <v>0</v>
      </c>
      <c r="CI31" s="177" t="b">
        <v>0</v>
      </c>
      <c r="CJ31" s="176" t="e">
        <f>(CE31-BV31)/BV31</f>
        <v>#DIV/0!</v>
      </c>
      <c r="CK31" s="176" t="e">
        <f>(CD31-BS31)/BS31</f>
        <v>#DIV/0!</v>
      </c>
      <c r="CL31" s="203">
        <f>CO31 + ABS(CM31) + ABS(CN31)</f>
        <v>0</v>
      </c>
      <c r="CM31" s="203"/>
      <c r="CN31" s="203"/>
      <c r="CO31" s="203"/>
      <c r="CP31" s="176"/>
      <c r="CQ31" s="176"/>
      <c r="CR31" s="176"/>
      <c r="CS31" s="177" t="b">
        <v>0</v>
      </c>
      <c r="CT31" s="177" t="b">
        <v>0</v>
      </c>
      <c r="CU31" s="176" t="e">
        <f>(CP31-CE31)/CE31</f>
        <v>#DIV/0!</v>
      </c>
      <c r="CV31" s="176" t="e">
        <f>(CO31-CD31)/CD31</f>
        <v>#DIV/0!</v>
      </c>
      <c r="CW31" s="203">
        <f>CZ31 + ABS(CX31) + ABS(CY31)</f>
        <v>0</v>
      </c>
      <c r="CX31" s="203"/>
      <c r="CY31" s="203"/>
      <c r="CZ31" s="203"/>
      <c r="DA31" s="176"/>
      <c r="DB31" s="176"/>
      <c r="DC31" s="176"/>
      <c r="DD31" s="177" t="b">
        <v>0</v>
      </c>
      <c r="DE31" s="177" t="b">
        <v>0</v>
      </c>
      <c r="DF31" s="176" t="e">
        <f>(DA31-CR31)/CR31</f>
        <v>#DIV/0!</v>
      </c>
      <c r="DG31" s="176" t="e">
        <f>(CZ31-CO31)/CO31</f>
        <v>#DIV/0!</v>
      </c>
      <c r="DH31" s="203">
        <f>DK31 + ABS(DI31) + ABS(DJ31)</f>
        <v>0</v>
      </c>
      <c r="DI31" s="203"/>
      <c r="DJ31" s="203"/>
      <c r="DK31" s="203"/>
      <c r="DL31" s="176"/>
      <c r="DM31" s="176"/>
      <c r="DN31" s="176"/>
      <c r="DO31" s="177" t="b">
        <v>0</v>
      </c>
      <c r="DP31" s="177" t="b">
        <v>0</v>
      </c>
      <c r="DQ31" s="176" t="e">
        <f>(DL31-DA31)/DA31</f>
        <v>#DIV/0!</v>
      </c>
      <c r="DR31" s="176" t="e">
        <f>(DK31-CZ31)/CZ31</f>
        <v>#DIV/0!</v>
      </c>
      <c r="DS31" s="203">
        <f>DV31 + ABS(DT31) + ABS(DU31)</f>
        <v>0</v>
      </c>
      <c r="DT31" s="203"/>
      <c r="DU31" s="203"/>
      <c r="DV31" s="203"/>
      <c r="DW31" s="176"/>
      <c r="DX31" s="176"/>
      <c r="DY31" s="176"/>
      <c r="DZ31" s="177" t="b">
        <v>0</v>
      </c>
      <c r="EA31" s="177" t="b">
        <v>0</v>
      </c>
      <c r="EB31" s="176" t="e">
        <f>(DW31-DN31)/DN31</f>
        <v>#DIV/0!</v>
      </c>
      <c r="EC31" s="176" t="e">
        <f>(DV31-DK31)/DK31</f>
        <v>#DIV/0!</v>
      </c>
      <c r="ED31" s="203">
        <f>EG31 + ABS(EE31) + ABS(EF31)</f>
        <v>0</v>
      </c>
      <c r="EE31" s="203"/>
      <c r="EF31" s="203"/>
      <c r="EG31" s="203"/>
      <c r="EH31" s="176"/>
      <c r="EI31" s="176"/>
      <c r="EJ31" s="176"/>
      <c r="EK31" s="177" t="b">
        <v>0</v>
      </c>
      <c r="EL31" s="177" t="b">
        <v>0</v>
      </c>
      <c r="EM31" s="176" t="e">
        <f>(EH31-DW31)/DW31</f>
        <v>#DIV/0!</v>
      </c>
      <c r="EN31" s="176" t="e">
        <f>(EG31-DV31)/DV31</f>
        <v>#DIV/0!</v>
      </c>
      <c r="EO31" s="203">
        <f>ER31 + ABS(EP31) + ABS(EQ31)</f>
        <v>0</v>
      </c>
      <c r="EP31" s="203"/>
      <c r="EQ31" s="203"/>
      <c r="ER31" s="203"/>
      <c r="ES31" s="176"/>
      <c r="ET31" s="176"/>
      <c r="EU31" s="176"/>
      <c r="EV31" s="177" t="b">
        <v>0</v>
      </c>
      <c r="EW31" s="177" t="b">
        <v>0</v>
      </c>
      <c r="EX31" s="176" t="e">
        <f>(ES31-EJ31)/EJ31</f>
        <v>#DIV/0!</v>
      </c>
      <c r="EY31" s="176" t="e">
        <f>(ER31-EG31)/EG31</f>
        <v>#DIV/0!</v>
      </c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801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</row>
    <row r="32" spans="1:221" s="343" customFormat="1" ht="15">
      <c r="A32" s="184"/>
      <c r="B32" s="175"/>
      <c r="C32" s="802" t="s">
        <v>241</v>
      </c>
      <c r="D32" s="154">
        <v>1450022</v>
      </c>
      <c r="E32" s="154">
        <v>35</v>
      </c>
      <c r="F32" s="154" t="s">
        <v>246</v>
      </c>
      <c r="G32" s="255" t="s">
        <v>247</v>
      </c>
      <c r="H32" s="171" t="s">
        <v>169</v>
      </c>
      <c r="I32" s="445" t="s">
        <v>170</v>
      </c>
      <c r="J32" s="154"/>
      <c r="K32" s="154"/>
      <c r="L32" s="154"/>
      <c r="M32" s="176"/>
      <c r="N32" s="418">
        <v>107</v>
      </c>
      <c r="O32" s="176"/>
      <c r="P32" s="203">
        <v>15.69</v>
      </c>
      <c r="Q32" s="203"/>
      <c r="R32" s="203">
        <v>311.2</v>
      </c>
      <c r="S32" s="176">
        <v>20</v>
      </c>
      <c r="T32" s="188" t="s">
        <v>171</v>
      </c>
      <c r="U32" s="176"/>
      <c r="V32" s="176"/>
      <c r="W32" s="176"/>
      <c r="X32" s="203">
        <f t="shared" si="1"/>
        <v>293.2</v>
      </c>
      <c r="Y32" s="203">
        <v>-14.07</v>
      </c>
      <c r="Z32" s="203">
        <v>0</v>
      </c>
      <c r="AA32" s="203">
        <v>279.13</v>
      </c>
      <c r="AB32" s="154">
        <v>18</v>
      </c>
      <c r="AC32" s="444" t="s">
        <v>172</v>
      </c>
      <c r="AD32" s="444" t="s">
        <v>173</v>
      </c>
      <c r="AE32" s="177" t="b">
        <v>1</v>
      </c>
      <c r="AF32" s="177" t="b">
        <v>1</v>
      </c>
      <c r="AG32" s="392">
        <f>(AB32-S32)/S32</f>
        <v>-0.1</v>
      </c>
      <c r="AH32" s="392">
        <f>(AA32-R32)/R32</f>
        <v>-0.10305269922879176</v>
      </c>
      <c r="AI32" s="203">
        <f t="shared" si="2"/>
        <v>226.75</v>
      </c>
      <c r="AJ32" s="368">
        <v>-10.88</v>
      </c>
      <c r="AK32" s="368">
        <v>0</v>
      </c>
      <c r="AL32" s="368">
        <v>215.87</v>
      </c>
      <c r="AM32" s="1068">
        <v>13</v>
      </c>
      <c r="AN32" s="172">
        <v>46122</v>
      </c>
      <c r="AO32" s="171" t="s">
        <v>174</v>
      </c>
      <c r="AP32" s="861" t="b">
        <v>1</v>
      </c>
      <c r="AQ32" s="861" t="b">
        <v>1</v>
      </c>
      <c r="AR32" s="392">
        <f t="shared" si="0"/>
        <v>-0.27777777777777779</v>
      </c>
      <c r="AS32" s="392">
        <f>(AL32-AA32)/AA32</f>
        <v>-0.22663275176441081</v>
      </c>
      <c r="AT32" s="203">
        <f t="shared" si="3"/>
        <v>0</v>
      </c>
      <c r="AU32" s="203"/>
      <c r="AV32" s="203"/>
      <c r="AW32" s="203"/>
      <c r="AX32" s="176"/>
      <c r="AY32" s="176"/>
      <c r="AZ32" s="176"/>
      <c r="BA32" s="177" t="b">
        <v>0</v>
      </c>
      <c r="BB32" s="177" t="b">
        <v>0</v>
      </c>
      <c r="BC32" s="176">
        <f>(AX32-AM32)/AM32</f>
        <v>-1</v>
      </c>
      <c r="BD32" s="176">
        <f>(AW32-AL32)/AL32</f>
        <v>-1</v>
      </c>
      <c r="BE32" s="203">
        <f>BH32 + ABS(BF32) + ABS(BG32)</f>
        <v>0</v>
      </c>
      <c r="BF32" s="203"/>
      <c r="BG32" s="203"/>
      <c r="BH32" s="203"/>
      <c r="BI32" s="176"/>
      <c r="BJ32" s="176"/>
      <c r="BK32" s="176"/>
      <c r="BL32" s="177" t="b">
        <v>0</v>
      </c>
      <c r="BM32" s="177" t="b">
        <v>0</v>
      </c>
      <c r="BN32" s="176" t="e">
        <f>(BI32-AZ32)/AZ32</f>
        <v>#DIV/0!</v>
      </c>
      <c r="BO32" s="176" t="e">
        <f>(BH32-AW32)/AW32</f>
        <v>#DIV/0!</v>
      </c>
      <c r="BP32" s="203">
        <f>BS32 + ABS(BQ32) + ABS(BR32)</f>
        <v>0</v>
      </c>
      <c r="BQ32" s="203"/>
      <c r="BR32" s="203"/>
      <c r="BS32" s="203"/>
      <c r="BT32" s="176"/>
      <c r="BU32" s="176"/>
      <c r="BV32" s="176"/>
      <c r="BW32" s="177" t="b">
        <v>0</v>
      </c>
      <c r="BX32" s="177" t="b">
        <v>0</v>
      </c>
      <c r="BY32" s="176" t="e">
        <f>(BT32-BI32)/BI32</f>
        <v>#DIV/0!</v>
      </c>
      <c r="BZ32" s="176" t="e">
        <f>(BS32-BH32)/BH32</f>
        <v>#DIV/0!</v>
      </c>
      <c r="CA32" s="203">
        <f>CD32 + ABS(CB32) + ABS(CC32)</f>
        <v>0</v>
      </c>
      <c r="CB32" s="203"/>
      <c r="CC32" s="203"/>
      <c r="CD32" s="203"/>
      <c r="CE32" s="176"/>
      <c r="CF32" s="176"/>
      <c r="CG32" s="176"/>
      <c r="CH32" s="177" t="b">
        <v>0</v>
      </c>
      <c r="CI32" s="177" t="b">
        <v>0</v>
      </c>
      <c r="CJ32" s="176" t="e">
        <f>(CE32-BV32)/BV32</f>
        <v>#DIV/0!</v>
      </c>
      <c r="CK32" s="176" t="e">
        <f>(CD32-BS32)/BS32</f>
        <v>#DIV/0!</v>
      </c>
      <c r="CL32" s="203">
        <f>CO32 + ABS(CM32) + ABS(CN32)</f>
        <v>0</v>
      </c>
      <c r="CM32" s="203"/>
      <c r="CN32" s="203"/>
      <c r="CO32" s="203"/>
      <c r="CP32" s="176"/>
      <c r="CQ32" s="176"/>
      <c r="CR32" s="176"/>
      <c r="CS32" s="177" t="b">
        <v>0</v>
      </c>
      <c r="CT32" s="177" t="b">
        <v>0</v>
      </c>
      <c r="CU32" s="176" t="e">
        <f>(CP32-CE32)/CE32</f>
        <v>#DIV/0!</v>
      </c>
      <c r="CV32" s="176" t="e">
        <f>(CO32-CD32)/CD32</f>
        <v>#DIV/0!</v>
      </c>
      <c r="CW32" s="203">
        <f>CZ32 + ABS(CX32) + ABS(CY32)</f>
        <v>0</v>
      </c>
      <c r="CX32" s="203"/>
      <c r="CY32" s="203"/>
      <c r="CZ32" s="203"/>
      <c r="DA32" s="176"/>
      <c r="DB32" s="176"/>
      <c r="DC32" s="176"/>
      <c r="DD32" s="177" t="b">
        <v>0</v>
      </c>
      <c r="DE32" s="177" t="b">
        <v>0</v>
      </c>
      <c r="DF32" s="176" t="e">
        <f>(DA32-CR32)/CR32</f>
        <v>#DIV/0!</v>
      </c>
      <c r="DG32" s="176" t="e">
        <f>(CZ32-CO32)/CO32</f>
        <v>#DIV/0!</v>
      </c>
      <c r="DH32" s="203">
        <f>DK32 + ABS(DI32) + ABS(DJ32)</f>
        <v>0</v>
      </c>
      <c r="DI32" s="203"/>
      <c r="DJ32" s="203"/>
      <c r="DK32" s="203"/>
      <c r="DL32" s="176"/>
      <c r="DM32" s="176"/>
      <c r="DN32" s="176"/>
      <c r="DO32" s="177" t="b">
        <v>0</v>
      </c>
      <c r="DP32" s="177" t="b">
        <v>0</v>
      </c>
      <c r="DQ32" s="176" t="e">
        <f>(DL32-DA32)/DA32</f>
        <v>#DIV/0!</v>
      </c>
      <c r="DR32" s="176" t="e">
        <f>(DK32-CZ32)/CZ32</f>
        <v>#DIV/0!</v>
      </c>
      <c r="DS32" s="203">
        <f>DV32 + ABS(DT32) + ABS(DU32)</f>
        <v>0</v>
      </c>
      <c r="DT32" s="203"/>
      <c r="DU32" s="203"/>
      <c r="DV32" s="203"/>
      <c r="DW32" s="176"/>
      <c r="DX32" s="176"/>
      <c r="DY32" s="176"/>
      <c r="DZ32" s="177" t="b">
        <v>0</v>
      </c>
      <c r="EA32" s="177" t="b">
        <v>0</v>
      </c>
      <c r="EB32" s="176" t="e">
        <f>(DW32-DN32)/DN32</f>
        <v>#DIV/0!</v>
      </c>
      <c r="EC32" s="176" t="e">
        <f>(DV32-DK32)/DK32</f>
        <v>#DIV/0!</v>
      </c>
      <c r="ED32" s="203">
        <f>EG32 + ABS(EE32) + ABS(EF32)</f>
        <v>0</v>
      </c>
      <c r="EE32" s="203"/>
      <c r="EF32" s="203"/>
      <c r="EG32" s="203"/>
      <c r="EH32" s="176"/>
      <c r="EI32" s="176"/>
      <c r="EJ32" s="176"/>
      <c r="EK32" s="177" t="b">
        <v>0</v>
      </c>
      <c r="EL32" s="177" t="b">
        <v>0</v>
      </c>
      <c r="EM32" s="176" t="e">
        <f>(EH32-DW32)/DW32</f>
        <v>#DIV/0!</v>
      </c>
      <c r="EN32" s="176" t="e">
        <f>(EG32-DV32)/DV32</f>
        <v>#DIV/0!</v>
      </c>
      <c r="EO32" s="203">
        <f>ER32 + ABS(EP32) + ABS(EQ32)</f>
        <v>0</v>
      </c>
      <c r="EP32" s="203"/>
      <c r="EQ32" s="203"/>
      <c r="ER32" s="203"/>
      <c r="ES32" s="176"/>
      <c r="ET32" s="176"/>
      <c r="EU32" s="176"/>
      <c r="EV32" s="177" t="b">
        <v>0</v>
      </c>
      <c r="EW32" s="177" t="b">
        <v>0</v>
      </c>
      <c r="EX32" s="176" t="e">
        <f>(ES32-EJ32)/EJ32</f>
        <v>#DIV/0!</v>
      </c>
      <c r="EY32" s="176" t="e">
        <f>(ER32-EG32)/EG32</f>
        <v>#DIV/0!</v>
      </c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801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</row>
    <row r="33" spans="1:221" s="343" customFormat="1" ht="15">
      <c r="A33" s="184"/>
      <c r="B33" s="175"/>
      <c r="C33" s="802" t="s">
        <v>241</v>
      </c>
      <c r="D33" s="154">
        <v>1450022</v>
      </c>
      <c r="E33" s="154">
        <v>35</v>
      </c>
      <c r="F33" s="154" t="s">
        <v>248</v>
      </c>
      <c r="G33" s="255" t="s">
        <v>249</v>
      </c>
      <c r="H33" s="171" t="s">
        <v>169</v>
      </c>
      <c r="I33" s="445" t="s">
        <v>170</v>
      </c>
      <c r="J33" s="154"/>
      <c r="K33" s="154"/>
      <c r="L33" s="154"/>
      <c r="M33" s="176"/>
      <c r="N33" s="193">
        <v>107</v>
      </c>
      <c r="O33" s="176"/>
      <c r="P33" s="203">
        <v>24.86</v>
      </c>
      <c r="Q33" s="203"/>
      <c r="R33" s="203">
        <v>493.08</v>
      </c>
      <c r="S33" s="176">
        <v>29</v>
      </c>
      <c r="T33" s="188" t="s">
        <v>171</v>
      </c>
      <c r="U33" s="176"/>
      <c r="V33" s="176"/>
      <c r="W33" s="176"/>
      <c r="X33" s="203">
        <f t="shared" si="1"/>
        <v>1111.6699999999998</v>
      </c>
      <c r="Y33" s="203">
        <v>-53.36</v>
      </c>
      <c r="Z33" s="203">
        <v>0</v>
      </c>
      <c r="AA33" s="203">
        <v>1058.31</v>
      </c>
      <c r="AB33" s="154">
        <v>54</v>
      </c>
      <c r="AC33" s="255" t="s">
        <v>172</v>
      </c>
      <c r="AD33" s="255" t="s">
        <v>173</v>
      </c>
      <c r="AE33" s="177" t="b">
        <v>1</v>
      </c>
      <c r="AF33" s="177" t="b">
        <v>1</v>
      </c>
      <c r="AG33" s="392">
        <f>(AB33-S33)/S33</f>
        <v>0.86206896551724133</v>
      </c>
      <c r="AH33" s="392">
        <f>(AA33-R33)/R33</f>
        <v>1.1463251399367242</v>
      </c>
      <c r="AI33" s="203">
        <f t="shared" si="2"/>
        <v>931.83</v>
      </c>
      <c r="AJ33" s="368">
        <v>-44.73</v>
      </c>
      <c r="AK33" s="368">
        <v>0</v>
      </c>
      <c r="AL33" s="368">
        <v>887.1</v>
      </c>
      <c r="AM33" s="1068">
        <v>45</v>
      </c>
      <c r="AN33" s="172">
        <v>46122</v>
      </c>
      <c r="AO33" s="171" t="s">
        <v>174</v>
      </c>
      <c r="AP33" s="861" t="b">
        <v>1</v>
      </c>
      <c r="AQ33" s="861" t="b">
        <v>1</v>
      </c>
      <c r="AR33" s="392">
        <f t="shared" si="0"/>
        <v>-0.16666666666666666</v>
      </c>
      <c r="AS33" s="392">
        <f>(AL33-AA33)/AA33</f>
        <v>-0.16177679507894654</v>
      </c>
      <c r="AT33" s="203">
        <f t="shared" si="3"/>
        <v>0</v>
      </c>
      <c r="AU33" s="203"/>
      <c r="AV33" s="203"/>
      <c r="AW33" s="203"/>
      <c r="AX33" s="176"/>
      <c r="AY33" s="176"/>
      <c r="AZ33" s="176"/>
      <c r="BA33" s="177" t="b">
        <v>0</v>
      </c>
      <c r="BB33" s="177" t="b">
        <v>0</v>
      </c>
      <c r="BC33" s="176">
        <f>(AX33-AM33)/AM33</f>
        <v>-1</v>
      </c>
      <c r="BD33" s="176">
        <f>(AW33-AL33)/AL33</f>
        <v>-1</v>
      </c>
      <c r="BE33" s="203">
        <f>BH33 + ABS(BF33) + ABS(BG33)</f>
        <v>0</v>
      </c>
      <c r="BF33" s="203"/>
      <c r="BG33" s="203"/>
      <c r="BH33" s="203"/>
      <c r="BI33" s="176"/>
      <c r="BJ33" s="176"/>
      <c r="BK33" s="176"/>
      <c r="BL33" s="177" t="b">
        <v>0</v>
      </c>
      <c r="BM33" s="177" t="b">
        <v>0</v>
      </c>
      <c r="BN33" s="176" t="e">
        <f>(BI33-AZ33)/AZ33</f>
        <v>#DIV/0!</v>
      </c>
      <c r="BO33" s="176" t="e">
        <f>(BH33-AW33)/AW33</f>
        <v>#DIV/0!</v>
      </c>
      <c r="BP33" s="203">
        <f>BS33 + ABS(BQ33) + ABS(BR33)</f>
        <v>0</v>
      </c>
      <c r="BQ33" s="203"/>
      <c r="BR33" s="203"/>
      <c r="BS33" s="203"/>
      <c r="BT33" s="176"/>
      <c r="BU33" s="176"/>
      <c r="BV33" s="176"/>
      <c r="BW33" s="177" t="b">
        <v>0</v>
      </c>
      <c r="BX33" s="177" t="b">
        <v>0</v>
      </c>
      <c r="BY33" s="176" t="e">
        <f>(BT33-BI33)/BI33</f>
        <v>#DIV/0!</v>
      </c>
      <c r="BZ33" s="176" t="e">
        <f>(BS33-BH33)/BH33</f>
        <v>#DIV/0!</v>
      </c>
      <c r="CA33" s="203">
        <f>CD33 + ABS(CB33) + ABS(CC33)</f>
        <v>0</v>
      </c>
      <c r="CB33" s="203"/>
      <c r="CC33" s="203"/>
      <c r="CD33" s="203"/>
      <c r="CE33" s="176"/>
      <c r="CF33" s="176"/>
      <c r="CG33" s="176"/>
      <c r="CH33" s="177" t="b">
        <v>0</v>
      </c>
      <c r="CI33" s="177" t="b">
        <v>0</v>
      </c>
      <c r="CJ33" s="176" t="e">
        <f>(CE33-BV33)/BV33</f>
        <v>#DIV/0!</v>
      </c>
      <c r="CK33" s="176" t="e">
        <f>(CD33-BS33)/BS33</f>
        <v>#DIV/0!</v>
      </c>
      <c r="CL33" s="203">
        <f>CO33 + ABS(CM33) + ABS(CN33)</f>
        <v>0</v>
      </c>
      <c r="CM33" s="203"/>
      <c r="CN33" s="203"/>
      <c r="CO33" s="203"/>
      <c r="CP33" s="176"/>
      <c r="CQ33" s="176"/>
      <c r="CR33" s="176"/>
      <c r="CS33" s="177" t="b">
        <v>0</v>
      </c>
      <c r="CT33" s="177" t="b">
        <v>0</v>
      </c>
      <c r="CU33" s="176" t="e">
        <f>(CP33-CE33)/CE33</f>
        <v>#DIV/0!</v>
      </c>
      <c r="CV33" s="176" t="e">
        <f>(CO33-CD33)/CD33</f>
        <v>#DIV/0!</v>
      </c>
      <c r="CW33" s="203">
        <f>CZ33 + ABS(CX33) + ABS(CY33)</f>
        <v>0</v>
      </c>
      <c r="CX33" s="203"/>
      <c r="CY33" s="203"/>
      <c r="CZ33" s="203"/>
      <c r="DA33" s="176"/>
      <c r="DB33" s="176"/>
      <c r="DC33" s="176"/>
      <c r="DD33" s="177" t="b">
        <v>0</v>
      </c>
      <c r="DE33" s="177" t="b">
        <v>0</v>
      </c>
      <c r="DF33" s="176" t="e">
        <f>(DA33-CR33)/CR33</f>
        <v>#DIV/0!</v>
      </c>
      <c r="DG33" s="176" t="e">
        <f>(CZ33-CO33)/CO33</f>
        <v>#DIV/0!</v>
      </c>
      <c r="DH33" s="203">
        <f>DK33 + ABS(DI33) + ABS(DJ33)</f>
        <v>0</v>
      </c>
      <c r="DI33" s="203"/>
      <c r="DJ33" s="203"/>
      <c r="DK33" s="203"/>
      <c r="DL33" s="176"/>
      <c r="DM33" s="176"/>
      <c r="DN33" s="176"/>
      <c r="DO33" s="177" t="b">
        <v>0</v>
      </c>
      <c r="DP33" s="177" t="b">
        <v>0</v>
      </c>
      <c r="DQ33" s="176" t="e">
        <f>(DL33-DA33)/DA33</f>
        <v>#DIV/0!</v>
      </c>
      <c r="DR33" s="176" t="e">
        <f>(DK33-CZ33)/CZ33</f>
        <v>#DIV/0!</v>
      </c>
      <c r="DS33" s="203">
        <f>DV33 + ABS(DT33) + ABS(DU33)</f>
        <v>0</v>
      </c>
      <c r="DT33" s="203"/>
      <c r="DU33" s="203"/>
      <c r="DV33" s="203"/>
      <c r="DW33" s="176"/>
      <c r="DX33" s="176"/>
      <c r="DY33" s="176"/>
      <c r="DZ33" s="177" t="b">
        <v>0</v>
      </c>
      <c r="EA33" s="177" t="b">
        <v>0</v>
      </c>
      <c r="EB33" s="176" t="e">
        <f>(DW33-DN33)/DN33</f>
        <v>#DIV/0!</v>
      </c>
      <c r="EC33" s="176" t="e">
        <f>(DV33-DK33)/DK33</f>
        <v>#DIV/0!</v>
      </c>
      <c r="ED33" s="203">
        <f>EG33 + ABS(EE33) + ABS(EF33)</f>
        <v>0</v>
      </c>
      <c r="EE33" s="203"/>
      <c r="EF33" s="203"/>
      <c r="EG33" s="203"/>
      <c r="EH33" s="176"/>
      <c r="EI33" s="176"/>
      <c r="EJ33" s="176"/>
      <c r="EK33" s="177" t="b">
        <v>0</v>
      </c>
      <c r="EL33" s="177" t="b">
        <v>0</v>
      </c>
      <c r="EM33" s="176" t="e">
        <f>(EH33-DW33)/DW33</f>
        <v>#DIV/0!</v>
      </c>
      <c r="EN33" s="176" t="e">
        <f>(EG33-DV33)/DV33</f>
        <v>#DIV/0!</v>
      </c>
      <c r="EO33" s="203">
        <f>ER33 + ABS(EP33) + ABS(EQ33)</f>
        <v>0</v>
      </c>
      <c r="EP33" s="203"/>
      <c r="EQ33" s="203"/>
      <c r="ER33" s="203"/>
      <c r="ES33" s="176"/>
      <c r="ET33" s="176"/>
      <c r="EU33" s="176"/>
      <c r="EV33" s="177" t="b">
        <v>0</v>
      </c>
      <c r="EW33" s="177" t="b">
        <v>0</v>
      </c>
      <c r="EX33" s="176" t="e">
        <f>(ES33-EJ33)/EJ33</f>
        <v>#DIV/0!</v>
      </c>
      <c r="EY33" s="176" t="e">
        <f>(ER33-EG33)/EG33</f>
        <v>#DIV/0!</v>
      </c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801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</row>
    <row r="34" spans="1:221" s="343" customFormat="1" ht="15">
      <c r="A34" s="184"/>
      <c r="B34" s="175"/>
      <c r="C34" s="802" t="s">
        <v>241</v>
      </c>
      <c r="D34" s="154">
        <v>1450022</v>
      </c>
      <c r="E34" s="154">
        <v>35</v>
      </c>
      <c r="F34" s="154" t="s">
        <v>250</v>
      </c>
      <c r="G34" s="255" t="s">
        <v>251</v>
      </c>
      <c r="H34" s="171" t="s">
        <v>169</v>
      </c>
      <c r="I34" s="445" t="s">
        <v>170</v>
      </c>
      <c r="J34" s="154"/>
      <c r="K34" s="154"/>
      <c r="L34" s="154"/>
      <c r="M34" s="176"/>
      <c r="N34" s="418">
        <v>107</v>
      </c>
      <c r="O34" s="176"/>
      <c r="P34" s="203">
        <v>30.97</v>
      </c>
      <c r="Q34" s="203"/>
      <c r="R34" s="203">
        <v>614.34</v>
      </c>
      <c r="S34" s="176">
        <v>35</v>
      </c>
      <c r="T34" s="188" t="s">
        <v>171</v>
      </c>
      <c r="U34" s="176"/>
      <c r="V34" s="176"/>
      <c r="W34" s="176"/>
      <c r="X34" s="203">
        <f t="shared" si="1"/>
        <v>276.35999999999996</v>
      </c>
      <c r="Y34" s="203">
        <v>-13.27</v>
      </c>
      <c r="Z34" s="203">
        <v>0</v>
      </c>
      <c r="AA34" s="203">
        <v>263.08999999999997</v>
      </c>
      <c r="AB34" s="154">
        <v>17</v>
      </c>
      <c r="AC34" s="444" t="s">
        <v>172</v>
      </c>
      <c r="AD34" s="444" t="s">
        <v>173</v>
      </c>
      <c r="AE34" s="177" t="b">
        <v>1</v>
      </c>
      <c r="AF34" s="177" t="b">
        <v>1</v>
      </c>
      <c r="AG34" s="392">
        <f>(AB34-S34)/S34</f>
        <v>-0.51428571428571423</v>
      </c>
      <c r="AH34" s="392">
        <f>(AA34-R34)/R34</f>
        <v>-0.57175179867825643</v>
      </c>
      <c r="AI34" s="203">
        <f t="shared" si="2"/>
        <v>262.20999999999998</v>
      </c>
      <c r="AJ34" s="368">
        <v>-12.59</v>
      </c>
      <c r="AK34" s="368">
        <v>0</v>
      </c>
      <c r="AL34" s="368">
        <v>249.62</v>
      </c>
      <c r="AM34" s="1068">
        <v>15</v>
      </c>
      <c r="AN34" s="172">
        <v>46122</v>
      </c>
      <c r="AO34" s="171" t="s">
        <v>174</v>
      </c>
      <c r="AP34" s="861" t="b">
        <v>1</v>
      </c>
      <c r="AQ34" s="861" t="b">
        <v>1</v>
      </c>
      <c r="AR34" s="392">
        <f t="shared" si="0"/>
        <v>-0.11764705882352941</v>
      </c>
      <c r="AS34" s="392">
        <f>(AL34-AA34)/AA34</f>
        <v>-5.119920939602407E-2</v>
      </c>
      <c r="AT34" s="203">
        <f t="shared" si="3"/>
        <v>0</v>
      </c>
      <c r="AU34" s="203"/>
      <c r="AV34" s="203"/>
      <c r="AW34" s="203"/>
      <c r="AX34" s="176"/>
      <c r="AY34" s="176"/>
      <c r="AZ34" s="176"/>
      <c r="BA34" s="177" t="b">
        <v>0</v>
      </c>
      <c r="BB34" s="177" t="b">
        <v>0</v>
      </c>
      <c r="BC34" s="176">
        <f>(AX34-AM34)/AM34</f>
        <v>-1</v>
      </c>
      <c r="BD34" s="176">
        <f>(AW34-AL34)/AL34</f>
        <v>-1</v>
      </c>
      <c r="BE34" s="203">
        <f>BH34 + ABS(BF34) + ABS(BG34)</f>
        <v>0</v>
      </c>
      <c r="BF34" s="203"/>
      <c r="BG34" s="203"/>
      <c r="BH34" s="203"/>
      <c r="BI34" s="176"/>
      <c r="BJ34" s="176"/>
      <c r="BK34" s="176"/>
      <c r="BL34" s="177" t="b">
        <v>0</v>
      </c>
      <c r="BM34" s="177" t="b">
        <v>0</v>
      </c>
      <c r="BN34" s="176" t="e">
        <f>(BI34-AZ34)/AZ34</f>
        <v>#DIV/0!</v>
      </c>
      <c r="BO34" s="176" t="e">
        <f>(BH34-AW34)/AW34</f>
        <v>#DIV/0!</v>
      </c>
      <c r="BP34" s="203">
        <f>BS34 + ABS(BQ34) + ABS(BR34)</f>
        <v>0</v>
      </c>
      <c r="BQ34" s="203"/>
      <c r="BR34" s="203"/>
      <c r="BS34" s="203"/>
      <c r="BT34" s="176"/>
      <c r="BU34" s="176"/>
      <c r="BV34" s="176"/>
      <c r="BW34" s="177" t="b">
        <v>0</v>
      </c>
      <c r="BX34" s="177" t="b">
        <v>0</v>
      </c>
      <c r="BY34" s="176" t="e">
        <f>(BT34-BI34)/BI34</f>
        <v>#DIV/0!</v>
      </c>
      <c r="BZ34" s="176" t="e">
        <f>(BS34-BH34)/BH34</f>
        <v>#DIV/0!</v>
      </c>
      <c r="CA34" s="203">
        <f>CD34 + ABS(CB34) + ABS(CC34)</f>
        <v>0</v>
      </c>
      <c r="CB34" s="203"/>
      <c r="CC34" s="203"/>
      <c r="CD34" s="203"/>
      <c r="CE34" s="176"/>
      <c r="CF34" s="176"/>
      <c r="CG34" s="176"/>
      <c r="CH34" s="177" t="b">
        <v>0</v>
      </c>
      <c r="CI34" s="177" t="b">
        <v>0</v>
      </c>
      <c r="CJ34" s="176" t="e">
        <f>(CE34-BV34)/BV34</f>
        <v>#DIV/0!</v>
      </c>
      <c r="CK34" s="176" t="e">
        <f>(CD34-BS34)/BS34</f>
        <v>#DIV/0!</v>
      </c>
      <c r="CL34" s="203">
        <f>CO34 + ABS(CM34) + ABS(CN34)</f>
        <v>0</v>
      </c>
      <c r="CM34" s="203"/>
      <c r="CN34" s="203"/>
      <c r="CO34" s="203"/>
      <c r="CP34" s="176"/>
      <c r="CQ34" s="176"/>
      <c r="CR34" s="176"/>
      <c r="CS34" s="177" t="b">
        <v>0</v>
      </c>
      <c r="CT34" s="177" t="b">
        <v>0</v>
      </c>
      <c r="CU34" s="176" t="e">
        <f>(CP34-CE34)/CE34</f>
        <v>#DIV/0!</v>
      </c>
      <c r="CV34" s="176" t="e">
        <f>(CO34-CD34)/CD34</f>
        <v>#DIV/0!</v>
      </c>
      <c r="CW34" s="203">
        <f>CZ34 + ABS(CX34) + ABS(CY34)</f>
        <v>0</v>
      </c>
      <c r="CX34" s="203"/>
      <c r="CY34" s="203"/>
      <c r="CZ34" s="203"/>
      <c r="DA34" s="176"/>
      <c r="DB34" s="176"/>
      <c r="DC34" s="176"/>
      <c r="DD34" s="177" t="b">
        <v>0</v>
      </c>
      <c r="DE34" s="177" t="b">
        <v>0</v>
      </c>
      <c r="DF34" s="176" t="e">
        <f>(DA34-CR34)/CR34</f>
        <v>#DIV/0!</v>
      </c>
      <c r="DG34" s="176" t="e">
        <f>(CZ34-CO34)/CO34</f>
        <v>#DIV/0!</v>
      </c>
      <c r="DH34" s="203">
        <f>DK34 + ABS(DI34) + ABS(DJ34)</f>
        <v>0</v>
      </c>
      <c r="DI34" s="203"/>
      <c r="DJ34" s="203"/>
      <c r="DK34" s="203"/>
      <c r="DL34" s="176"/>
      <c r="DM34" s="176"/>
      <c r="DN34" s="176"/>
      <c r="DO34" s="177" t="b">
        <v>0</v>
      </c>
      <c r="DP34" s="177" t="b">
        <v>0</v>
      </c>
      <c r="DQ34" s="176" t="e">
        <f>(DL34-DA34)/DA34</f>
        <v>#DIV/0!</v>
      </c>
      <c r="DR34" s="176" t="e">
        <f>(DK34-CZ34)/CZ34</f>
        <v>#DIV/0!</v>
      </c>
      <c r="DS34" s="203">
        <f>DV34 + ABS(DT34) + ABS(DU34)</f>
        <v>0</v>
      </c>
      <c r="DT34" s="203"/>
      <c r="DU34" s="203"/>
      <c r="DV34" s="203"/>
      <c r="DW34" s="176"/>
      <c r="DX34" s="176"/>
      <c r="DY34" s="176"/>
      <c r="DZ34" s="177" t="b">
        <v>0</v>
      </c>
      <c r="EA34" s="177" t="b">
        <v>0</v>
      </c>
      <c r="EB34" s="176" t="e">
        <f>(DW34-DN34)/DN34</f>
        <v>#DIV/0!</v>
      </c>
      <c r="EC34" s="176" t="e">
        <f>(DV34-DK34)/DK34</f>
        <v>#DIV/0!</v>
      </c>
      <c r="ED34" s="203">
        <f>EG34 + ABS(EE34) + ABS(EF34)</f>
        <v>0</v>
      </c>
      <c r="EE34" s="203"/>
      <c r="EF34" s="203"/>
      <c r="EG34" s="203"/>
      <c r="EH34" s="176"/>
      <c r="EI34" s="176"/>
      <c r="EJ34" s="176"/>
      <c r="EK34" s="177" t="b">
        <v>0</v>
      </c>
      <c r="EL34" s="177" t="b">
        <v>0</v>
      </c>
      <c r="EM34" s="176" t="e">
        <f>(EH34-DW34)/DW34</f>
        <v>#DIV/0!</v>
      </c>
      <c r="EN34" s="176" t="e">
        <f>(EG34-DV34)/DV34</f>
        <v>#DIV/0!</v>
      </c>
      <c r="EO34" s="203">
        <f>ER34 + ABS(EP34) + ABS(EQ34)</f>
        <v>0</v>
      </c>
      <c r="EP34" s="203"/>
      <c r="EQ34" s="203"/>
      <c r="ER34" s="203"/>
      <c r="ES34" s="176"/>
      <c r="ET34" s="176"/>
      <c r="EU34" s="176"/>
      <c r="EV34" s="177" t="b">
        <v>0</v>
      </c>
      <c r="EW34" s="177" t="b">
        <v>0</v>
      </c>
      <c r="EX34" s="176" t="e">
        <f>(ES34-EJ34)/EJ34</f>
        <v>#DIV/0!</v>
      </c>
      <c r="EY34" s="176" t="e">
        <f>(ER34-EG34)/EG34</f>
        <v>#DIV/0!</v>
      </c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801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</row>
    <row r="35" spans="1:221" ht="15">
      <c r="B35" s="175"/>
      <c r="C35" s="802" t="s">
        <v>241</v>
      </c>
      <c r="D35" s="154">
        <v>1450022</v>
      </c>
      <c r="E35" s="154">
        <v>35</v>
      </c>
      <c r="F35" s="154" t="s">
        <v>252</v>
      </c>
      <c r="G35" s="255" t="s">
        <v>253</v>
      </c>
      <c r="H35" s="171" t="s">
        <v>169</v>
      </c>
      <c r="I35" s="445" t="s">
        <v>170</v>
      </c>
      <c r="J35" s="154"/>
      <c r="K35" s="154"/>
      <c r="L35" s="154"/>
      <c r="M35" s="176"/>
      <c r="N35" s="193">
        <v>107</v>
      </c>
      <c r="O35" s="176"/>
      <c r="P35" s="203">
        <v>9.2200000000000006</v>
      </c>
      <c r="Q35" s="203"/>
      <c r="R35" s="203">
        <v>182.91</v>
      </c>
      <c r="S35" s="176">
        <v>12</v>
      </c>
      <c r="T35" s="188" t="s">
        <v>171</v>
      </c>
      <c r="U35" s="176"/>
      <c r="V35" s="176"/>
      <c r="W35" s="176"/>
      <c r="X35" s="203">
        <f t="shared" si="1"/>
        <v>242.67000000000002</v>
      </c>
      <c r="Y35" s="203">
        <v>-11.65</v>
      </c>
      <c r="Z35" s="203">
        <v>0</v>
      </c>
      <c r="AA35" s="203">
        <v>231.02</v>
      </c>
      <c r="AB35" s="154">
        <v>15</v>
      </c>
      <c r="AC35" s="255" t="s">
        <v>172</v>
      </c>
      <c r="AD35" s="255" t="s">
        <v>173</v>
      </c>
      <c r="AE35" s="177" t="b">
        <v>1</v>
      </c>
      <c r="AF35" s="177" t="b">
        <v>1</v>
      </c>
      <c r="AG35" s="392">
        <f>(AB35-S35)/S35</f>
        <v>0.25</v>
      </c>
      <c r="AH35" s="392">
        <f>(AA35-R35)/R35</f>
        <v>0.26302553168224818</v>
      </c>
      <c r="AI35" s="203">
        <f t="shared" si="2"/>
        <v>279.94</v>
      </c>
      <c r="AJ35" s="368">
        <v>-13.44</v>
      </c>
      <c r="AK35" s="368">
        <v>0</v>
      </c>
      <c r="AL35" s="368">
        <v>266.5</v>
      </c>
      <c r="AM35" s="1068">
        <v>16</v>
      </c>
      <c r="AN35" s="172">
        <v>46122</v>
      </c>
      <c r="AO35" s="171" t="s">
        <v>174</v>
      </c>
      <c r="AP35" s="861" t="b">
        <v>1</v>
      </c>
      <c r="AQ35" s="861" t="b">
        <v>1</v>
      </c>
      <c r="AR35" s="392">
        <f t="shared" si="0"/>
        <v>6.6666666666666666E-2</v>
      </c>
      <c r="AS35" s="392">
        <f>(AL35-AA35)/AA35</f>
        <v>0.15357977664271485</v>
      </c>
      <c r="AT35" s="203">
        <f t="shared" si="3"/>
        <v>0</v>
      </c>
      <c r="AU35" s="203"/>
      <c r="AV35" s="203"/>
      <c r="AW35" s="203"/>
      <c r="AX35" s="176"/>
      <c r="AY35" s="176"/>
      <c r="AZ35" s="176"/>
      <c r="BA35" s="177" t="b">
        <v>0</v>
      </c>
      <c r="BB35" s="177" t="b">
        <v>0</v>
      </c>
      <c r="BC35" s="176">
        <f>(AX35-AM35)/AM35</f>
        <v>-1</v>
      </c>
      <c r="BD35" s="176">
        <f>(AW35-AL35)/AL35</f>
        <v>-1</v>
      </c>
      <c r="BE35" s="203">
        <f>BH35 + ABS(BF35) + ABS(BG35)</f>
        <v>0</v>
      </c>
      <c r="BF35" s="203"/>
      <c r="BG35" s="203"/>
      <c r="BH35" s="203"/>
      <c r="BI35" s="176"/>
      <c r="BJ35" s="176"/>
      <c r="BK35" s="176"/>
      <c r="BL35" s="177" t="b">
        <v>0</v>
      </c>
      <c r="BM35" s="177" t="b">
        <v>0</v>
      </c>
      <c r="BN35" s="176" t="e">
        <f>(BI35-AZ35)/AZ35</f>
        <v>#DIV/0!</v>
      </c>
      <c r="BO35" s="176" t="e">
        <f>(BH35-AW35)/AW35</f>
        <v>#DIV/0!</v>
      </c>
      <c r="BP35" s="203">
        <f>BS35 + ABS(BQ35) + ABS(BR35)</f>
        <v>0</v>
      </c>
      <c r="BQ35" s="203"/>
      <c r="BR35" s="203"/>
      <c r="BS35" s="203"/>
      <c r="BT35" s="176"/>
      <c r="BU35" s="176"/>
      <c r="BV35" s="176"/>
      <c r="BW35" s="177" t="b">
        <v>0</v>
      </c>
      <c r="BX35" s="177" t="b">
        <v>0</v>
      </c>
      <c r="BY35" s="176" t="e">
        <f>(BT35-BI35)/BI35</f>
        <v>#DIV/0!</v>
      </c>
      <c r="BZ35" s="176" t="e">
        <f>(BS35-BH35)/BH35</f>
        <v>#DIV/0!</v>
      </c>
      <c r="CA35" s="203">
        <f>CD35 + ABS(CB35) + ABS(CC35)</f>
        <v>0</v>
      </c>
      <c r="CB35" s="203"/>
      <c r="CC35" s="203"/>
      <c r="CD35" s="203"/>
      <c r="CE35" s="176"/>
      <c r="CF35" s="176"/>
      <c r="CG35" s="176"/>
      <c r="CH35" s="177" t="b">
        <v>0</v>
      </c>
      <c r="CI35" s="177" t="b">
        <v>0</v>
      </c>
      <c r="CJ35" s="176" t="e">
        <f>(CE35-BV35)/BV35</f>
        <v>#DIV/0!</v>
      </c>
      <c r="CK35" s="176" t="e">
        <f>(CD35-BS35)/BS35</f>
        <v>#DIV/0!</v>
      </c>
      <c r="CL35" s="203">
        <f>CO35 + ABS(CM35) + ABS(CN35)</f>
        <v>0</v>
      </c>
      <c r="CM35" s="203"/>
      <c r="CN35" s="203"/>
      <c r="CO35" s="203"/>
      <c r="CP35" s="176"/>
      <c r="CQ35" s="176"/>
      <c r="CR35" s="176"/>
      <c r="CS35" s="177" t="b">
        <v>0</v>
      </c>
      <c r="CT35" s="177" t="b">
        <v>0</v>
      </c>
      <c r="CU35" s="176" t="e">
        <f>(CP35-CE35)/CE35</f>
        <v>#DIV/0!</v>
      </c>
      <c r="CV35" s="176" t="e">
        <f>(CO35-CD35)/CD35</f>
        <v>#DIV/0!</v>
      </c>
      <c r="CW35" s="203">
        <f>CZ35 + ABS(CX35) + ABS(CY35)</f>
        <v>0</v>
      </c>
      <c r="CX35" s="203"/>
      <c r="CY35" s="203"/>
      <c r="CZ35" s="203"/>
      <c r="DA35" s="176"/>
      <c r="DB35" s="176"/>
      <c r="DC35" s="176"/>
      <c r="DD35" s="177" t="b">
        <v>0</v>
      </c>
      <c r="DE35" s="177" t="b">
        <v>0</v>
      </c>
      <c r="DF35" s="176" t="e">
        <f>(DA35-CR35)/CR35</f>
        <v>#DIV/0!</v>
      </c>
      <c r="DG35" s="176" t="e">
        <f>(CZ35-CO35)/CO35</f>
        <v>#DIV/0!</v>
      </c>
      <c r="DH35" s="203">
        <f>DK35 + ABS(DI35) + ABS(DJ35)</f>
        <v>0</v>
      </c>
      <c r="DI35" s="203"/>
      <c r="DJ35" s="203"/>
      <c r="DK35" s="203"/>
      <c r="DL35" s="176"/>
      <c r="DM35" s="176"/>
      <c r="DN35" s="176"/>
      <c r="DO35" s="177" t="b">
        <v>0</v>
      </c>
      <c r="DP35" s="177" t="b">
        <v>0</v>
      </c>
      <c r="DQ35" s="176" t="e">
        <f>(DL35-DA35)/DA35</f>
        <v>#DIV/0!</v>
      </c>
      <c r="DR35" s="176" t="e">
        <f>(DK35-CZ35)/CZ35</f>
        <v>#DIV/0!</v>
      </c>
      <c r="DS35" s="203">
        <f>DV35 + ABS(DT35) + ABS(DU35)</f>
        <v>0</v>
      </c>
      <c r="DT35" s="203"/>
      <c r="DU35" s="203"/>
      <c r="DV35" s="203"/>
      <c r="DW35" s="176"/>
      <c r="DX35" s="176"/>
      <c r="DY35" s="176"/>
      <c r="DZ35" s="177" t="b">
        <v>0</v>
      </c>
      <c r="EA35" s="177" t="b">
        <v>0</v>
      </c>
      <c r="EB35" s="176" t="e">
        <f>(DW35-DN35)/DN35</f>
        <v>#DIV/0!</v>
      </c>
      <c r="EC35" s="176" t="e">
        <f>(DV35-DK35)/DK35</f>
        <v>#DIV/0!</v>
      </c>
      <c r="ED35" s="203">
        <f>EG35 + ABS(EE35) + ABS(EF35)</f>
        <v>0</v>
      </c>
      <c r="EE35" s="203"/>
      <c r="EF35" s="203"/>
      <c r="EG35" s="203"/>
      <c r="EH35" s="176"/>
      <c r="EI35" s="176"/>
      <c r="EJ35" s="176"/>
      <c r="EK35" s="177" t="b">
        <v>0</v>
      </c>
      <c r="EL35" s="177" t="b">
        <v>0</v>
      </c>
      <c r="EM35" s="176" t="e">
        <f>(EH35-DW35)/DW35</f>
        <v>#DIV/0!</v>
      </c>
      <c r="EN35" s="176" t="e">
        <f>(EG35-DV35)/DV35</f>
        <v>#DIV/0!</v>
      </c>
      <c r="EO35" s="203">
        <f>ER35 + ABS(EP35) + ABS(EQ35)</f>
        <v>0</v>
      </c>
      <c r="EP35" s="203"/>
      <c r="EQ35" s="203"/>
      <c r="ER35" s="203"/>
      <c r="ES35" s="176"/>
      <c r="ET35" s="176"/>
      <c r="EU35" s="176"/>
      <c r="EV35" s="177" t="b">
        <v>0</v>
      </c>
      <c r="EW35" s="177" t="b">
        <v>0</v>
      </c>
      <c r="EX35" s="176" t="e">
        <f>(ES35-EJ35)/EJ35</f>
        <v>#DIV/0!</v>
      </c>
      <c r="EY35" s="176" t="e">
        <f>(ER35-EG35)/EG35</f>
        <v>#DIV/0!</v>
      </c>
      <c r="EZ35" s="175"/>
      <c r="FA35" s="175"/>
      <c r="FB35" s="175"/>
      <c r="FC35" s="175"/>
      <c r="FD35" s="175"/>
      <c r="FE35" s="175"/>
      <c r="FF35" s="175"/>
      <c r="FG35" s="175"/>
      <c r="FH35" s="175"/>
      <c r="FI35" s="175"/>
      <c r="FJ35" s="175"/>
      <c r="FK35" s="175"/>
      <c r="FL35" s="175"/>
      <c r="FM35" s="175"/>
      <c r="FN35" s="175"/>
      <c r="FO35" s="175"/>
      <c r="FP35" s="175"/>
      <c r="FQ35" s="801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</row>
    <row r="36" spans="1:221" s="343" customFormat="1" ht="15">
      <c r="A36" s="184"/>
      <c r="B36" s="175"/>
      <c r="C36" s="802" t="s">
        <v>241</v>
      </c>
      <c r="D36" s="154">
        <v>1450022</v>
      </c>
      <c r="E36" s="154">
        <v>35</v>
      </c>
      <c r="F36" s="154" t="s">
        <v>254</v>
      </c>
      <c r="G36" s="255" t="s">
        <v>255</v>
      </c>
      <c r="H36" s="171" t="s">
        <v>169</v>
      </c>
      <c r="I36" s="445" t="s">
        <v>170</v>
      </c>
      <c r="J36" s="154"/>
      <c r="K36" s="154"/>
      <c r="L36" s="154"/>
      <c r="M36" s="176"/>
      <c r="N36" s="418">
        <v>107</v>
      </c>
      <c r="O36" s="176"/>
      <c r="P36" s="203">
        <v>4.2</v>
      </c>
      <c r="Q36" s="203"/>
      <c r="R36" s="203">
        <v>83.28</v>
      </c>
      <c r="S36" s="176">
        <v>4</v>
      </c>
      <c r="T36" s="188" t="s">
        <v>171</v>
      </c>
      <c r="U36" s="176"/>
      <c r="V36" s="176"/>
      <c r="W36" s="176"/>
      <c r="X36" s="203">
        <f t="shared" si="1"/>
        <v>242.67000000000002</v>
      </c>
      <c r="Y36" s="203">
        <v>-11.65</v>
      </c>
      <c r="Z36" s="203">
        <v>0</v>
      </c>
      <c r="AA36" s="203">
        <v>231.02</v>
      </c>
      <c r="AB36" s="154">
        <v>15</v>
      </c>
      <c r="AC36" s="444" t="s">
        <v>172</v>
      </c>
      <c r="AD36" s="444" t="s">
        <v>173</v>
      </c>
      <c r="AE36" s="177" t="b">
        <v>1</v>
      </c>
      <c r="AF36" s="177" t="b">
        <v>1</v>
      </c>
      <c r="AG36" s="392">
        <f>(AB36-S36)/S36</f>
        <v>2.75</v>
      </c>
      <c r="AH36" s="392">
        <f>(AA36-R36)/R36</f>
        <v>1.7740153698366956</v>
      </c>
      <c r="AI36" s="203">
        <f t="shared" si="2"/>
        <v>191.29000000000002</v>
      </c>
      <c r="AJ36" s="368">
        <v>-9.18</v>
      </c>
      <c r="AK36" s="368">
        <v>0</v>
      </c>
      <c r="AL36" s="368">
        <v>182.11</v>
      </c>
      <c r="AM36" s="1068">
        <v>11</v>
      </c>
      <c r="AN36" s="172">
        <v>46122</v>
      </c>
      <c r="AO36" s="171" t="s">
        <v>174</v>
      </c>
      <c r="AP36" s="861" t="b">
        <v>1</v>
      </c>
      <c r="AQ36" s="861" t="b">
        <v>1</v>
      </c>
      <c r="AR36" s="392">
        <f t="shared" si="0"/>
        <v>-0.26666666666666666</v>
      </c>
      <c r="AS36" s="392">
        <f>(AL36-AA36)/AA36</f>
        <v>-0.21171327157821831</v>
      </c>
      <c r="AT36" s="203">
        <f t="shared" si="3"/>
        <v>0</v>
      </c>
      <c r="AU36" s="203"/>
      <c r="AV36" s="203"/>
      <c r="AW36" s="203"/>
      <c r="AX36" s="176"/>
      <c r="AY36" s="176"/>
      <c r="AZ36" s="176"/>
      <c r="BA36" s="177" t="b">
        <v>0</v>
      </c>
      <c r="BB36" s="177" t="b">
        <v>0</v>
      </c>
      <c r="BC36" s="176">
        <f>(AX36-AM36)/AM36</f>
        <v>-1</v>
      </c>
      <c r="BD36" s="176">
        <f>(AW36-AL36)/AL36</f>
        <v>-1</v>
      </c>
      <c r="BE36" s="203">
        <f>BH36 + ABS(BF36) + ABS(BG36)</f>
        <v>0</v>
      </c>
      <c r="BF36" s="203"/>
      <c r="BG36" s="203"/>
      <c r="BH36" s="203"/>
      <c r="BI36" s="176"/>
      <c r="BJ36" s="176"/>
      <c r="BK36" s="176"/>
      <c r="BL36" s="177" t="b">
        <v>0</v>
      </c>
      <c r="BM36" s="177" t="b">
        <v>0</v>
      </c>
      <c r="BN36" s="176" t="e">
        <f>(BI36-AZ36)/AZ36</f>
        <v>#DIV/0!</v>
      </c>
      <c r="BO36" s="176" t="e">
        <f>(BH36-AW36)/AW36</f>
        <v>#DIV/0!</v>
      </c>
      <c r="BP36" s="203">
        <f>BS36 + ABS(BQ36) + ABS(BR36)</f>
        <v>0</v>
      </c>
      <c r="BQ36" s="203"/>
      <c r="BR36" s="203"/>
      <c r="BS36" s="203"/>
      <c r="BT36" s="176"/>
      <c r="BU36" s="176"/>
      <c r="BV36" s="176"/>
      <c r="BW36" s="177" t="b">
        <v>0</v>
      </c>
      <c r="BX36" s="177" t="b">
        <v>0</v>
      </c>
      <c r="BY36" s="176" t="e">
        <f>(BT36-BI36)/BI36</f>
        <v>#DIV/0!</v>
      </c>
      <c r="BZ36" s="176" t="e">
        <f>(BS36-BH36)/BH36</f>
        <v>#DIV/0!</v>
      </c>
      <c r="CA36" s="203">
        <f>CD36 + ABS(CB36) + ABS(CC36)</f>
        <v>0</v>
      </c>
      <c r="CB36" s="203"/>
      <c r="CC36" s="203"/>
      <c r="CD36" s="203"/>
      <c r="CE36" s="176"/>
      <c r="CF36" s="176"/>
      <c r="CG36" s="176"/>
      <c r="CH36" s="177" t="b">
        <v>0</v>
      </c>
      <c r="CI36" s="177" t="b">
        <v>0</v>
      </c>
      <c r="CJ36" s="176" t="e">
        <f>(CE36-BV36)/BV36</f>
        <v>#DIV/0!</v>
      </c>
      <c r="CK36" s="176" t="e">
        <f>(CD36-BS36)/BS36</f>
        <v>#DIV/0!</v>
      </c>
      <c r="CL36" s="203">
        <f>CO36 + ABS(CM36) + ABS(CN36)</f>
        <v>0</v>
      </c>
      <c r="CM36" s="203"/>
      <c r="CN36" s="203"/>
      <c r="CO36" s="203"/>
      <c r="CP36" s="176"/>
      <c r="CQ36" s="176"/>
      <c r="CR36" s="176"/>
      <c r="CS36" s="177" t="b">
        <v>0</v>
      </c>
      <c r="CT36" s="177" t="b">
        <v>0</v>
      </c>
      <c r="CU36" s="176" t="e">
        <f>(CP36-CE36)/CE36</f>
        <v>#DIV/0!</v>
      </c>
      <c r="CV36" s="176" t="e">
        <f>(CO36-CD36)/CD36</f>
        <v>#DIV/0!</v>
      </c>
      <c r="CW36" s="203">
        <f>CZ36 + ABS(CX36) + ABS(CY36)</f>
        <v>0</v>
      </c>
      <c r="CX36" s="203"/>
      <c r="CY36" s="203"/>
      <c r="CZ36" s="203"/>
      <c r="DA36" s="176"/>
      <c r="DB36" s="176"/>
      <c r="DC36" s="176"/>
      <c r="DD36" s="177" t="b">
        <v>0</v>
      </c>
      <c r="DE36" s="177" t="b">
        <v>0</v>
      </c>
      <c r="DF36" s="176" t="e">
        <f>(DA36-CR36)/CR36</f>
        <v>#DIV/0!</v>
      </c>
      <c r="DG36" s="176" t="e">
        <f>(CZ36-CO36)/CO36</f>
        <v>#DIV/0!</v>
      </c>
      <c r="DH36" s="203">
        <f>DK36 + ABS(DI36) + ABS(DJ36)</f>
        <v>0</v>
      </c>
      <c r="DI36" s="203"/>
      <c r="DJ36" s="203"/>
      <c r="DK36" s="203"/>
      <c r="DL36" s="176"/>
      <c r="DM36" s="176"/>
      <c r="DN36" s="176"/>
      <c r="DO36" s="177" t="b">
        <v>0</v>
      </c>
      <c r="DP36" s="177" t="b">
        <v>0</v>
      </c>
      <c r="DQ36" s="176" t="e">
        <f>(DL36-DA36)/DA36</f>
        <v>#DIV/0!</v>
      </c>
      <c r="DR36" s="176" t="e">
        <f>(DK36-CZ36)/CZ36</f>
        <v>#DIV/0!</v>
      </c>
      <c r="DS36" s="203">
        <f>DV36 + ABS(DT36) + ABS(DU36)</f>
        <v>0</v>
      </c>
      <c r="DT36" s="203"/>
      <c r="DU36" s="203"/>
      <c r="DV36" s="203"/>
      <c r="DW36" s="176"/>
      <c r="DX36" s="176"/>
      <c r="DY36" s="176"/>
      <c r="DZ36" s="177" t="b">
        <v>0</v>
      </c>
      <c r="EA36" s="177" t="b">
        <v>0</v>
      </c>
      <c r="EB36" s="176" t="e">
        <f>(DW36-DN36)/DN36</f>
        <v>#DIV/0!</v>
      </c>
      <c r="EC36" s="176" t="e">
        <f>(DV36-DK36)/DK36</f>
        <v>#DIV/0!</v>
      </c>
      <c r="ED36" s="203">
        <f>EG36 + ABS(EE36) + ABS(EF36)</f>
        <v>0</v>
      </c>
      <c r="EE36" s="203"/>
      <c r="EF36" s="203"/>
      <c r="EG36" s="203"/>
      <c r="EH36" s="176"/>
      <c r="EI36" s="176"/>
      <c r="EJ36" s="176"/>
      <c r="EK36" s="177" t="b">
        <v>0</v>
      </c>
      <c r="EL36" s="177" t="b">
        <v>0</v>
      </c>
      <c r="EM36" s="176" t="e">
        <f>(EH36-DW36)/DW36</f>
        <v>#DIV/0!</v>
      </c>
      <c r="EN36" s="176" t="e">
        <f>(EG36-DV36)/DV36</f>
        <v>#DIV/0!</v>
      </c>
      <c r="EO36" s="203">
        <f>ER36 + ABS(EP36) + ABS(EQ36)</f>
        <v>0</v>
      </c>
      <c r="EP36" s="203"/>
      <c r="EQ36" s="203"/>
      <c r="ER36" s="203"/>
      <c r="ES36" s="176"/>
      <c r="ET36" s="176"/>
      <c r="EU36" s="176"/>
      <c r="EV36" s="177" t="b">
        <v>0</v>
      </c>
      <c r="EW36" s="177" t="b">
        <v>0</v>
      </c>
      <c r="EX36" s="176" t="e">
        <f>(ES36-EJ36)/EJ36</f>
        <v>#DIV/0!</v>
      </c>
      <c r="EY36" s="176" t="e">
        <f>(ER36-EG36)/EG36</f>
        <v>#DIV/0!</v>
      </c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801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  <c r="GH36" s="175"/>
      <c r="GI36" s="175"/>
      <c r="GJ36" s="175"/>
      <c r="GK36" s="175"/>
      <c r="GL36" s="175"/>
      <c r="GM36" s="175"/>
      <c r="GN36" s="175"/>
      <c r="GO36" s="175"/>
      <c r="GP36" s="175"/>
      <c r="GQ36" s="175"/>
      <c r="GR36" s="175"/>
      <c r="GS36" s="175"/>
      <c r="GT36" s="175"/>
      <c r="GU36" s="175"/>
      <c r="GV36" s="175"/>
      <c r="GW36" s="175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  <c r="HL36" s="175"/>
      <c r="HM36" s="175"/>
    </row>
    <row r="37" spans="1:221" s="343" customFormat="1" ht="15">
      <c r="A37" s="184"/>
      <c r="B37" s="175"/>
      <c r="C37" s="802" t="s">
        <v>241</v>
      </c>
      <c r="D37" s="154">
        <v>1450022</v>
      </c>
      <c r="E37" s="154">
        <v>35</v>
      </c>
      <c r="F37" s="154" t="s">
        <v>256</v>
      </c>
      <c r="G37" s="255" t="s">
        <v>257</v>
      </c>
      <c r="H37" s="171" t="s">
        <v>169</v>
      </c>
      <c r="I37" s="445" t="s">
        <v>170</v>
      </c>
      <c r="J37" s="154"/>
      <c r="K37" s="154"/>
      <c r="L37" s="154"/>
      <c r="M37" s="176"/>
      <c r="N37" s="193">
        <v>107</v>
      </c>
      <c r="O37" s="176"/>
      <c r="P37" s="203">
        <v>3</v>
      </c>
      <c r="Q37" s="203"/>
      <c r="R37" s="203">
        <v>59.46</v>
      </c>
      <c r="S37" s="176">
        <v>1</v>
      </c>
      <c r="T37" s="188" t="s">
        <v>171</v>
      </c>
      <c r="U37" s="176"/>
      <c r="V37" s="176"/>
      <c r="W37" s="176"/>
      <c r="X37" s="203">
        <f t="shared" ref="X37:X68" si="4">AA37 + ABS(Y37) + ABS(Z37)</f>
        <v>54.120000000000005</v>
      </c>
      <c r="Y37" s="203">
        <v>-2.6</v>
      </c>
      <c r="Z37" s="203">
        <v>0</v>
      </c>
      <c r="AA37" s="203">
        <v>51.52</v>
      </c>
      <c r="AB37" s="154">
        <v>0</v>
      </c>
      <c r="AC37" s="255" t="s">
        <v>172</v>
      </c>
      <c r="AD37" s="255" t="s">
        <v>173</v>
      </c>
      <c r="AE37" s="177" t="b">
        <v>1</v>
      </c>
      <c r="AF37" s="177" t="b">
        <v>1</v>
      </c>
      <c r="AG37" s="392">
        <f>(AB37-S37)/S37</f>
        <v>-1</v>
      </c>
      <c r="AH37" s="392">
        <f>(AA37-R37)/R37</f>
        <v>-0.1335351496804574</v>
      </c>
      <c r="AI37" s="203">
        <f t="shared" si="2"/>
        <v>63.39</v>
      </c>
      <c r="AJ37" s="368">
        <v>-3.04</v>
      </c>
      <c r="AK37" s="368">
        <v>0</v>
      </c>
      <c r="AL37" s="368">
        <v>60.35</v>
      </c>
      <c r="AM37" s="1068">
        <v>0</v>
      </c>
      <c r="AN37" s="172">
        <v>46122</v>
      </c>
      <c r="AO37" s="171" t="s">
        <v>174</v>
      </c>
      <c r="AP37" s="861" t="b">
        <v>1</v>
      </c>
      <c r="AQ37" s="861" t="b">
        <v>1</v>
      </c>
      <c r="AR37" s="392">
        <v>0</v>
      </c>
      <c r="AS37" s="392">
        <f>(AL37-AA37)/AA37</f>
        <v>0.17138975155279498</v>
      </c>
      <c r="AT37" s="203">
        <f t="shared" si="3"/>
        <v>0</v>
      </c>
      <c r="AU37" s="203"/>
      <c r="AV37" s="203"/>
      <c r="AW37" s="203"/>
      <c r="AX37" s="176"/>
      <c r="AY37" s="176"/>
      <c r="AZ37" s="176"/>
      <c r="BA37" s="177" t="b">
        <v>0</v>
      </c>
      <c r="BB37" s="177" t="b">
        <v>0</v>
      </c>
      <c r="BC37" s="176" t="e">
        <f>(AX37-AM37)/AM37</f>
        <v>#DIV/0!</v>
      </c>
      <c r="BD37" s="176">
        <f>(AW37-AL37)/AL37</f>
        <v>-1</v>
      </c>
      <c r="BE37" s="203">
        <f>BH37 + ABS(BF37) + ABS(BG37)</f>
        <v>0</v>
      </c>
      <c r="BF37" s="203"/>
      <c r="BG37" s="203"/>
      <c r="BH37" s="203"/>
      <c r="BI37" s="176"/>
      <c r="BJ37" s="176"/>
      <c r="BK37" s="176"/>
      <c r="BL37" s="177" t="b">
        <v>0</v>
      </c>
      <c r="BM37" s="177" t="b">
        <v>0</v>
      </c>
      <c r="BN37" s="176" t="e">
        <f>(BI37-AZ37)/AZ37</f>
        <v>#DIV/0!</v>
      </c>
      <c r="BO37" s="176" t="e">
        <f>(BH37-AW37)/AW37</f>
        <v>#DIV/0!</v>
      </c>
      <c r="BP37" s="203">
        <f>BS37 + ABS(BQ37) + ABS(BR37)</f>
        <v>0</v>
      </c>
      <c r="BQ37" s="203"/>
      <c r="BR37" s="203"/>
      <c r="BS37" s="203"/>
      <c r="BT37" s="176"/>
      <c r="BU37" s="176"/>
      <c r="BV37" s="176"/>
      <c r="BW37" s="177" t="b">
        <v>0</v>
      </c>
      <c r="BX37" s="177" t="b">
        <v>0</v>
      </c>
      <c r="BY37" s="176" t="e">
        <f>(BT37-BI37)/BI37</f>
        <v>#DIV/0!</v>
      </c>
      <c r="BZ37" s="176" t="e">
        <f>(BS37-BH37)/BH37</f>
        <v>#DIV/0!</v>
      </c>
      <c r="CA37" s="203">
        <f>CD37 + ABS(CB37) + ABS(CC37)</f>
        <v>0</v>
      </c>
      <c r="CB37" s="203"/>
      <c r="CC37" s="203"/>
      <c r="CD37" s="203"/>
      <c r="CE37" s="176"/>
      <c r="CF37" s="176"/>
      <c r="CG37" s="176"/>
      <c r="CH37" s="177" t="b">
        <v>0</v>
      </c>
      <c r="CI37" s="177" t="b">
        <v>0</v>
      </c>
      <c r="CJ37" s="176" t="e">
        <f>(CE37-BV37)/BV37</f>
        <v>#DIV/0!</v>
      </c>
      <c r="CK37" s="176" t="e">
        <f>(CD37-BS37)/BS37</f>
        <v>#DIV/0!</v>
      </c>
      <c r="CL37" s="203">
        <f>CO37 + ABS(CM37) + ABS(CN37)</f>
        <v>0</v>
      </c>
      <c r="CM37" s="203"/>
      <c r="CN37" s="203"/>
      <c r="CO37" s="203"/>
      <c r="CP37" s="176"/>
      <c r="CQ37" s="176"/>
      <c r="CR37" s="176"/>
      <c r="CS37" s="177" t="b">
        <v>0</v>
      </c>
      <c r="CT37" s="177" t="b">
        <v>0</v>
      </c>
      <c r="CU37" s="176" t="e">
        <f>(CP37-CE37)/CE37</f>
        <v>#DIV/0!</v>
      </c>
      <c r="CV37" s="176" t="e">
        <f>(CO37-CD37)/CD37</f>
        <v>#DIV/0!</v>
      </c>
      <c r="CW37" s="203">
        <f>CZ37 + ABS(CX37) + ABS(CY37)</f>
        <v>0</v>
      </c>
      <c r="CX37" s="203"/>
      <c r="CY37" s="203"/>
      <c r="CZ37" s="203"/>
      <c r="DA37" s="176"/>
      <c r="DB37" s="176"/>
      <c r="DC37" s="176"/>
      <c r="DD37" s="177" t="b">
        <v>0</v>
      </c>
      <c r="DE37" s="177" t="b">
        <v>0</v>
      </c>
      <c r="DF37" s="176" t="e">
        <f>(DA37-CR37)/CR37</f>
        <v>#DIV/0!</v>
      </c>
      <c r="DG37" s="176" t="e">
        <f>(CZ37-CO37)/CO37</f>
        <v>#DIV/0!</v>
      </c>
      <c r="DH37" s="203">
        <f>DK37 + ABS(DI37) + ABS(DJ37)</f>
        <v>0</v>
      </c>
      <c r="DI37" s="203"/>
      <c r="DJ37" s="203"/>
      <c r="DK37" s="203"/>
      <c r="DL37" s="176"/>
      <c r="DM37" s="176"/>
      <c r="DN37" s="176"/>
      <c r="DO37" s="177" t="b">
        <v>0</v>
      </c>
      <c r="DP37" s="177" t="b">
        <v>0</v>
      </c>
      <c r="DQ37" s="176" t="e">
        <f>(DL37-DA37)/DA37</f>
        <v>#DIV/0!</v>
      </c>
      <c r="DR37" s="176" t="e">
        <f>(DK37-CZ37)/CZ37</f>
        <v>#DIV/0!</v>
      </c>
      <c r="DS37" s="203">
        <f>DV37 + ABS(DT37) + ABS(DU37)</f>
        <v>0</v>
      </c>
      <c r="DT37" s="203"/>
      <c r="DU37" s="203"/>
      <c r="DV37" s="203"/>
      <c r="DW37" s="176"/>
      <c r="DX37" s="176"/>
      <c r="DY37" s="176"/>
      <c r="DZ37" s="177" t="b">
        <v>0</v>
      </c>
      <c r="EA37" s="177" t="b">
        <v>0</v>
      </c>
      <c r="EB37" s="176" t="e">
        <f>(DW37-DN37)/DN37</f>
        <v>#DIV/0!</v>
      </c>
      <c r="EC37" s="176" t="e">
        <f>(DV37-DK37)/DK37</f>
        <v>#DIV/0!</v>
      </c>
      <c r="ED37" s="203">
        <f>EG37 + ABS(EE37) + ABS(EF37)</f>
        <v>0</v>
      </c>
      <c r="EE37" s="203"/>
      <c r="EF37" s="203"/>
      <c r="EG37" s="203"/>
      <c r="EH37" s="176"/>
      <c r="EI37" s="176"/>
      <c r="EJ37" s="176"/>
      <c r="EK37" s="177" t="b">
        <v>0</v>
      </c>
      <c r="EL37" s="177" t="b">
        <v>0</v>
      </c>
      <c r="EM37" s="176" t="e">
        <f>(EH37-DW37)/DW37</f>
        <v>#DIV/0!</v>
      </c>
      <c r="EN37" s="176" t="e">
        <f>(EG37-DV37)/DV37</f>
        <v>#DIV/0!</v>
      </c>
      <c r="EO37" s="203">
        <f>ER37 + ABS(EP37) + ABS(EQ37)</f>
        <v>0</v>
      </c>
      <c r="EP37" s="203"/>
      <c r="EQ37" s="203"/>
      <c r="ER37" s="203"/>
      <c r="ES37" s="176"/>
      <c r="ET37" s="176"/>
      <c r="EU37" s="176"/>
      <c r="EV37" s="177" t="b">
        <v>0</v>
      </c>
      <c r="EW37" s="177" t="b">
        <v>0</v>
      </c>
      <c r="EX37" s="176" t="e">
        <f>(ES37-EJ37)/EJ37</f>
        <v>#DIV/0!</v>
      </c>
      <c r="EY37" s="176" t="e">
        <f>(ER37-EG37)/EG37</f>
        <v>#DIV/0!</v>
      </c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801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</row>
    <row r="38" spans="1:221" ht="15">
      <c r="B38" s="175"/>
      <c r="C38" s="802" t="s">
        <v>241</v>
      </c>
      <c r="D38" s="154">
        <v>1450022</v>
      </c>
      <c r="E38" s="154">
        <v>35</v>
      </c>
      <c r="F38" s="154" t="s">
        <v>258</v>
      </c>
      <c r="G38" s="255" t="s">
        <v>259</v>
      </c>
      <c r="H38" s="171" t="s">
        <v>169</v>
      </c>
      <c r="I38" s="445" t="s">
        <v>170</v>
      </c>
      <c r="J38" s="154"/>
      <c r="K38" s="154"/>
      <c r="L38" s="154"/>
      <c r="M38" s="176"/>
      <c r="N38" s="418">
        <v>107</v>
      </c>
      <c r="O38" s="176"/>
      <c r="P38" s="203">
        <v>27.92</v>
      </c>
      <c r="Q38" s="203"/>
      <c r="R38" s="203">
        <v>553.71</v>
      </c>
      <c r="S38" s="176">
        <v>32</v>
      </c>
      <c r="T38" s="188" t="s">
        <v>171</v>
      </c>
      <c r="U38" s="176"/>
      <c r="V38" s="176"/>
      <c r="W38" s="176"/>
      <c r="X38" s="203">
        <f t="shared" si="4"/>
        <v>242.67000000000002</v>
      </c>
      <c r="Y38" s="203">
        <v>-11.65</v>
      </c>
      <c r="Z38" s="203">
        <v>0</v>
      </c>
      <c r="AA38" s="203">
        <v>231.02</v>
      </c>
      <c r="AB38" s="154">
        <v>15</v>
      </c>
      <c r="AC38" s="444" t="s">
        <v>172</v>
      </c>
      <c r="AD38" s="444" t="s">
        <v>173</v>
      </c>
      <c r="AE38" s="177" t="b">
        <v>1</v>
      </c>
      <c r="AF38" s="177" t="b">
        <v>1</v>
      </c>
      <c r="AG38" s="392">
        <f>(AB38-S38)/S38</f>
        <v>-0.53125</v>
      </c>
      <c r="AH38" s="392">
        <f>(AA38-R38)/R38</f>
        <v>-0.58277798847772311</v>
      </c>
      <c r="AI38" s="203">
        <f t="shared" si="2"/>
        <v>147.11000000000001</v>
      </c>
      <c r="AJ38" s="368">
        <v>-7.06</v>
      </c>
      <c r="AK38" s="368">
        <v>0</v>
      </c>
      <c r="AL38" s="368">
        <v>140.05000000000001</v>
      </c>
      <c r="AM38" s="1068">
        <v>8</v>
      </c>
      <c r="AN38" s="172">
        <v>46122</v>
      </c>
      <c r="AO38" s="171" t="s">
        <v>174</v>
      </c>
      <c r="AP38" s="861" t="b">
        <v>1</v>
      </c>
      <c r="AQ38" s="861" t="b">
        <v>1</v>
      </c>
      <c r="AR38" s="392">
        <f t="shared" ref="AR38:AR68" si="5">(AM38-AB38)/AB38</f>
        <v>-0.46666666666666667</v>
      </c>
      <c r="AS38" s="392">
        <f>(AL38-AA38)/AA38</f>
        <v>-0.39377543069864079</v>
      </c>
      <c r="AT38" s="203">
        <f t="shared" si="3"/>
        <v>0</v>
      </c>
      <c r="AU38" s="203"/>
      <c r="AV38" s="203"/>
      <c r="AW38" s="203"/>
      <c r="AX38" s="176"/>
      <c r="AY38" s="176"/>
      <c r="AZ38" s="176"/>
      <c r="BA38" s="177" t="b">
        <v>0</v>
      </c>
      <c r="BB38" s="177" t="b">
        <v>0</v>
      </c>
      <c r="BC38" s="176">
        <f>(AX38-AM38)/AM38</f>
        <v>-1</v>
      </c>
      <c r="BD38" s="176">
        <f>(AW38-AL38)/AL38</f>
        <v>-1</v>
      </c>
      <c r="BE38" s="203">
        <f>BH38 + ABS(BF38) + ABS(BG38)</f>
        <v>0</v>
      </c>
      <c r="BF38" s="203"/>
      <c r="BG38" s="203"/>
      <c r="BH38" s="203"/>
      <c r="BI38" s="176"/>
      <c r="BJ38" s="176"/>
      <c r="BK38" s="176"/>
      <c r="BL38" s="177" t="b">
        <v>0</v>
      </c>
      <c r="BM38" s="177" t="b">
        <v>0</v>
      </c>
      <c r="BN38" s="176" t="e">
        <f>(BI38-AZ38)/AZ38</f>
        <v>#DIV/0!</v>
      </c>
      <c r="BO38" s="176" t="e">
        <f>(BH38-AW38)/AW38</f>
        <v>#DIV/0!</v>
      </c>
      <c r="BP38" s="203">
        <f>BS38 + ABS(BQ38) + ABS(BR38)</f>
        <v>0</v>
      </c>
      <c r="BQ38" s="203"/>
      <c r="BR38" s="203"/>
      <c r="BS38" s="203"/>
      <c r="BT38" s="176"/>
      <c r="BU38" s="176"/>
      <c r="BV38" s="176"/>
      <c r="BW38" s="177" t="b">
        <v>0</v>
      </c>
      <c r="BX38" s="177" t="b">
        <v>0</v>
      </c>
      <c r="BY38" s="176" t="e">
        <f>(BT38-BI38)/BI38</f>
        <v>#DIV/0!</v>
      </c>
      <c r="BZ38" s="176" t="e">
        <f>(BS38-BH38)/BH38</f>
        <v>#DIV/0!</v>
      </c>
      <c r="CA38" s="203">
        <f>CD38 + ABS(CB38) + ABS(CC38)</f>
        <v>0</v>
      </c>
      <c r="CB38" s="203"/>
      <c r="CC38" s="203"/>
      <c r="CD38" s="203"/>
      <c r="CE38" s="176"/>
      <c r="CF38" s="176"/>
      <c r="CG38" s="176"/>
      <c r="CH38" s="177" t="b">
        <v>0</v>
      </c>
      <c r="CI38" s="177" t="b">
        <v>0</v>
      </c>
      <c r="CJ38" s="176" t="e">
        <f>(CE38-BV38)/BV38</f>
        <v>#DIV/0!</v>
      </c>
      <c r="CK38" s="176" t="e">
        <f>(CD38-BS38)/BS38</f>
        <v>#DIV/0!</v>
      </c>
      <c r="CL38" s="203">
        <f>CO38 + ABS(CM38) + ABS(CN38)</f>
        <v>0</v>
      </c>
      <c r="CM38" s="203"/>
      <c r="CN38" s="203"/>
      <c r="CO38" s="203"/>
      <c r="CP38" s="176"/>
      <c r="CQ38" s="176"/>
      <c r="CR38" s="176"/>
      <c r="CS38" s="177" t="b">
        <v>0</v>
      </c>
      <c r="CT38" s="177" t="b">
        <v>0</v>
      </c>
      <c r="CU38" s="176" t="e">
        <f>(CP38-CE38)/CE38</f>
        <v>#DIV/0!</v>
      </c>
      <c r="CV38" s="176" t="e">
        <f>(CO38-CD38)/CD38</f>
        <v>#DIV/0!</v>
      </c>
      <c r="CW38" s="203">
        <f>CZ38 + ABS(CX38) + ABS(CY38)</f>
        <v>0</v>
      </c>
      <c r="CX38" s="203"/>
      <c r="CY38" s="203"/>
      <c r="CZ38" s="203"/>
      <c r="DA38" s="176"/>
      <c r="DB38" s="176"/>
      <c r="DC38" s="176"/>
      <c r="DD38" s="177" t="b">
        <v>0</v>
      </c>
      <c r="DE38" s="177" t="b">
        <v>0</v>
      </c>
      <c r="DF38" s="176" t="e">
        <f>(DA38-CR38)/CR38</f>
        <v>#DIV/0!</v>
      </c>
      <c r="DG38" s="176" t="e">
        <f>(CZ38-CO38)/CO38</f>
        <v>#DIV/0!</v>
      </c>
      <c r="DH38" s="203">
        <f>DK38 + ABS(DI38) + ABS(DJ38)</f>
        <v>0</v>
      </c>
      <c r="DI38" s="203"/>
      <c r="DJ38" s="203"/>
      <c r="DK38" s="203"/>
      <c r="DL38" s="176"/>
      <c r="DM38" s="176"/>
      <c r="DN38" s="176"/>
      <c r="DO38" s="177" t="b">
        <v>0</v>
      </c>
      <c r="DP38" s="177" t="b">
        <v>0</v>
      </c>
      <c r="DQ38" s="176" t="e">
        <f>(DL38-DA38)/DA38</f>
        <v>#DIV/0!</v>
      </c>
      <c r="DR38" s="176" t="e">
        <f>(DK38-CZ38)/CZ38</f>
        <v>#DIV/0!</v>
      </c>
      <c r="DS38" s="203">
        <f>DV38 + ABS(DT38) + ABS(DU38)</f>
        <v>0</v>
      </c>
      <c r="DT38" s="203"/>
      <c r="DU38" s="203"/>
      <c r="DV38" s="203"/>
      <c r="DW38" s="176"/>
      <c r="DX38" s="176"/>
      <c r="DY38" s="176"/>
      <c r="DZ38" s="177" t="b">
        <v>0</v>
      </c>
      <c r="EA38" s="177" t="b">
        <v>0</v>
      </c>
      <c r="EB38" s="176" t="e">
        <f>(DW38-DN38)/DN38</f>
        <v>#DIV/0!</v>
      </c>
      <c r="EC38" s="176" t="e">
        <f>(DV38-DK38)/DK38</f>
        <v>#DIV/0!</v>
      </c>
      <c r="ED38" s="203">
        <f>EG38 + ABS(EE38) + ABS(EF38)</f>
        <v>0</v>
      </c>
      <c r="EE38" s="203"/>
      <c r="EF38" s="203"/>
      <c r="EG38" s="203"/>
      <c r="EH38" s="176"/>
      <c r="EI38" s="176"/>
      <c r="EJ38" s="176"/>
      <c r="EK38" s="177" t="b">
        <v>0</v>
      </c>
      <c r="EL38" s="177" t="b">
        <v>0</v>
      </c>
      <c r="EM38" s="176" t="e">
        <f>(EH38-DW38)/DW38</f>
        <v>#DIV/0!</v>
      </c>
      <c r="EN38" s="176" t="e">
        <f>(EG38-DV38)/DV38</f>
        <v>#DIV/0!</v>
      </c>
      <c r="EO38" s="203">
        <f>ER38 + ABS(EP38) + ABS(EQ38)</f>
        <v>0</v>
      </c>
      <c r="EP38" s="203"/>
      <c r="EQ38" s="203"/>
      <c r="ER38" s="203"/>
      <c r="ES38" s="176"/>
      <c r="ET38" s="176"/>
      <c r="EU38" s="176"/>
      <c r="EV38" s="177" t="b">
        <v>0</v>
      </c>
      <c r="EW38" s="177" t="b">
        <v>0</v>
      </c>
      <c r="EX38" s="176" t="e">
        <f>(ES38-EJ38)/EJ38</f>
        <v>#DIV/0!</v>
      </c>
      <c r="EY38" s="176" t="e">
        <f>(ER38-EG38)/EG38</f>
        <v>#DIV/0!</v>
      </c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801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</row>
    <row r="39" spans="1:221" ht="15">
      <c r="B39" s="175"/>
      <c r="C39" s="802" t="s">
        <v>241</v>
      </c>
      <c r="D39" s="154">
        <v>1450022</v>
      </c>
      <c r="E39" s="154">
        <v>35</v>
      </c>
      <c r="F39" s="154" t="s">
        <v>260</v>
      </c>
      <c r="G39" s="255" t="s">
        <v>261</v>
      </c>
      <c r="H39" s="171" t="s">
        <v>169</v>
      </c>
      <c r="I39" s="445" t="s">
        <v>170</v>
      </c>
      <c r="J39" s="154"/>
      <c r="K39" s="154"/>
      <c r="L39" s="154"/>
      <c r="M39" s="176"/>
      <c r="N39" s="193">
        <v>107</v>
      </c>
      <c r="O39" s="176"/>
      <c r="P39" s="203">
        <v>13428.73</v>
      </c>
      <c r="Q39" s="203"/>
      <c r="R39" s="203">
        <v>266336.45</v>
      </c>
      <c r="S39" s="176">
        <v>9286</v>
      </c>
      <c r="T39" s="188" t="s">
        <v>171</v>
      </c>
      <c r="U39" s="176"/>
      <c r="V39" s="176"/>
      <c r="W39" s="176"/>
      <c r="X39" s="203">
        <f t="shared" si="4"/>
        <v>287631.48</v>
      </c>
      <c r="Y39" s="203">
        <v>-13806.31</v>
      </c>
      <c r="Z39" s="203">
        <v>0</v>
      </c>
      <c r="AA39" s="203">
        <v>273825.17</v>
      </c>
      <c r="AB39" s="446">
        <v>9546</v>
      </c>
      <c r="AC39" s="444" t="s">
        <v>172</v>
      </c>
      <c r="AD39" s="444" t="s">
        <v>173</v>
      </c>
      <c r="AE39" s="177" t="b">
        <v>1</v>
      </c>
      <c r="AF39" s="177" t="b">
        <v>1</v>
      </c>
      <c r="AG39" s="392">
        <f>(AB39-S39)/S39</f>
        <v>2.7999138488046523E-2</v>
      </c>
      <c r="AH39" s="392">
        <f>(AA39-R39)/R39</f>
        <v>2.8117518274347997E-2</v>
      </c>
      <c r="AI39" s="203">
        <f t="shared" si="2"/>
        <v>543713.54</v>
      </c>
      <c r="AJ39" s="368">
        <v>-26098.25</v>
      </c>
      <c r="AK39" s="368">
        <v>0</v>
      </c>
      <c r="AL39" s="368">
        <v>517615.29</v>
      </c>
      <c r="AM39" s="1068">
        <v>17168</v>
      </c>
      <c r="AN39" s="172">
        <v>46122</v>
      </c>
      <c r="AO39" s="171" t="s">
        <v>174</v>
      </c>
      <c r="AP39" s="861" t="b">
        <v>1</v>
      </c>
      <c r="AQ39" s="861" t="b">
        <v>1</v>
      </c>
      <c r="AR39" s="392">
        <f t="shared" si="5"/>
        <v>0.79844961240310075</v>
      </c>
      <c r="AS39" s="392">
        <f>(AL39-AA39)/AA39</f>
        <v>0.89031304171198</v>
      </c>
      <c r="AT39" s="203">
        <f t="shared" si="3"/>
        <v>0</v>
      </c>
      <c r="AU39" s="203"/>
      <c r="AV39" s="203"/>
      <c r="AW39" s="203"/>
      <c r="AX39" s="176"/>
      <c r="AY39" s="176"/>
      <c r="AZ39" s="176"/>
      <c r="BA39" s="177" t="b">
        <v>0</v>
      </c>
      <c r="BB39" s="177" t="b">
        <v>0</v>
      </c>
      <c r="BC39" s="176">
        <f>(AX39-AM39)/AM39</f>
        <v>-1</v>
      </c>
      <c r="BD39" s="176">
        <f>(AW39-AL39)/AL39</f>
        <v>-1</v>
      </c>
      <c r="BE39" s="203">
        <f>BH39 + ABS(BF39) + ABS(BG39)</f>
        <v>0</v>
      </c>
      <c r="BF39" s="203"/>
      <c r="BG39" s="203"/>
      <c r="BH39" s="203"/>
      <c r="BI39" s="176"/>
      <c r="BJ39" s="176"/>
      <c r="BK39" s="176"/>
      <c r="BL39" s="177" t="b">
        <v>0</v>
      </c>
      <c r="BM39" s="177" t="b">
        <v>0</v>
      </c>
      <c r="BN39" s="176" t="e">
        <f>(BI39-AZ39)/AZ39</f>
        <v>#DIV/0!</v>
      </c>
      <c r="BO39" s="176" t="e">
        <f>(BH39-AW39)/AW39</f>
        <v>#DIV/0!</v>
      </c>
      <c r="BP39" s="203">
        <f>BS39 + ABS(BQ39) + ABS(BR39)</f>
        <v>0</v>
      </c>
      <c r="BQ39" s="203"/>
      <c r="BR39" s="203"/>
      <c r="BS39" s="203"/>
      <c r="BT39" s="176"/>
      <c r="BU39" s="176"/>
      <c r="BV39" s="176"/>
      <c r="BW39" s="177" t="b">
        <v>0</v>
      </c>
      <c r="BX39" s="177" t="b">
        <v>0</v>
      </c>
      <c r="BY39" s="176" t="e">
        <f>(BT39-BI39)/BI39</f>
        <v>#DIV/0!</v>
      </c>
      <c r="BZ39" s="176" t="e">
        <f>(BS39-BH39)/BH39</f>
        <v>#DIV/0!</v>
      </c>
      <c r="CA39" s="203">
        <f>CD39 + ABS(CB39) + ABS(CC39)</f>
        <v>0</v>
      </c>
      <c r="CB39" s="203"/>
      <c r="CC39" s="203"/>
      <c r="CD39" s="203"/>
      <c r="CE39" s="176"/>
      <c r="CF39" s="176"/>
      <c r="CG39" s="176"/>
      <c r="CH39" s="177" t="b">
        <v>0</v>
      </c>
      <c r="CI39" s="177" t="b">
        <v>0</v>
      </c>
      <c r="CJ39" s="176" t="e">
        <f>(CE39-BV39)/BV39</f>
        <v>#DIV/0!</v>
      </c>
      <c r="CK39" s="176" t="e">
        <f>(CD39-BS39)/BS39</f>
        <v>#DIV/0!</v>
      </c>
      <c r="CL39" s="203">
        <f>CO39 + ABS(CM39) + ABS(CN39)</f>
        <v>0</v>
      </c>
      <c r="CM39" s="203"/>
      <c r="CN39" s="203"/>
      <c r="CO39" s="203"/>
      <c r="CP39" s="176"/>
      <c r="CQ39" s="176"/>
      <c r="CR39" s="176"/>
      <c r="CS39" s="177" t="b">
        <v>0</v>
      </c>
      <c r="CT39" s="177" t="b">
        <v>0</v>
      </c>
      <c r="CU39" s="176" t="e">
        <f>(CP39-CE39)/CE39</f>
        <v>#DIV/0!</v>
      </c>
      <c r="CV39" s="176" t="e">
        <f>(CO39-CD39)/CD39</f>
        <v>#DIV/0!</v>
      </c>
      <c r="CW39" s="203">
        <f>CZ39 + ABS(CX39) + ABS(CY39)</f>
        <v>0</v>
      </c>
      <c r="CX39" s="203"/>
      <c r="CY39" s="203"/>
      <c r="CZ39" s="203"/>
      <c r="DA39" s="176"/>
      <c r="DB39" s="176"/>
      <c r="DC39" s="176"/>
      <c r="DD39" s="177" t="b">
        <v>0</v>
      </c>
      <c r="DE39" s="177" t="b">
        <v>0</v>
      </c>
      <c r="DF39" s="176" t="e">
        <f>(DA39-CR39)/CR39</f>
        <v>#DIV/0!</v>
      </c>
      <c r="DG39" s="176" t="e">
        <f>(CZ39-CO39)/CO39</f>
        <v>#DIV/0!</v>
      </c>
      <c r="DH39" s="203">
        <f>DK39 + ABS(DI39) + ABS(DJ39)</f>
        <v>0</v>
      </c>
      <c r="DI39" s="203"/>
      <c r="DJ39" s="203"/>
      <c r="DK39" s="203"/>
      <c r="DL39" s="176"/>
      <c r="DM39" s="176"/>
      <c r="DN39" s="176"/>
      <c r="DO39" s="177" t="b">
        <v>0</v>
      </c>
      <c r="DP39" s="177" t="b">
        <v>0</v>
      </c>
      <c r="DQ39" s="176" t="e">
        <f>(DL39-DA39)/DA39</f>
        <v>#DIV/0!</v>
      </c>
      <c r="DR39" s="176" t="e">
        <f>(DK39-CZ39)/CZ39</f>
        <v>#DIV/0!</v>
      </c>
      <c r="DS39" s="203">
        <f>DV39 + ABS(DT39) + ABS(DU39)</f>
        <v>0</v>
      </c>
      <c r="DT39" s="203"/>
      <c r="DU39" s="203"/>
      <c r="DV39" s="203"/>
      <c r="DW39" s="176"/>
      <c r="DX39" s="176"/>
      <c r="DY39" s="176"/>
      <c r="DZ39" s="177" t="b">
        <v>0</v>
      </c>
      <c r="EA39" s="177" t="b">
        <v>0</v>
      </c>
      <c r="EB39" s="176" t="e">
        <f>(DW39-DN39)/DN39</f>
        <v>#DIV/0!</v>
      </c>
      <c r="EC39" s="176" t="e">
        <f>(DV39-DK39)/DK39</f>
        <v>#DIV/0!</v>
      </c>
      <c r="ED39" s="203">
        <f>EG39 + ABS(EE39) + ABS(EF39)</f>
        <v>0</v>
      </c>
      <c r="EE39" s="203"/>
      <c r="EF39" s="203"/>
      <c r="EG39" s="203"/>
      <c r="EH39" s="176"/>
      <c r="EI39" s="176"/>
      <c r="EJ39" s="176"/>
      <c r="EK39" s="177" t="b">
        <v>0</v>
      </c>
      <c r="EL39" s="177" t="b">
        <v>0</v>
      </c>
      <c r="EM39" s="176" t="e">
        <f>(EH39-DW39)/DW39</f>
        <v>#DIV/0!</v>
      </c>
      <c r="EN39" s="176" t="e">
        <f>(EG39-DV39)/DV39</f>
        <v>#DIV/0!</v>
      </c>
      <c r="EO39" s="203">
        <f>ER39 + ABS(EP39) + ABS(EQ39)</f>
        <v>0</v>
      </c>
      <c r="EP39" s="203"/>
      <c r="EQ39" s="203"/>
      <c r="ER39" s="203"/>
      <c r="ES39" s="176"/>
      <c r="ET39" s="176"/>
      <c r="EU39" s="176"/>
      <c r="EV39" s="177" t="b">
        <v>0</v>
      </c>
      <c r="EW39" s="177" t="b">
        <v>0</v>
      </c>
      <c r="EX39" s="176" t="e">
        <f>(ES39-EJ39)/EJ39</f>
        <v>#DIV/0!</v>
      </c>
      <c r="EY39" s="176" t="e">
        <f>(ER39-EG39)/EG39</f>
        <v>#DIV/0!</v>
      </c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801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</row>
    <row r="40" spans="1:221" ht="15">
      <c r="B40" s="175"/>
      <c r="C40" s="802" t="s">
        <v>241</v>
      </c>
      <c r="D40" s="154">
        <v>1450022</v>
      </c>
      <c r="E40" s="154">
        <v>35</v>
      </c>
      <c r="F40" s="154" t="s">
        <v>262</v>
      </c>
      <c r="G40" s="255" t="s">
        <v>263</v>
      </c>
      <c r="H40" s="171" t="s">
        <v>169</v>
      </c>
      <c r="I40" s="445" t="s">
        <v>170</v>
      </c>
      <c r="J40" s="154"/>
      <c r="K40" s="154"/>
      <c r="L40" s="154"/>
      <c r="M40" s="176"/>
      <c r="N40" s="418">
        <v>107</v>
      </c>
      <c r="O40" s="176"/>
      <c r="P40" s="203">
        <v>5.2</v>
      </c>
      <c r="Q40" s="203"/>
      <c r="R40" s="203">
        <v>103.15</v>
      </c>
      <c r="S40" s="176">
        <v>6</v>
      </c>
      <c r="T40" s="188" t="s">
        <v>171</v>
      </c>
      <c r="U40" s="176"/>
      <c r="V40" s="176"/>
      <c r="W40" s="176"/>
      <c r="X40" s="203">
        <f t="shared" si="4"/>
        <v>95.82</v>
      </c>
      <c r="Y40" s="203">
        <v>-4.5999999999999996</v>
      </c>
      <c r="Z40" s="203">
        <v>0</v>
      </c>
      <c r="AA40" s="203">
        <v>91.22</v>
      </c>
      <c r="AB40" s="446">
        <v>5</v>
      </c>
      <c r="AC40" s="444" t="s">
        <v>172</v>
      </c>
      <c r="AD40" s="444" t="s">
        <v>173</v>
      </c>
      <c r="AE40" s="177" t="b">
        <v>1</v>
      </c>
      <c r="AF40" s="177" t="b">
        <v>1</v>
      </c>
      <c r="AG40" s="392">
        <f>(AB40-S40)/S40</f>
        <v>-0.16666666666666666</v>
      </c>
      <c r="AH40" s="392">
        <f>(AA40-R40)/R40</f>
        <v>-0.11565681047018911</v>
      </c>
      <c r="AI40" s="203">
        <f t="shared" si="2"/>
        <v>120.67</v>
      </c>
      <c r="AJ40" s="368">
        <v>-5.79</v>
      </c>
      <c r="AK40" s="368">
        <v>0</v>
      </c>
      <c r="AL40" s="368">
        <v>114.88</v>
      </c>
      <c r="AM40" s="1068">
        <v>6</v>
      </c>
      <c r="AN40" s="172">
        <v>46122</v>
      </c>
      <c r="AO40" s="171" t="s">
        <v>174</v>
      </c>
      <c r="AP40" s="861" t="b">
        <v>1</v>
      </c>
      <c r="AQ40" s="861" t="b">
        <v>1</v>
      </c>
      <c r="AR40" s="392">
        <f t="shared" si="5"/>
        <v>0.2</v>
      </c>
      <c r="AS40" s="392">
        <f>(AL40-AA40)/AA40</f>
        <v>0.25937294452970838</v>
      </c>
      <c r="AT40" s="203">
        <f t="shared" si="3"/>
        <v>0</v>
      </c>
      <c r="AU40" s="203"/>
      <c r="AV40" s="203"/>
      <c r="AW40" s="203"/>
      <c r="AX40" s="176"/>
      <c r="AY40" s="176"/>
      <c r="AZ40" s="176"/>
      <c r="BA40" s="177" t="b">
        <v>0</v>
      </c>
      <c r="BB40" s="177" t="b">
        <v>0</v>
      </c>
      <c r="BC40" s="176">
        <f>(AX40-AM40)/AM40</f>
        <v>-1</v>
      </c>
      <c r="BD40" s="176">
        <f>(AW40-AL40)/AL40</f>
        <v>-1</v>
      </c>
      <c r="BE40" s="203">
        <f>BH40 + ABS(BF40) + ABS(BG40)</f>
        <v>0</v>
      </c>
      <c r="BF40" s="203"/>
      <c r="BG40" s="203"/>
      <c r="BH40" s="203"/>
      <c r="BI40" s="176"/>
      <c r="BJ40" s="176"/>
      <c r="BK40" s="176"/>
      <c r="BL40" s="177" t="b">
        <v>0</v>
      </c>
      <c r="BM40" s="177" t="b">
        <v>0</v>
      </c>
      <c r="BN40" s="176" t="e">
        <f>(BI40-AZ40)/AZ40</f>
        <v>#DIV/0!</v>
      </c>
      <c r="BO40" s="176" t="e">
        <f>(BH40-AW40)/AW40</f>
        <v>#DIV/0!</v>
      </c>
      <c r="BP40" s="203">
        <f>BS40 + ABS(BQ40) + ABS(BR40)</f>
        <v>0</v>
      </c>
      <c r="BQ40" s="203"/>
      <c r="BR40" s="203"/>
      <c r="BS40" s="203"/>
      <c r="BT40" s="176"/>
      <c r="BU40" s="176"/>
      <c r="BV40" s="176"/>
      <c r="BW40" s="177" t="b">
        <v>0</v>
      </c>
      <c r="BX40" s="177" t="b">
        <v>0</v>
      </c>
      <c r="BY40" s="176" t="e">
        <f>(BT40-BI40)/BI40</f>
        <v>#DIV/0!</v>
      </c>
      <c r="BZ40" s="176" t="e">
        <f>(BS40-BH40)/BH40</f>
        <v>#DIV/0!</v>
      </c>
      <c r="CA40" s="203">
        <f>CD40 + ABS(CB40) + ABS(CC40)</f>
        <v>0</v>
      </c>
      <c r="CB40" s="203"/>
      <c r="CC40" s="203"/>
      <c r="CD40" s="203"/>
      <c r="CE40" s="176"/>
      <c r="CF40" s="176"/>
      <c r="CG40" s="176"/>
      <c r="CH40" s="177" t="b">
        <v>0</v>
      </c>
      <c r="CI40" s="177" t="b">
        <v>0</v>
      </c>
      <c r="CJ40" s="176" t="e">
        <f>(CE40-BV40)/BV40</f>
        <v>#DIV/0!</v>
      </c>
      <c r="CK40" s="176" t="e">
        <f>(CD40-BS40)/BS40</f>
        <v>#DIV/0!</v>
      </c>
      <c r="CL40" s="203">
        <f>CO40 + ABS(CM40) + ABS(CN40)</f>
        <v>0</v>
      </c>
      <c r="CM40" s="203"/>
      <c r="CN40" s="203"/>
      <c r="CO40" s="203"/>
      <c r="CP40" s="176"/>
      <c r="CQ40" s="176"/>
      <c r="CR40" s="176"/>
      <c r="CS40" s="177" t="b">
        <v>0</v>
      </c>
      <c r="CT40" s="177" t="b">
        <v>0</v>
      </c>
      <c r="CU40" s="176" t="e">
        <f>(CP40-CE40)/CE40</f>
        <v>#DIV/0!</v>
      </c>
      <c r="CV40" s="176" t="e">
        <f>(CO40-CD40)/CD40</f>
        <v>#DIV/0!</v>
      </c>
      <c r="CW40" s="203">
        <f>CZ40 + ABS(CX40) + ABS(CY40)</f>
        <v>0</v>
      </c>
      <c r="CX40" s="203"/>
      <c r="CY40" s="203"/>
      <c r="CZ40" s="203"/>
      <c r="DA40" s="176"/>
      <c r="DB40" s="176"/>
      <c r="DC40" s="176"/>
      <c r="DD40" s="177" t="b">
        <v>0</v>
      </c>
      <c r="DE40" s="177" t="b">
        <v>0</v>
      </c>
      <c r="DF40" s="176" t="e">
        <f>(DA40-CR40)/CR40</f>
        <v>#DIV/0!</v>
      </c>
      <c r="DG40" s="176" t="e">
        <f>(CZ40-CO40)/CO40</f>
        <v>#DIV/0!</v>
      </c>
      <c r="DH40" s="203">
        <f>DK40 + ABS(DI40) + ABS(DJ40)</f>
        <v>0</v>
      </c>
      <c r="DI40" s="203"/>
      <c r="DJ40" s="203"/>
      <c r="DK40" s="203"/>
      <c r="DL40" s="176"/>
      <c r="DM40" s="176"/>
      <c r="DN40" s="176"/>
      <c r="DO40" s="177" t="b">
        <v>0</v>
      </c>
      <c r="DP40" s="177" t="b">
        <v>0</v>
      </c>
      <c r="DQ40" s="176" t="e">
        <f>(DL40-DA40)/DA40</f>
        <v>#DIV/0!</v>
      </c>
      <c r="DR40" s="176" t="e">
        <f>(DK40-CZ40)/CZ40</f>
        <v>#DIV/0!</v>
      </c>
      <c r="DS40" s="203">
        <f>DV40 + ABS(DT40) + ABS(DU40)</f>
        <v>0</v>
      </c>
      <c r="DT40" s="203"/>
      <c r="DU40" s="203"/>
      <c r="DV40" s="203"/>
      <c r="DW40" s="176"/>
      <c r="DX40" s="176"/>
      <c r="DY40" s="176"/>
      <c r="DZ40" s="177" t="b">
        <v>0</v>
      </c>
      <c r="EA40" s="177" t="b">
        <v>0</v>
      </c>
      <c r="EB40" s="176" t="e">
        <f>(DW40-DN40)/DN40</f>
        <v>#DIV/0!</v>
      </c>
      <c r="EC40" s="176" t="e">
        <f>(DV40-DK40)/DK40</f>
        <v>#DIV/0!</v>
      </c>
      <c r="ED40" s="203">
        <f>EG40 + ABS(EE40) + ABS(EF40)</f>
        <v>0</v>
      </c>
      <c r="EE40" s="203"/>
      <c r="EF40" s="203"/>
      <c r="EG40" s="203"/>
      <c r="EH40" s="176"/>
      <c r="EI40" s="176"/>
      <c r="EJ40" s="176"/>
      <c r="EK40" s="177" t="b">
        <v>0</v>
      </c>
      <c r="EL40" s="177" t="b">
        <v>0</v>
      </c>
      <c r="EM40" s="176" t="e">
        <f>(EH40-DW40)/DW40</f>
        <v>#DIV/0!</v>
      </c>
      <c r="EN40" s="176" t="e">
        <f>(EG40-DV40)/DV40</f>
        <v>#DIV/0!</v>
      </c>
      <c r="EO40" s="203">
        <f>ER40 + ABS(EP40) + ABS(EQ40)</f>
        <v>0</v>
      </c>
      <c r="EP40" s="203"/>
      <c r="EQ40" s="203"/>
      <c r="ER40" s="203"/>
      <c r="ES40" s="176"/>
      <c r="ET40" s="176"/>
      <c r="EU40" s="176"/>
      <c r="EV40" s="177" t="b">
        <v>0</v>
      </c>
      <c r="EW40" s="177" t="b">
        <v>0</v>
      </c>
      <c r="EX40" s="176" t="e">
        <f>(ES40-EJ40)/EJ40</f>
        <v>#DIV/0!</v>
      </c>
      <c r="EY40" s="176" t="e">
        <f>(ER40-EG40)/EG40</f>
        <v>#DIV/0!</v>
      </c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801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</row>
    <row r="41" spans="1:221" ht="15">
      <c r="B41" s="175"/>
      <c r="C41" s="800" t="s">
        <v>264</v>
      </c>
      <c r="D41" s="357">
        <v>1450022</v>
      </c>
      <c r="E41" s="357">
        <v>39</v>
      </c>
      <c r="F41" s="357" t="s">
        <v>265</v>
      </c>
      <c r="G41" s="426" t="s">
        <v>266</v>
      </c>
      <c r="H41" s="148" t="s">
        <v>169</v>
      </c>
      <c r="I41" s="448" t="s">
        <v>170</v>
      </c>
      <c r="J41" s="357"/>
      <c r="K41" s="357"/>
      <c r="L41" s="357"/>
      <c r="M41" s="358"/>
      <c r="N41" s="359">
        <v>107</v>
      </c>
      <c r="O41" s="358"/>
      <c r="P41" s="402">
        <v>4797.91</v>
      </c>
      <c r="Q41" s="402"/>
      <c r="R41" s="402">
        <v>95158.47</v>
      </c>
      <c r="S41" s="358">
        <v>5788</v>
      </c>
      <c r="T41" s="188" t="s">
        <v>171</v>
      </c>
      <c r="U41" s="358"/>
      <c r="V41" s="358"/>
      <c r="W41" s="358"/>
      <c r="X41" s="402">
        <f t="shared" si="4"/>
        <v>152708.53</v>
      </c>
      <c r="Y41" s="402">
        <v>-7330.01</v>
      </c>
      <c r="Z41" s="402">
        <v>0</v>
      </c>
      <c r="AA41" s="402">
        <v>145378.51999999999</v>
      </c>
      <c r="AB41" s="450">
        <v>8822</v>
      </c>
      <c r="AC41" s="173" t="s">
        <v>172</v>
      </c>
      <c r="AD41" s="173" t="s">
        <v>173</v>
      </c>
      <c r="AE41" s="164" t="b">
        <v>1</v>
      </c>
      <c r="AF41" s="164" t="b">
        <v>1</v>
      </c>
      <c r="AG41" s="409">
        <f>(AB41-S41)/S41</f>
        <v>0.52418797512093984</v>
      </c>
      <c r="AH41" s="409">
        <f>(AA41-R41)/R41</f>
        <v>0.52775175977503619</v>
      </c>
      <c r="AI41" s="402">
        <f t="shared" si="2"/>
        <v>155936.18</v>
      </c>
      <c r="AJ41" s="364">
        <v>-7484.94</v>
      </c>
      <c r="AK41" s="364">
        <v>0</v>
      </c>
      <c r="AL41" s="364">
        <v>148451.24</v>
      </c>
      <c r="AM41" s="1069">
        <v>8840</v>
      </c>
      <c r="AN41" s="407">
        <v>46122</v>
      </c>
      <c r="AO41" s="148" t="s">
        <v>174</v>
      </c>
      <c r="AP41" s="860" t="b">
        <v>1</v>
      </c>
      <c r="AQ41" s="860" t="b">
        <v>1</v>
      </c>
      <c r="AR41" s="409">
        <f t="shared" si="5"/>
        <v>2.0403536613012923E-3</v>
      </c>
      <c r="AS41" s="409">
        <f>(AL41-AA41)/AA41</f>
        <v>2.1135997257366503E-2</v>
      </c>
      <c r="AT41" s="402">
        <f t="shared" si="3"/>
        <v>0</v>
      </c>
      <c r="AU41" s="402"/>
      <c r="AV41" s="402"/>
      <c r="AW41" s="402"/>
      <c r="AX41" s="358"/>
      <c r="AY41" s="358"/>
      <c r="AZ41" s="358"/>
      <c r="BA41" s="164" t="b">
        <v>0</v>
      </c>
      <c r="BB41" s="164" t="b">
        <v>0</v>
      </c>
      <c r="BC41" s="358">
        <f>(AX41-AM41)/AM41</f>
        <v>-1</v>
      </c>
      <c r="BD41" s="358">
        <f>(AW41-AL41)/AL41</f>
        <v>-1</v>
      </c>
      <c r="BE41" s="402">
        <f>BH41 + ABS(BF41) + ABS(BG41)</f>
        <v>0</v>
      </c>
      <c r="BF41" s="402"/>
      <c r="BG41" s="402"/>
      <c r="BH41" s="402"/>
      <c r="BI41" s="358"/>
      <c r="BJ41" s="358"/>
      <c r="BK41" s="358"/>
      <c r="BL41" s="164" t="b">
        <v>0</v>
      </c>
      <c r="BM41" s="164" t="b">
        <v>0</v>
      </c>
      <c r="BN41" s="358" t="e">
        <f>(BI41-AZ41)/AZ41</f>
        <v>#DIV/0!</v>
      </c>
      <c r="BO41" s="358" t="e">
        <f>(BH41-AW41)/AW41</f>
        <v>#DIV/0!</v>
      </c>
      <c r="BP41" s="402">
        <f>BS41 + ABS(BQ41) + ABS(BR41)</f>
        <v>0</v>
      </c>
      <c r="BQ41" s="402"/>
      <c r="BR41" s="402"/>
      <c r="BS41" s="402"/>
      <c r="BT41" s="358"/>
      <c r="BU41" s="358"/>
      <c r="BV41" s="358"/>
      <c r="BW41" s="164" t="b">
        <v>0</v>
      </c>
      <c r="BX41" s="164" t="b">
        <v>0</v>
      </c>
      <c r="BY41" s="358" t="e">
        <f>(BT41-BI41)/BI41</f>
        <v>#DIV/0!</v>
      </c>
      <c r="BZ41" s="358" t="e">
        <f>(BS41-BH41)/BH41</f>
        <v>#DIV/0!</v>
      </c>
      <c r="CA41" s="402">
        <f>CD41 + ABS(CB41) + ABS(CC41)</f>
        <v>0</v>
      </c>
      <c r="CB41" s="402"/>
      <c r="CC41" s="402"/>
      <c r="CD41" s="402"/>
      <c r="CE41" s="358"/>
      <c r="CF41" s="358"/>
      <c r="CG41" s="358"/>
      <c r="CH41" s="164" t="b">
        <v>0</v>
      </c>
      <c r="CI41" s="164" t="b">
        <v>0</v>
      </c>
      <c r="CJ41" s="358" t="e">
        <f>(CE41-BV41)/BV41</f>
        <v>#DIV/0!</v>
      </c>
      <c r="CK41" s="358" t="e">
        <f>(CD41-BS41)/BS41</f>
        <v>#DIV/0!</v>
      </c>
      <c r="CL41" s="402">
        <f>CO41 + ABS(CM41) + ABS(CN41)</f>
        <v>0</v>
      </c>
      <c r="CM41" s="402"/>
      <c r="CN41" s="402"/>
      <c r="CO41" s="402"/>
      <c r="CP41" s="358"/>
      <c r="CQ41" s="358"/>
      <c r="CR41" s="358"/>
      <c r="CS41" s="164" t="b">
        <v>0</v>
      </c>
      <c r="CT41" s="164" t="b">
        <v>0</v>
      </c>
      <c r="CU41" s="358" t="e">
        <f>(CP41-CE41)/CE41</f>
        <v>#DIV/0!</v>
      </c>
      <c r="CV41" s="358" t="e">
        <f>(CO41-CD41)/CD41</f>
        <v>#DIV/0!</v>
      </c>
      <c r="CW41" s="402">
        <f>CZ41 + ABS(CX41) + ABS(CY41)</f>
        <v>0</v>
      </c>
      <c r="CX41" s="402"/>
      <c r="CY41" s="402"/>
      <c r="CZ41" s="402"/>
      <c r="DA41" s="358"/>
      <c r="DB41" s="358"/>
      <c r="DC41" s="358"/>
      <c r="DD41" s="164" t="b">
        <v>0</v>
      </c>
      <c r="DE41" s="164" t="b">
        <v>0</v>
      </c>
      <c r="DF41" s="358" t="e">
        <f>(DA41-CR41)/CR41</f>
        <v>#DIV/0!</v>
      </c>
      <c r="DG41" s="358" t="e">
        <f>(CZ41-CO41)/CO41</f>
        <v>#DIV/0!</v>
      </c>
      <c r="DH41" s="402">
        <f>DK41 + ABS(DI41) + ABS(DJ41)</f>
        <v>0</v>
      </c>
      <c r="DI41" s="402"/>
      <c r="DJ41" s="402"/>
      <c r="DK41" s="402"/>
      <c r="DL41" s="358"/>
      <c r="DM41" s="358"/>
      <c r="DN41" s="358"/>
      <c r="DO41" s="164" t="b">
        <v>0</v>
      </c>
      <c r="DP41" s="164" t="b">
        <v>0</v>
      </c>
      <c r="DQ41" s="358" t="e">
        <f>(DL41-DA41)/DA41</f>
        <v>#DIV/0!</v>
      </c>
      <c r="DR41" s="358" t="e">
        <f>(DK41-CZ41)/CZ41</f>
        <v>#DIV/0!</v>
      </c>
      <c r="DS41" s="402">
        <f>DV41 + ABS(DT41) + ABS(DU41)</f>
        <v>0</v>
      </c>
      <c r="DT41" s="402"/>
      <c r="DU41" s="402"/>
      <c r="DV41" s="402"/>
      <c r="DW41" s="358"/>
      <c r="DX41" s="358"/>
      <c r="DY41" s="358"/>
      <c r="DZ41" s="164" t="b">
        <v>0</v>
      </c>
      <c r="EA41" s="164" t="b">
        <v>0</v>
      </c>
      <c r="EB41" s="358" t="e">
        <f>(DW41-DN41)/DN41</f>
        <v>#DIV/0!</v>
      </c>
      <c r="EC41" s="358" t="e">
        <f>(DV41-DK41)/DK41</f>
        <v>#DIV/0!</v>
      </c>
      <c r="ED41" s="402">
        <f>EG41 + ABS(EE41) + ABS(EF41)</f>
        <v>0</v>
      </c>
      <c r="EE41" s="402"/>
      <c r="EF41" s="402"/>
      <c r="EG41" s="402"/>
      <c r="EH41" s="358"/>
      <c r="EI41" s="358"/>
      <c r="EJ41" s="358"/>
      <c r="EK41" s="164" t="b">
        <v>0</v>
      </c>
      <c r="EL41" s="164" t="b">
        <v>0</v>
      </c>
      <c r="EM41" s="358" t="e">
        <f>(EH41-DW41)/DW41</f>
        <v>#DIV/0!</v>
      </c>
      <c r="EN41" s="358" t="e">
        <f>(EG41-DV41)/DV41</f>
        <v>#DIV/0!</v>
      </c>
      <c r="EO41" s="402">
        <f>ER41 + ABS(EP41) + ABS(EQ41)</f>
        <v>0</v>
      </c>
      <c r="EP41" s="402"/>
      <c r="EQ41" s="402"/>
      <c r="ER41" s="402"/>
      <c r="ES41" s="358"/>
      <c r="ET41" s="358"/>
      <c r="EU41" s="358"/>
      <c r="EV41" s="164" t="b">
        <v>0</v>
      </c>
      <c r="EW41" s="164" t="b">
        <v>0</v>
      </c>
      <c r="EX41" s="358" t="e">
        <f>(ES41-EJ41)/EJ41</f>
        <v>#DIV/0!</v>
      </c>
      <c r="EY41" s="358" t="e">
        <f>(ER41-EG41)/EG41</f>
        <v>#DIV/0!</v>
      </c>
      <c r="EZ41" s="449"/>
      <c r="FA41" s="449"/>
      <c r="FB41" s="449"/>
      <c r="FC41" s="449"/>
      <c r="FD41" s="449"/>
      <c r="FE41" s="449"/>
      <c r="FF41" s="449"/>
      <c r="FG41" s="449"/>
      <c r="FH41" s="449"/>
      <c r="FI41" s="449"/>
      <c r="FJ41" s="449"/>
      <c r="FK41" s="449"/>
      <c r="FL41" s="449"/>
      <c r="FM41" s="449"/>
      <c r="FN41" s="175"/>
      <c r="FO41" s="175"/>
      <c r="FP41" s="175"/>
      <c r="FQ41" s="801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</row>
    <row r="42" spans="1:221" ht="15">
      <c r="B42" s="175"/>
      <c r="C42" s="802" t="s">
        <v>267</v>
      </c>
      <c r="D42" s="154">
        <v>1450022</v>
      </c>
      <c r="E42" s="154">
        <v>97</v>
      </c>
      <c r="F42" s="154" t="s">
        <v>268</v>
      </c>
      <c r="G42" s="255" t="s">
        <v>269</v>
      </c>
      <c r="H42" s="171" t="s">
        <v>169</v>
      </c>
      <c r="I42" s="445" t="s">
        <v>170</v>
      </c>
      <c r="J42" s="154"/>
      <c r="K42" s="154"/>
      <c r="L42" s="154"/>
      <c r="M42" s="176"/>
      <c r="N42" s="418">
        <v>107</v>
      </c>
      <c r="O42" s="176"/>
      <c r="P42" s="203">
        <v>3543.33</v>
      </c>
      <c r="Q42" s="203"/>
      <c r="R42" s="203">
        <v>70276.06</v>
      </c>
      <c r="S42" s="176">
        <v>2479</v>
      </c>
      <c r="T42" s="188" t="s">
        <v>171</v>
      </c>
      <c r="U42" s="176"/>
      <c r="V42" s="176"/>
      <c r="W42" s="176"/>
      <c r="X42" s="203">
        <f t="shared" si="4"/>
        <v>83358.989999999991</v>
      </c>
      <c r="Y42" s="203">
        <v>-4001.23</v>
      </c>
      <c r="Z42" s="203">
        <v>0</v>
      </c>
      <c r="AA42" s="203">
        <v>79357.759999999995</v>
      </c>
      <c r="AB42" s="446">
        <v>2763</v>
      </c>
      <c r="AC42" s="444" t="s">
        <v>172</v>
      </c>
      <c r="AD42" s="444" t="s">
        <v>173</v>
      </c>
      <c r="AE42" s="177" t="b">
        <v>1</v>
      </c>
      <c r="AF42" s="177" t="b">
        <v>1</v>
      </c>
      <c r="AG42" s="392">
        <f>(AB42-S42)/S42</f>
        <v>0.1145623235175474</v>
      </c>
      <c r="AH42" s="392">
        <f>(AA42-R42)/R42</f>
        <v>0.12922892945335862</v>
      </c>
      <c r="AI42" s="203">
        <f t="shared" si="2"/>
        <v>73804.97</v>
      </c>
      <c r="AJ42" s="368">
        <v>-3542.64</v>
      </c>
      <c r="AK42" s="368">
        <v>0</v>
      </c>
      <c r="AL42" s="368">
        <v>70262.33</v>
      </c>
      <c r="AM42" s="1068">
        <v>2364</v>
      </c>
      <c r="AN42" s="172">
        <v>46122</v>
      </c>
      <c r="AO42" s="171" t="s">
        <v>174</v>
      </c>
      <c r="AP42" s="861" t="b">
        <v>1</v>
      </c>
      <c r="AQ42" s="861" t="b">
        <v>1</v>
      </c>
      <c r="AR42" s="392">
        <f t="shared" si="5"/>
        <v>-0.14440825190010859</v>
      </c>
      <c r="AS42" s="392">
        <f>(AL42-AA42)/AA42</f>
        <v>-0.11461298806821152</v>
      </c>
      <c r="AT42" s="203">
        <f t="shared" si="3"/>
        <v>0</v>
      </c>
      <c r="AU42" s="203"/>
      <c r="AV42" s="203"/>
      <c r="AW42" s="203"/>
      <c r="AX42" s="176"/>
      <c r="AY42" s="176"/>
      <c r="AZ42" s="176"/>
      <c r="BA42" s="177" t="b">
        <v>0</v>
      </c>
      <c r="BB42" s="177" t="b">
        <v>0</v>
      </c>
      <c r="BC42" s="176">
        <f>(AX42-AM42)/AM42</f>
        <v>-1</v>
      </c>
      <c r="BD42" s="176">
        <f>(AW42-AL42)/AL42</f>
        <v>-1</v>
      </c>
      <c r="BE42" s="203">
        <f>BH42 + ABS(BF42) + ABS(BG42)</f>
        <v>0</v>
      </c>
      <c r="BF42" s="203"/>
      <c r="BG42" s="203"/>
      <c r="BH42" s="203"/>
      <c r="BI42" s="176"/>
      <c r="BJ42" s="176"/>
      <c r="BK42" s="176"/>
      <c r="BL42" s="177" t="b">
        <v>0</v>
      </c>
      <c r="BM42" s="177" t="b">
        <v>0</v>
      </c>
      <c r="BN42" s="176" t="e">
        <f>(BI42-AZ42)/AZ42</f>
        <v>#DIV/0!</v>
      </c>
      <c r="BO42" s="176" t="e">
        <f>(BH42-AW42)/AW42</f>
        <v>#DIV/0!</v>
      </c>
      <c r="BP42" s="203">
        <f>BS42 + ABS(BQ42) + ABS(BR42)</f>
        <v>0</v>
      </c>
      <c r="BQ42" s="203"/>
      <c r="BR42" s="203"/>
      <c r="BS42" s="203"/>
      <c r="BT42" s="176"/>
      <c r="BU42" s="176"/>
      <c r="BV42" s="176"/>
      <c r="BW42" s="177" t="b">
        <v>0</v>
      </c>
      <c r="BX42" s="177" t="b">
        <v>0</v>
      </c>
      <c r="BY42" s="176" t="e">
        <f>(BT42-BI42)/BI42</f>
        <v>#DIV/0!</v>
      </c>
      <c r="BZ42" s="176" t="e">
        <f>(BS42-BH42)/BH42</f>
        <v>#DIV/0!</v>
      </c>
      <c r="CA42" s="203">
        <f>CD42 + ABS(CB42) + ABS(CC42)</f>
        <v>0</v>
      </c>
      <c r="CB42" s="203"/>
      <c r="CC42" s="203"/>
      <c r="CD42" s="203"/>
      <c r="CE42" s="176"/>
      <c r="CF42" s="176"/>
      <c r="CG42" s="176"/>
      <c r="CH42" s="177" t="b">
        <v>0</v>
      </c>
      <c r="CI42" s="177" t="b">
        <v>0</v>
      </c>
      <c r="CJ42" s="176" t="e">
        <f>(CE42-BV42)/BV42</f>
        <v>#DIV/0!</v>
      </c>
      <c r="CK42" s="176" t="e">
        <f>(CD42-BS42)/BS42</f>
        <v>#DIV/0!</v>
      </c>
      <c r="CL42" s="203">
        <f>CO42 + ABS(CM42) + ABS(CN42)</f>
        <v>0</v>
      </c>
      <c r="CM42" s="203"/>
      <c r="CN42" s="203"/>
      <c r="CO42" s="203"/>
      <c r="CP42" s="176"/>
      <c r="CQ42" s="176"/>
      <c r="CR42" s="176"/>
      <c r="CS42" s="177" t="b">
        <v>0</v>
      </c>
      <c r="CT42" s="177" t="b">
        <v>0</v>
      </c>
      <c r="CU42" s="176" t="e">
        <f>(CP42-CE42)/CE42</f>
        <v>#DIV/0!</v>
      </c>
      <c r="CV42" s="176" t="e">
        <f>(CO42-CD42)/CD42</f>
        <v>#DIV/0!</v>
      </c>
      <c r="CW42" s="203">
        <f>CZ42 + ABS(CX42) + ABS(CY42)</f>
        <v>0</v>
      </c>
      <c r="CX42" s="203"/>
      <c r="CY42" s="203"/>
      <c r="CZ42" s="203"/>
      <c r="DA42" s="176"/>
      <c r="DB42" s="176"/>
      <c r="DC42" s="176"/>
      <c r="DD42" s="177" t="b">
        <v>0</v>
      </c>
      <c r="DE42" s="177" t="b">
        <v>0</v>
      </c>
      <c r="DF42" s="176" t="e">
        <f>(DA42-CR42)/CR42</f>
        <v>#DIV/0!</v>
      </c>
      <c r="DG42" s="176" t="e">
        <f>(CZ42-CO42)/CO42</f>
        <v>#DIV/0!</v>
      </c>
      <c r="DH42" s="203">
        <f>DK42 + ABS(DI42) + ABS(DJ42)</f>
        <v>0</v>
      </c>
      <c r="DI42" s="203"/>
      <c r="DJ42" s="203"/>
      <c r="DK42" s="203"/>
      <c r="DL42" s="176"/>
      <c r="DM42" s="176"/>
      <c r="DN42" s="176"/>
      <c r="DO42" s="177" t="b">
        <v>0</v>
      </c>
      <c r="DP42" s="177" t="b">
        <v>0</v>
      </c>
      <c r="DQ42" s="176" t="e">
        <f>(DL42-DA42)/DA42</f>
        <v>#DIV/0!</v>
      </c>
      <c r="DR42" s="176" t="e">
        <f>(DK42-CZ42)/CZ42</f>
        <v>#DIV/0!</v>
      </c>
      <c r="DS42" s="203">
        <f>DV42 + ABS(DT42) + ABS(DU42)</f>
        <v>0</v>
      </c>
      <c r="DT42" s="203"/>
      <c r="DU42" s="203"/>
      <c r="DV42" s="203"/>
      <c r="DW42" s="176"/>
      <c r="DX42" s="176"/>
      <c r="DY42" s="176"/>
      <c r="DZ42" s="177" t="b">
        <v>0</v>
      </c>
      <c r="EA42" s="177" t="b">
        <v>0</v>
      </c>
      <c r="EB42" s="176" t="e">
        <f>(DW42-DN42)/DN42</f>
        <v>#DIV/0!</v>
      </c>
      <c r="EC42" s="176" t="e">
        <f>(DV42-DK42)/DK42</f>
        <v>#DIV/0!</v>
      </c>
      <c r="ED42" s="203">
        <f>EG42 + ABS(EE42) + ABS(EF42)</f>
        <v>0</v>
      </c>
      <c r="EE42" s="203"/>
      <c r="EF42" s="203"/>
      <c r="EG42" s="203"/>
      <c r="EH42" s="176"/>
      <c r="EI42" s="176"/>
      <c r="EJ42" s="176"/>
      <c r="EK42" s="177" t="b">
        <v>0</v>
      </c>
      <c r="EL42" s="177" t="b">
        <v>0</v>
      </c>
      <c r="EM42" s="176" t="e">
        <f>(EH42-DW42)/DW42</f>
        <v>#DIV/0!</v>
      </c>
      <c r="EN42" s="176" t="e">
        <f>(EG42-DV42)/DV42</f>
        <v>#DIV/0!</v>
      </c>
      <c r="EO42" s="203">
        <f>ER42 + ABS(EP42) + ABS(EQ42)</f>
        <v>0</v>
      </c>
      <c r="EP42" s="203"/>
      <c r="EQ42" s="203"/>
      <c r="ER42" s="203"/>
      <c r="ES42" s="176"/>
      <c r="ET42" s="176"/>
      <c r="EU42" s="176"/>
      <c r="EV42" s="177" t="b">
        <v>0</v>
      </c>
      <c r="EW42" s="177" t="b">
        <v>0</v>
      </c>
      <c r="EX42" s="176" t="e">
        <f>(ES42-EJ42)/EJ42</f>
        <v>#DIV/0!</v>
      </c>
      <c r="EY42" s="176" t="e">
        <f>(ER42-EG42)/EG42</f>
        <v>#DIV/0!</v>
      </c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801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</row>
    <row r="43" spans="1:221" ht="15">
      <c r="B43" s="175"/>
      <c r="C43" s="800" t="s">
        <v>270</v>
      </c>
      <c r="D43" s="357">
        <v>1450022</v>
      </c>
      <c r="E43" s="357">
        <v>26</v>
      </c>
      <c r="F43" s="357" t="s">
        <v>271</v>
      </c>
      <c r="G43" s="426" t="s">
        <v>272</v>
      </c>
      <c r="H43" s="148" t="s">
        <v>169</v>
      </c>
      <c r="I43" s="448" t="s">
        <v>170</v>
      </c>
      <c r="J43" s="357"/>
      <c r="K43" s="357"/>
      <c r="L43" s="357"/>
      <c r="M43" s="358"/>
      <c r="N43" s="359">
        <v>107</v>
      </c>
      <c r="O43" s="358"/>
      <c r="P43" s="402">
        <v>70494.5</v>
      </c>
      <c r="Q43" s="402"/>
      <c r="R43" s="402">
        <v>1398140.91</v>
      </c>
      <c r="S43" s="358">
        <v>48581</v>
      </c>
      <c r="T43" s="188" t="s">
        <v>171</v>
      </c>
      <c r="U43" s="358"/>
      <c r="V43" s="358"/>
      <c r="W43" s="358"/>
      <c r="X43" s="402">
        <f t="shared" si="4"/>
        <v>862627.76</v>
      </c>
      <c r="Y43" s="402">
        <v>-41406.129999999997</v>
      </c>
      <c r="Z43" s="402">
        <v>0</v>
      </c>
      <c r="AA43" s="402">
        <v>821221.63</v>
      </c>
      <c r="AB43" s="450">
        <v>28551</v>
      </c>
      <c r="AC43" s="173" t="s">
        <v>172</v>
      </c>
      <c r="AD43" s="173" t="s">
        <v>173</v>
      </c>
      <c r="AE43" s="164" t="b">
        <v>1</v>
      </c>
      <c r="AF43" s="164" t="b">
        <v>1</v>
      </c>
      <c r="AG43" s="409">
        <f>(AB43-S43)/S43</f>
        <v>-0.41230110537041231</v>
      </c>
      <c r="AH43" s="409">
        <f>(AA43-R43)/R43</f>
        <v>-0.41263314439458032</v>
      </c>
      <c r="AI43" s="402">
        <f t="shared" si="2"/>
        <v>830939.87</v>
      </c>
      <c r="AJ43" s="364">
        <v>-39885.11</v>
      </c>
      <c r="AK43" s="364">
        <v>0</v>
      </c>
      <c r="AL43" s="364">
        <v>791054.76</v>
      </c>
      <c r="AM43" s="1069">
        <v>26603</v>
      </c>
      <c r="AN43" s="407">
        <v>46122</v>
      </c>
      <c r="AO43" s="148" t="s">
        <v>174</v>
      </c>
      <c r="AP43" s="860" t="b">
        <v>1</v>
      </c>
      <c r="AQ43" s="860" t="b">
        <v>1</v>
      </c>
      <c r="AR43" s="409">
        <f t="shared" si="5"/>
        <v>-6.8228783580259883E-2</v>
      </c>
      <c r="AS43" s="409">
        <f>(AL43-AA43)/AA43</f>
        <v>-3.6734139601266952E-2</v>
      </c>
      <c r="AT43" s="402">
        <f t="shared" si="3"/>
        <v>0</v>
      </c>
      <c r="AU43" s="402"/>
      <c r="AV43" s="402"/>
      <c r="AW43" s="402"/>
      <c r="AX43" s="358"/>
      <c r="AY43" s="358"/>
      <c r="AZ43" s="358"/>
      <c r="BA43" s="164" t="b">
        <v>0</v>
      </c>
      <c r="BB43" s="164" t="b">
        <v>0</v>
      </c>
      <c r="BC43" s="358">
        <f>(AX43-AM43)/AM43</f>
        <v>-1</v>
      </c>
      <c r="BD43" s="358">
        <f>(AW43-AL43)/AL43</f>
        <v>-1</v>
      </c>
      <c r="BE43" s="402">
        <f>BH43 + ABS(BF43) + ABS(BG43)</f>
        <v>0</v>
      </c>
      <c r="BF43" s="402"/>
      <c r="BG43" s="402"/>
      <c r="BH43" s="402"/>
      <c r="BI43" s="358"/>
      <c r="BJ43" s="358"/>
      <c r="BK43" s="358"/>
      <c r="BL43" s="164" t="b">
        <v>0</v>
      </c>
      <c r="BM43" s="164" t="b">
        <v>0</v>
      </c>
      <c r="BN43" s="358" t="e">
        <f>(BI43-AZ43)/AZ43</f>
        <v>#DIV/0!</v>
      </c>
      <c r="BO43" s="358" t="e">
        <f>(BH43-AW43)/AW43</f>
        <v>#DIV/0!</v>
      </c>
      <c r="BP43" s="402">
        <f>BS43 + ABS(BQ43) + ABS(BR43)</f>
        <v>0</v>
      </c>
      <c r="BQ43" s="402"/>
      <c r="BR43" s="402"/>
      <c r="BS43" s="402"/>
      <c r="BT43" s="358"/>
      <c r="BU43" s="358"/>
      <c r="BV43" s="358"/>
      <c r="BW43" s="164" t="b">
        <v>0</v>
      </c>
      <c r="BX43" s="164" t="b">
        <v>0</v>
      </c>
      <c r="BY43" s="358" t="e">
        <f>(BT43-BI43)/BI43</f>
        <v>#DIV/0!</v>
      </c>
      <c r="BZ43" s="358" t="e">
        <f>(BS43-BH43)/BH43</f>
        <v>#DIV/0!</v>
      </c>
      <c r="CA43" s="402">
        <f>CD43 + ABS(CB43) + ABS(CC43)</f>
        <v>0</v>
      </c>
      <c r="CB43" s="402"/>
      <c r="CC43" s="402"/>
      <c r="CD43" s="402"/>
      <c r="CE43" s="358"/>
      <c r="CF43" s="358"/>
      <c r="CG43" s="358"/>
      <c r="CH43" s="164" t="b">
        <v>0</v>
      </c>
      <c r="CI43" s="164" t="b">
        <v>0</v>
      </c>
      <c r="CJ43" s="358" t="e">
        <f>(CE43-BV43)/BV43</f>
        <v>#DIV/0!</v>
      </c>
      <c r="CK43" s="358" t="e">
        <f>(CD43-BS43)/BS43</f>
        <v>#DIV/0!</v>
      </c>
      <c r="CL43" s="402">
        <f>CO43 + ABS(CM43) + ABS(CN43)</f>
        <v>0</v>
      </c>
      <c r="CM43" s="402"/>
      <c r="CN43" s="402"/>
      <c r="CO43" s="402"/>
      <c r="CP43" s="358"/>
      <c r="CQ43" s="358"/>
      <c r="CR43" s="358"/>
      <c r="CS43" s="164" t="b">
        <v>0</v>
      </c>
      <c r="CT43" s="164" t="b">
        <v>0</v>
      </c>
      <c r="CU43" s="358" t="e">
        <f>(CP43-CE43)/CE43</f>
        <v>#DIV/0!</v>
      </c>
      <c r="CV43" s="358" t="e">
        <f>(CO43-CD43)/CD43</f>
        <v>#DIV/0!</v>
      </c>
      <c r="CW43" s="402">
        <f>CZ43 + ABS(CX43) + ABS(CY43)</f>
        <v>0</v>
      </c>
      <c r="CX43" s="402"/>
      <c r="CY43" s="402"/>
      <c r="CZ43" s="402"/>
      <c r="DA43" s="358"/>
      <c r="DB43" s="358"/>
      <c r="DC43" s="358"/>
      <c r="DD43" s="164" t="b">
        <v>0</v>
      </c>
      <c r="DE43" s="164" t="b">
        <v>0</v>
      </c>
      <c r="DF43" s="358" t="e">
        <f>(DA43-CR43)/CR43</f>
        <v>#DIV/0!</v>
      </c>
      <c r="DG43" s="358" t="e">
        <f>(CZ43-CO43)/CO43</f>
        <v>#DIV/0!</v>
      </c>
      <c r="DH43" s="402">
        <f>DK43 + ABS(DI43) + ABS(DJ43)</f>
        <v>0</v>
      </c>
      <c r="DI43" s="402"/>
      <c r="DJ43" s="402"/>
      <c r="DK43" s="402"/>
      <c r="DL43" s="358"/>
      <c r="DM43" s="358"/>
      <c r="DN43" s="358"/>
      <c r="DO43" s="164" t="b">
        <v>0</v>
      </c>
      <c r="DP43" s="164" t="b">
        <v>0</v>
      </c>
      <c r="DQ43" s="358" t="e">
        <f>(DL43-DA43)/DA43</f>
        <v>#DIV/0!</v>
      </c>
      <c r="DR43" s="358" t="e">
        <f>(DK43-CZ43)/CZ43</f>
        <v>#DIV/0!</v>
      </c>
      <c r="DS43" s="402">
        <f>DV43 + ABS(DT43) + ABS(DU43)</f>
        <v>0</v>
      </c>
      <c r="DT43" s="402"/>
      <c r="DU43" s="402"/>
      <c r="DV43" s="402"/>
      <c r="DW43" s="358"/>
      <c r="DX43" s="358"/>
      <c r="DY43" s="358"/>
      <c r="DZ43" s="164" t="b">
        <v>0</v>
      </c>
      <c r="EA43" s="164" t="b">
        <v>0</v>
      </c>
      <c r="EB43" s="358" t="e">
        <f>(DW43-DN43)/DN43</f>
        <v>#DIV/0!</v>
      </c>
      <c r="EC43" s="358" t="e">
        <f>(DV43-DK43)/DK43</f>
        <v>#DIV/0!</v>
      </c>
      <c r="ED43" s="402">
        <f>EG43 + ABS(EE43) + ABS(EF43)</f>
        <v>0</v>
      </c>
      <c r="EE43" s="402"/>
      <c r="EF43" s="402"/>
      <c r="EG43" s="402"/>
      <c r="EH43" s="358"/>
      <c r="EI43" s="358"/>
      <c r="EJ43" s="358"/>
      <c r="EK43" s="164" t="b">
        <v>0</v>
      </c>
      <c r="EL43" s="164" t="b">
        <v>0</v>
      </c>
      <c r="EM43" s="358" t="e">
        <f>(EH43-DW43)/DW43</f>
        <v>#DIV/0!</v>
      </c>
      <c r="EN43" s="358" t="e">
        <f>(EG43-DV43)/DV43</f>
        <v>#DIV/0!</v>
      </c>
      <c r="EO43" s="402">
        <f>ER43 + ABS(EP43) + ABS(EQ43)</f>
        <v>0</v>
      </c>
      <c r="EP43" s="402"/>
      <c r="EQ43" s="402"/>
      <c r="ER43" s="402"/>
      <c r="ES43" s="358"/>
      <c r="ET43" s="358"/>
      <c r="EU43" s="358"/>
      <c r="EV43" s="164" t="b">
        <v>0</v>
      </c>
      <c r="EW43" s="164" t="b">
        <v>0</v>
      </c>
      <c r="EX43" s="358" t="e">
        <f>(ES43-EJ43)/EJ43</f>
        <v>#DIV/0!</v>
      </c>
      <c r="EY43" s="358" t="e">
        <f>(ER43-EG43)/EG43</f>
        <v>#DIV/0!</v>
      </c>
      <c r="EZ43" s="449"/>
      <c r="FA43" s="449"/>
      <c r="FB43" s="449"/>
      <c r="FC43" s="449"/>
      <c r="FD43" s="449"/>
      <c r="FE43" s="449"/>
      <c r="FF43" s="449"/>
      <c r="FG43" s="449"/>
      <c r="FH43" s="449"/>
      <c r="FI43" s="449"/>
      <c r="FJ43" s="449"/>
      <c r="FK43" s="449"/>
      <c r="FL43" s="449"/>
      <c r="FM43" s="449"/>
      <c r="FN43" s="175"/>
      <c r="FO43" s="175"/>
      <c r="FP43" s="175"/>
      <c r="FQ43" s="801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</row>
    <row r="44" spans="1:221" ht="15">
      <c r="B44" s="175"/>
      <c r="C44" s="802" t="s">
        <v>273</v>
      </c>
      <c r="D44" s="154">
        <v>1450022</v>
      </c>
      <c r="E44" s="154">
        <v>157</v>
      </c>
      <c r="F44" s="154" t="s">
        <v>274</v>
      </c>
      <c r="G44" s="255" t="s">
        <v>275</v>
      </c>
      <c r="H44" s="171" t="s">
        <v>169</v>
      </c>
      <c r="I44" s="445" t="s">
        <v>170</v>
      </c>
      <c r="J44" s="154"/>
      <c r="K44" s="154"/>
      <c r="L44" s="154"/>
      <c r="M44" s="176"/>
      <c r="N44" s="418">
        <v>107</v>
      </c>
      <c r="O44" s="176"/>
      <c r="P44" s="203">
        <v>416.66</v>
      </c>
      <c r="Q44" s="203"/>
      <c r="R44" s="203">
        <v>8263.7199999999993</v>
      </c>
      <c r="S44" s="176">
        <v>326</v>
      </c>
      <c r="T44" s="188" t="s">
        <v>171</v>
      </c>
      <c r="U44" s="176"/>
      <c r="V44" s="176"/>
      <c r="W44" s="176"/>
      <c r="X44" s="203">
        <f t="shared" si="4"/>
        <v>10465.43</v>
      </c>
      <c r="Y44" s="203">
        <v>-502.34</v>
      </c>
      <c r="Z44" s="203">
        <v>0</v>
      </c>
      <c r="AA44" s="203">
        <v>9963.09</v>
      </c>
      <c r="AB44" s="154">
        <v>385</v>
      </c>
      <c r="AC44" s="444" t="s">
        <v>172</v>
      </c>
      <c r="AD44" s="444" t="s">
        <v>173</v>
      </c>
      <c r="AE44" s="177" t="b">
        <v>1</v>
      </c>
      <c r="AF44" s="177" t="b">
        <v>1</v>
      </c>
      <c r="AG44" s="392">
        <f>(AB44-S44)/S44</f>
        <v>0.18098159509202455</v>
      </c>
      <c r="AH44" s="392">
        <f>(AA44-R44)/R44</f>
        <v>0.20564225312571105</v>
      </c>
      <c r="AI44" s="203">
        <f t="shared" si="2"/>
        <v>8610.2300000000014</v>
      </c>
      <c r="AJ44" s="368">
        <v>-413.29</v>
      </c>
      <c r="AK44" s="368">
        <v>0</v>
      </c>
      <c r="AL44" s="368">
        <v>8196.94</v>
      </c>
      <c r="AM44" s="1068">
        <v>311</v>
      </c>
      <c r="AN44" s="172">
        <v>46122</v>
      </c>
      <c r="AO44" s="171" t="s">
        <v>174</v>
      </c>
      <c r="AP44" s="861" t="b">
        <v>1</v>
      </c>
      <c r="AQ44" s="861" t="b">
        <v>1</v>
      </c>
      <c r="AR44" s="392">
        <f t="shared" si="5"/>
        <v>-0.19220779220779222</v>
      </c>
      <c r="AS44" s="392">
        <f>(AL44-AA44)/AA44</f>
        <v>-0.17726930098995389</v>
      </c>
      <c r="AT44" s="203">
        <f t="shared" si="3"/>
        <v>0</v>
      </c>
      <c r="AU44" s="203"/>
      <c r="AV44" s="203"/>
      <c r="AW44" s="203"/>
      <c r="AX44" s="176"/>
      <c r="AY44" s="176"/>
      <c r="AZ44" s="176"/>
      <c r="BA44" s="177" t="b">
        <v>0</v>
      </c>
      <c r="BB44" s="177" t="b">
        <v>0</v>
      </c>
      <c r="BC44" s="176">
        <f>(AX44-AM44)/AM44</f>
        <v>-1</v>
      </c>
      <c r="BD44" s="176">
        <f>(AW44-AL44)/AL44</f>
        <v>-1</v>
      </c>
      <c r="BE44" s="203">
        <f>BH44 + ABS(BF44) + ABS(BG44)</f>
        <v>0</v>
      </c>
      <c r="BF44" s="203"/>
      <c r="BG44" s="203"/>
      <c r="BH44" s="203"/>
      <c r="BI44" s="176"/>
      <c r="BJ44" s="176"/>
      <c r="BK44" s="176"/>
      <c r="BL44" s="177" t="b">
        <v>0</v>
      </c>
      <c r="BM44" s="177" t="b">
        <v>0</v>
      </c>
      <c r="BN44" s="176" t="e">
        <f>(BI44-AZ44)/AZ44</f>
        <v>#DIV/0!</v>
      </c>
      <c r="BO44" s="176" t="e">
        <f>(BH44-AW44)/AW44</f>
        <v>#DIV/0!</v>
      </c>
      <c r="BP44" s="203">
        <f>BS44 + ABS(BQ44) + ABS(BR44)</f>
        <v>0</v>
      </c>
      <c r="BQ44" s="203"/>
      <c r="BR44" s="203"/>
      <c r="BS44" s="203"/>
      <c r="BT44" s="176"/>
      <c r="BU44" s="176"/>
      <c r="BV44" s="176"/>
      <c r="BW44" s="177" t="b">
        <v>0</v>
      </c>
      <c r="BX44" s="177" t="b">
        <v>0</v>
      </c>
      <c r="BY44" s="176" t="e">
        <f>(BT44-BI44)/BI44</f>
        <v>#DIV/0!</v>
      </c>
      <c r="BZ44" s="176" t="e">
        <f>(BS44-BH44)/BH44</f>
        <v>#DIV/0!</v>
      </c>
      <c r="CA44" s="203">
        <f>CD44 + ABS(CB44) + ABS(CC44)</f>
        <v>0</v>
      </c>
      <c r="CB44" s="203"/>
      <c r="CC44" s="203"/>
      <c r="CD44" s="203"/>
      <c r="CE44" s="176"/>
      <c r="CF44" s="176"/>
      <c r="CG44" s="176"/>
      <c r="CH44" s="177" t="b">
        <v>0</v>
      </c>
      <c r="CI44" s="177" t="b">
        <v>0</v>
      </c>
      <c r="CJ44" s="176" t="e">
        <f>(CE44-BV44)/BV44</f>
        <v>#DIV/0!</v>
      </c>
      <c r="CK44" s="176" t="e">
        <f>(CD44-BS44)/BS44</f>
        <v>#DIV/0!</v>
      </c>
      <c r="CL44" s="203">
        <f>CO44 + ABS(CM44) + ABS(CN44)</f>
        <v>0</v>
      </c>
      <c r="CM44" s="203"/>
      <c r="CN44" s="203"/>
      <c r="CO44" s="203"/>
      <c r="CP44" s="176"/>
      <c r="CQ44" s="176"/>
      <c r="CR44" s="176"/>
      <c r="CS44" s="177" t="b">
        <v>0</v>
      </c>
      <c r="CT44" s="177" t="b">
        <v>0</v>
      </c>
      <c r="CU44" s="176" t="e">
        <f>(CP44-CE44)/CE44</f>
        <v>#DIV/0!</v>
      </c>
      <c r="CV44" s="176" t="e">
        <f>(CO44-CD44)/CD44</f>
        <v>#DIV/0!</v>
      </c>
      <c r="CW44" s="203">
        <f>CZ44 + ABS(CX44) + ABS(CY44)</f>
        <v>0</v>
      </c>
      <c r="CX44" s="203"/>
      <c r="CY44" s="203"/>
      <c r="CZ44" s="203"/>
      <c r="DA44" s="176"/>
      <c r="DB44" s="176"/>
      <c r="DC44" s="176"/>
      <c r="DD44" s="177" t="b">
        <v>0</v>
      </c>
      <c r="DE44" s="177" t="b">
        <v>0</v>
      </c>
      <c r="DF44" s="176" t="e">
        <f>(DA44-CR44)/CR44</f>
        <v>#DIV/0!</v>
      </c>
      <c r="DG44" s="176" t="e">
        <f>(CZ44-CO44)/CO44</f>
        <v>#DIV/0!</v>
      </c>
      <c r="DH44" s="203">
        <f>DK44 + ABS(DI44) + ABS(DJ44)</f>
        <v>0</v>
      </c>
      <c r="DI44" s="203"/>
      <c r="DJ44" s="203"/>
      <c r="DK44" s="203"/>
      <c r="DL44" s="176"/>
      <c r="DM44" s="176"/>
      <c r="DN44" s="176"/>
      <c r="DO44" s="177" t="b">
        <v>0</v>
      </c>
      <c r="DP44" s="177" t="b">
        <v>0</v>
      </c>
      <c r="DQ44" s="176" t="e">
        <f>(DL44-DA44)/DA44</f>
        <v>#DIV/0!</v>
      </c>
      <c r="DR44" s="176" t="e">
        <f>(DK44-CZ44)/CZ44</f>
        <v>#DIV/0!</v>
      </c>
      <c r="DS44" s="203">
        <f>DV44 + ABS(DT44) + ABS(DU44)</f>
        <v>0</v>
      </c>
      <c r="DT44" s="203"/>
      <c r="DU44" s="203"/>
      <c r="DV44" s="203"/>
      <c r="DW44" s="176"/>
      <c r="DX44" s="176"/>
      <c r="DY44" s="176"/>
      <c r="DZ44" s="177" t="b">
        <v>0</v>
      </c>
      <c r="EA44" s="177" t="b">
        <v>0</v>
      </c>
      <c r="EB44" s="176" t="e">
        <f>(DW44-DN44)/DN44</f>
        <v>#DIV/0!</v>
      </c>
      <c r="EC44" s="176" t="e">
        <f>(DV44-DK44)/DK44</f>
        <v>#DIV/0!</v>
      </c>
      <c r="ED44" s="203">
        <f>EG44 + ABS(EE44) + ABS(EF44)</f>
        <v>0</v>
      </c>
      <c r="EE44" s="203"/>
      <c r="EF44" s="203"/>
      <c r="EG44" s="203"/>
      <c r="EH44" s="176"/>
      <c r="EI44" s="176"/>
      <c r="EJ44" s="176"/>
      <c r="EK44" s="177" t="b">
        <v>0</v>
      </c>
      <c r="EL44" s="177" t="b">
        <v>0</v>
      </c>
      <c r="EM44" s="176" t="e">
        <f>(EH44-DW44)/DW44</f>
        <v>#DIV/0!</v>
      </c>
      <c r="EN44" s="176" t="e">
        <f>(EG44-DV44)/DV44</f>
        <v>#DIV/0!</v>
      </c>
      <c r="EO44" s="203">
        <f>ER44 + ABS(EP44) + ABS(EQ44)</f>
        <v>0</v>
      </c>
      <c r="EP44" s="203"/>
      <c r="EQ44" s="203"/>
      <c r="ER44" s="203"/>
      <c r="ES44" s="176"/>
      <c r="ET44" s="176"/>
      <c r="EU44" s="176"/>
      <c r="EV44" s="177" t="b">
        <v>0</v>
      </c>
      <c r="EW44" s="177" t="b">
        <v>0</v>
      </c>
      <c r="EX44" s="176" t="e">
        <f>(ES44-EJ44)/EJ44</f>
        <v>#DIV/0!</v>
      </c>
      <c r="EY44" s="176" t="e">
        <f>(ER44-EG44)/EG44</f>
        <v>#DIV/0!</v>
      </c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801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</row>
    <row r="45" spans="1:221" ht="15">
      <c r="B45" s="175"/>
      <c r="C45" s="802" t="s">
        <v>273</v>
      </c>
      <c r="D45" s="154">
        <v>1450022</v>
      </c>
      <c r="E45" s="154">
        <v>157</v>
      </c>
      <c r="F45" s="154" t="s">
        <v>276</v>
      </c>
      <c r="G45" s="255" t="s">
        <v>277</v>
      </c>
      <c r="H45" s="171" t="s">
        <v>169</v>
      </c>
      <c r="I45" s="445" t="s">
        <v>170</v>
      </c>
      <c r="J45" s="154"/>
      <c r="K45" s="154"/>
      <c r="L45" s="154"/>
      <c r="M45" s="176"/>
      <c r="N45" s="193">
        <v>107</v>
      </c>
      <c r="O45" s="176"/>
      <c r="P45" s="203">
        <v>540.1</v>
      </c>
      <c r="Q45" s="203"/>
      <c r="R45" s="203">
        <v>10711.96</v>
      </c>
      <c r="S45" s="176">
        <v>411</v>
      </c>
      <c r="T45" s="188" t="s">
        <v>171</v>
      </c>
      <c r="U45" s="176"/>
      <c r="V45" s="176"/>
      <c r="W45" s="176"/>
      <c r="X45" s="203">
        <f t="shared" si="4"/>
        <v>10949.51</v>
      </c>
      <c r="Y45" s="203">
        <v>-525.58000000000004</v>
      </c>
      <c r="Z45" s="203">
        <v>0</v>
      </c>
      <c r="AA45" s="203">
        <v>10423.93</v>
      </c>
      <c r="AB45" s="154">
        <v>401</v>
      </c>
      <c r="AC45" s="255" t="s">
        <v>172</v>
      </c>
      <c r="AD45" s="255" t="s">
        <v>173</v>
      </c>
      <c r="AE45" s="177" t="b">
        <v>1</v>
      </c>
      <c r="AF45" s="177" t="b">
        <v>1</v>
      </c>
      <c r="AG45" s="392">
        <f>(AB45-S45)/S45</f>
        <v>-2.4330900243309004E-2</v>
      </c>
      <c r="AH45" s="392">
        <f>(AA45-R45)/R45</f>
        <v>-2.6888636626723667E-2</v>
      </c>
      <c r="AI45" s="203">
        <f t="shared" si="2"/>
        <v>11457.8</v>
      </c>
      <c r="AJ45" s="368">
        <v>-549.97</v>
      </c>
      <c r="AK45" s="368">
        <v>0</v>
      </c>
      <c r="AL45" s="368">
        <v>10907.83</v>
      </c>
      <c r="AM45" s="1068">
        <v>401</v>
      </c>
      <c r="AN45" s="172">
        <v>46122</v>
      </c>
      <c r="AO45" s="171" t="s">
        <v>174</v>
      </c>
      <c r="AP45" s="861" t="b">
        <v>1</v>
      </c>
      <c r="AQ45" s="861" t="b">
        <v>1</v>
      </c>
      <c r="AR45" s="392">
        <f t="shared" si="5"/>
        <v>0</v>
      </c>
      <c r="AS45" s="392">
        <f>(AL45-AA45)/AA45</f>
        <v>4.6422030846331432E-2</v>
      </c>
      <c r="AT45" s="203">
        <f t="shared" si="3"/>
        <v>0</v>
      </c>
      <c r="AU45" s="203"/>
      <c r="AV45" s="203"/>
      <c r="AW45" s="203"/>
      <c r="AX45" s="176"/>
      <c r="AY45" s="176"/>
      <c r="AZ45" s="176"/>
      <c r="BA45" s="177" t="b">
        <v>0</v>
      </c>
      <c r="BB45" s="177" t="b">
        <v>0</v>
      </c>
      <c r="BC45" s="176">
        <f>(AX45-AM45)/AM45</f>
        <v>-1</v>
      </c>
      <c r="BD45" s="176">
        <f>(AW45-AL45)/AL45</f>
        <v>-1</v>
      </c>
      <c r="BE45" s="203">
        <f>BH45 + ABS(BF45) + ABS(BG45)</f>
        <v>0</v>
      </c>
      <c r="BF45" s="203"/>
      <c r="BG45" s="203"/>
      <c r="BH45" s="203"/>
      <c r="BI45" s="176"/>
      <c r="BJ45" s="176"/>
      <c r="BK45" s="176"/>
      <c r="BL45" s="177" t="b">
        <v>0</v>
      </c>
      <c r="BM45" s="177" t="b">
        <v>0</v>
      </c>
      <c r="BN45" s="176" t="e">
        <f>(BI45-AZ45)/AZ45</f>
        <v>#DIV/0!</v>
      </c>
      <c r="BO45" s="176" t="e">
        <f>(BH45-AW45)/AW45</f>
        <v>#DIV/0!</v>
      </c>
      <c r="BP45" s="203">
        <f>BS45 + ABS(BQ45) + ABS(BR45)</f>
        <v>0</v>
      </c>
      <c r="BQ45" s="203"/>
      <c r="BR45" s="203"/>
      <c r="BS45" s="203"/>
      <c r="BT45" s="176"/>
      <c r="BU45" s="176"/>
      <c r="BV45" s="176"/>
      <c r="BW45" s="177" t="b">
        <v>0</v>
      </c>
      <c r="BX45" s="177" t="b">
        <v>0</v>
      </c>
      <c r="BY45" s="176" t="e">
        <f>(BT45-BI45)/BI45</f>
        <v>#DIV/0!</v>
      </c>
      <c r="BZ45" s="176" t="e">
        <f>(BS45-BH45)/BH45</f>
        <v>#DIV/0!</v>
      </c>
      <c r="CA45" s="203">
        <f>CD45 + ABS(CB45) + ABS(CC45)</f>
        <v>0</v>
      </c>
      <c r="CB45" s="203"/>
      <c r="CC45" s="203"/>
      <c r="CD45" s="203"/>
      <c r="CE45" s="176"/>
      <c r="CF45" s="176"/>
      <c r="CG45" s="176"/>
      <c r="CH45" s="177" t="b">
        <v>0</v>
      </c>
      <c r="CI45" s="177" t="b">
        <v>0</v>
      </c>
      <c r="CJ45" s="176" t="e">
        <f>(CE45-BV45)/BV45</f>
        <v>#DIV/0!</v>
      </c>
      <c r="CK45" s="176" t="e">
        <f>(CD45-BS45)/BS45</f>
        <v>#DIV/0!</v>
      </c>
      <c r="CL45" s="203">
        <f>CO45 + ABS(CM45) + ABS(CN45)</f>
        <v>0</v>
      </c>
      <c r="CM45" s="203"/>
      <c r="CN45" s="203"/>
      <c r="CO45" s="203"/>
      <c r="CP45" s="176"/>
      <c r="CQ45" s="176"/>
      <c r="CR45" s="176"/>
      <c r="CS45" s="177" t="b">
        <v>0</v>
      </c>
      <c r="CT45" s="177" t="b">
        <v>0</v>
      </c>
      <c r="CU45" s="176" t="e">
        <f>(CP45-CE45)/CE45</f>
        <v>#DIV/0!</v>
      </c>
      <c r="CV45" s="176" t="e">
        <f>(CO45-CD45)/CD45</f>
        <v>#DIV/0!</v>
      </c>
      <c r="CW45" s="203">
        <f>CZ45 + ABS(CX45) + ABS(CY45)</f>
        <v>0</v>
      </c>
      <c r="CX45" s="203"/>
      <c r="CY45" s="203"/>
      <c r="CZ45" s="203"/>
      <c r="DA45" s="176"/>
      <c r="DB45" s="176"/>
      <c r="DC45" s="176"/>
      <c r="DD45" s="177" t="b">
        <v>0</v>
      </c>
      <c r="DE45" s="177" t="b">
        <v>0</v>
      </c>
      <c r="DF45" s="176" t="e">
        <f>(DA45-CR45)/CR45</f>
        <v>#DIV/0!</v>
      </c>
      <c r="DG45" s="176" t="e">
        <f>(CZ45-CO45)/CO45</f>
        <v>#DIV/0!</v>
      </c>
      <c r="DH45" s="203">
        <f>DK45 + ABS(DI45) + ABS(DJ45)</f>
        <v>0</v>
      </c>
      <c r="DI45" s="203"/>
      <c r="DJ45" s="203"/>
      <c r="DK45" s="203"/>
      <c r="DL45" s="176"/>
      <c r="DM45" s="176"/>
      <c r="DN45" s="176"/>
      <c r="DO45" s="177" t="b">
        <v>0</v>
      </c>
      <c r="DP45" s="177" t="b">
        <v>0</v>
      </c>
      <c r="DQ45" s="176" t="e">
        <f>(DL45-DA45)/DA45</f>
        <v>#DIV/0!</v>
      </c>
      <c r="DR45" s="176" t="e">
        <f>(DK45-CZ45)/CZ45</f>
        <v>#DIV/0!</v>
      </c>
      <c r="DS45" s="203">
        <f>DV45 + ABS(DT45) + ABS(DU45)</f>
        <v>0</v>
      </c>
      <c r="DT45" s="203"/>
      <c r="DU45" s="203"/>
      <c r="DV45" s="203"/>
      <c r="DW45" s="176"/>
      <c r="DX45" s="176"/>
      <c r="DY45" s="176"/>
      <c r="DZ45" s="177" t="b">
        <v>0</v>
      </c>
      <c r="EA45" s="177" t="b">
        <v>0</v>
      </c>
      <c r="EB45" s="176" t="e">
        <f>(DW45-DN45)/DN45</f>
        <v>#DIV/0!</v>
      </c>
      <c r="EC45" s="176" t="e">
        <f>(DV45-DK45)/DK45</f>
        <v>#DIV/0!</v>
      </c>
      <c r="ED45" s="203">
        <f>EG45 + ABS(EE45) + ABS(EF45)</f>
        <v>0</v>
      </c>
      <c r="EE45" s="203"/>
      <c r="EF45" s="203"/>
      <c r="EG45" s="203"/>
      <c r="EH45" s="176"/>
      <c r="EI45" s="176"/>
      <c r="EJ45" s="176"/>
      <c r="EK45" s="177" t="b">
        <v>0</v>
      </c>
      <c r="EL45" s="177" t="b">
        <v>0</v>
      </c>
      <c r="EM45" s="176" t="e">
        <f>(EH45-DW45)/DW45</f>
        <v>#DIV/0!</v>
      </c>
      <c r="EN45" s="176" t="e">
        <f>(EG45-DV45)/DV45</f>
        <v>#DIV/0!</v>
      </c>
      <c r="EO45" s="203">
        <f>ER45 + ABS(EP45) + ABS(EQ45)</f>
        <v>0</v>
      </c>
      <c r="EP45" s="203"/>
      <c r="EQ45" s="203"/>
      <c r="ER45" s="203"/>
      <c r="ES45" s="176"/>
      <c r="ET45" s="176"/>
      <c r="EU45" s="176"/>
      <c r="EV45" s="177" t="b">
        <v>0</v>
      </c>
      <c r="EW45" s="177" t="b">
        <v>0</v>
      </c>
      <c r="EX45" s="176" t="e">
        <f>(ES45-EJ45)/EJ45</f>
        <v>#DIV/0!</v>
      </c>
      <c r="EY45" s="176" t="e">
        <f>(ER45-EG45)/EG45</f>
        <v>#DIV/0!</v>
      </c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801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</row>
    <row r="46" spans="1:221" ht="15">
      <c r="B46" s="175"/>
      <c r="C46" s="802" t="s">
        <v>273</v>
      </c>
      <c r="D46" s="154">
        <v>1450022</v>
      </c>
      <c r="E46" s="154">
        <v>157</v>
      </c>
      <c r="F46" s="154" t="s">
        <v>278</v>
      </c>
      <c r="G46" s="255" t="s">
        <v>279</v>
      </c>
      <c r="H46" s="171" t="s">
        <v>169</v>
      </c>
      <c r="I46" s="445" t="s">
        <v>170</v>
      </c>
      <c r="J46" s="154"/>
      <c r="K46" s="154"/>
      <c r="L46" s="154"/>
      <c r="M46" s="176"/>
      <c r="N46" s="418">
        <v>107</v>
      </c>
      <c r="O46" s="176"/>
      <c r="P46" s="203">
        <v>797.15</v>
      </c>
      <c r="Q46" s="203"/>
      <c r="R46" s="203">
        <v>15810.04</v>
      </c>
      <c r="S46" s="176">
        <v>588</v>
      </c>
      <c r="T46" s="188" t="s">
        <v>171</v>
      </c>
      <c r="U46" s="176"/>
      <c r="V46" s="176"/>
      <c r="W46" s="176"/>
      <c r="X46" s="203">
        <f t="shared" si="4"/>
        <v>16728.21</v>
      </c>
      <c r="Y46" s="203">
        <v>-802.95</v>
      </c>
      <c r="Z46" s="203">
        <v>0</v>
      </c>
      <c r="AA46" s="203">
        <v>15925.26</v>
      </c>
      <c r="AB46" s="154">
        <v>592</v>
      </c>
      <c r="AC46" s="444" t="s">
        <v>172</v>
      </c>
      <c r="AD46" s="444" t="s">
        <v>173</v>
      </c>
      <c r="AE46" s="177" t="b">
        <v>1</v>
      </c>
      <c r="AF46" s="177" t="b">
        <v>1</v>
      </c>
      <c r="AG46" s="392">
        <f>(AB46-S46)/S46</f>
        <v>6.8027210884353739E-3</v>
      </c>
      <c r="AH46" s="392">
        <f>(AA46-R46)/R46</f>
        <v>7.2877740979782049E-3</v>
      </c>
      <c r="AI46" s="203">
        <f t="shared" si="2"/>
        <v>17690.79</v>
      </c>
      <c r="AJ46" s="368">
        <v>-849.16</v>
      </c>
      <c r="AK46" s="368">
        <v>0</v>
      </c>
      <c r="AL46" s="368">
        <v>16841.63</v>
      </c>
      <c r="AM46" s="1068">
        <v>598</v>
      </c>
      <c r="AN46" s="172">
        <v>46122</v>
      </c>
      <c r="AO46" s="171" t="s">
        <v>174</v>
      </c>
      <c r="AP46" s="861" t="b">
        <v>1</v>
      </c>
      <c r="AQ46" s="861" t="b">
        <v>1</v>
      </c>
      <c r="AR46" s="392">
        <f t="shared" si="5"/>
        <v>1.0135135135135136E-2</v>
      </c>
      <c r="AS46" s="392">
        <f>(AL46-AA46)/AA46</f>
        <v>5.7541917682976652E-2</v>
      </c>
      <c r="AT46" s="203">
        <f t="shared" si="3"/>
        <v>0</v>
      </c>
      <c r="AU46" s="203"/>
      <c r="AV46" s="203"/>
      <c r="AW46" s="203"/>
      <c r="AX46" s="176"/>
      <c r="AY46" s="176"/>
      <c r="AZ46" s="176"/>
      <c r="BA46" s="177" t="b">
        <v>0</v>
      </c>
      <c r="BB46" s="177" t="b">
        <v>0</v>
      </c>
      <c r="BC46" s="176">
        <f>(AX46-AM46)/AM46</f>
        <v>-1</v>
      </c>
      <c r="BD46" s="176">
        <f>(AW46-AL46)/AL46</f>
        <v>-1</v>
      </c>
      <c r="BE46" s="203">
        <f>BH46 + ABS(BF46) + ABS(BG46)</f>
        <v>0</v>
      </c>
      <c r="BF46" s="203"/>
      <c r="BG46" s="203"/>
      <c r="BH46" s="203"/>
      <c r="BI46" s="176"/>
      <c r="BJ46" s="176"/>
      <c r="BK46" s="176"/>
      <c r="BL46" s="177" t="b">
        <v>0</v>
      </c>
      <c r="BM46" s="177" t="b">
        <v>0</v>
      </c>
      <c r="BN46" s="176" t="e">
        <f>(BI46-AZ46)/AZ46</f>
        <v>#DIV/0!</v>
      </c>
      <c r="BO46" s="176" t="e">
        <f>(BH46-AW46)/AW46</f>
        <v>#DIV/0!</v>
      </c>
      <c r="BP46" s="203">
        <f>BS46 + ABS(BQ46) + ABS(BR46)</f>
        <v>0</v>
      </c>
      <c r="BQ46" s="203"/>
      <c r="BR46" s="203"/>
      <c r="BS46" s="203"/>
      <c r="BT46" s="176"/>
      <c r="BU46" s="176"/>
      <c r="BV46" s="176"/>
      <c r="BW46" s="177" t="b">
        <v>0</v>
      </c>
      <c r="BX46" s="177" t="b">
        <v>0</v>
      </c>
      <c r="BY46" s="176" t="e">
        <f>(BT46-BI46)/BI46</f>
        <v>#DIV/0!</v>
      </c>
      <c r="BZ46" s="176" t="e">
        <f>(BS46-BH46)/BH46</f>
        <v>#DIV/0!</v>
      </c>
      <c r="CA46" s="203">
        <f>CD46 + ABS(CB46) + ABS(CC46)</f>
        <v>0</v>
      </c>
      <c r="CB46" s="203"/>
      <c r="CC46" s="203"/>
      <c r="CD46" s="203"/>
      <c r="CE46" s="176"/>
      <c r="CF46" s="176"/>
      <c r="CG46" s="176"/>
      <c r="CH46" s="177" t="b">
        <v>0</v>
      </c>
      <c r="CI46" s="177" t="b">
        <v>0</v>
      </c>
      <c r="CJ46" s="176" t="e">
        <f>(CE46-BV46)/BV46</f>
        <v>#DIV/0!</v>
      </c>
      <c r="CK46" s="176" t="e">
        <f>(CD46-BS46)/BS46</f>
        <v>#DIV/0!</v>
      </c>
      <c r="CL46" s="203">
        <f>CO46 + ABS(CM46) + ABS(CN46)</f>
        <v>0</v>
      </c>
      <c r="CM46" s="203"/>
      <c r="CN46" s="203"/>
      <c r="CO46" s="203"/>
      <c r="CP46" s="176"/>
      <c r="CQ46" s="176"/>
      <c r="CR46" s="176"/>
      <c r="CS46" s="177" t="b">
        <v>0</v>
      </c>
      <c r="CT46" s="177" t="b">
        <v>0</v>
      </c>
      <c r="CU46" s="176" t="e">
        <f>(CP46-CE46)/CE46</f>
        <v>#DIV/0!</v>
      </c>
      <c r="CV46" s="176" t="e">
        <f>(CO46-CD46)/CD46</f>
        <v>#DIV/0!</v>
      </c>
      <c r="CW46" s="203">
        <f>CZ46 + ABS(CX46) + ABS(CY46)</f>
        <v>0</v>
      </c>
      <c r="CX46" s="203"/>
      <c r="CY46" s="203"/>
      <c r="CZ46" s="203"/>
      <c r="DA46" s="176"/>
      <c r="DB46" s="176"/>
      <c r="DC46" s="176"/>
      <c r="DD46" s="177" t="b">
        <v>0</v>
      </c>
      <c r="DE46" s="177" t="b">
        <v>0</v>
      </c>
      <c r="DF46" s="176" t="e">
        <f>(DA46-CR46)/CR46</f>
        <v>#DIV/0!</v>
      </c>
      <c r="DG46" s="176" t="e">
        <f>(CZ46-CO46)/CO46</f>
        <v>#DIV/0!</v>
      </c>
      <c r="DH46" s="203">
        <f>DK46 + ABS(DI46) + ABS(DJ46)</f>
        <v>0</v>
      </c>
      <c r="DI46" s="203"/>
      <c r="DJ46" s="203"/>
      <c r="DK46" s="203"/>
      <c r="DL46" s="176"/>
      <c r="DM46" s="176"/>
      <c r="DN46" s="176"/>
      <c r="DO46" s="177" t="b">
        <v>0</v>
      </c>
      <c r="DP46" s="177" t="b">
        <v>0</v>
      </c>
      <c r="DQ46" s="176" t="e">
        <f>(DL46-DA46)/DA46</f>
        <v>#DIV/0!</v>
      </c>
      <c r="DR46" s="176" t="e">
        <f>(DK46-CZ46)/CZ46</f>
        <v>#DIV/0!</v>
      </c>
      <c r="DS46" s="203">
        <f>DV46 + ABS(DT46) + ABS(DU46)</f>
        <v>0</v>
      </c>
      <c r="DT46" s="203"/>
      <c r="DU46" s="203"/>
      <c r="DV46" s="203"/>
      <c r="DW46" s="176"/>
      <c r="DX46" s="176"/>
      <c r="DY46" s="176"/>
      <c r="DZ46" s="177" t="b">
        <v>0</v>
      </c>
      <c r="EA46" s="177" t="b">
        <v>0</v>
      </c>
      <c r="EB46" s="176" t="e">
        <f>(DW46-DN46)/DN46</f>
        <v>#DIV/0!</v>
      </c>
      <c r="EC46" s="176" t="e">
        <f>(DV46-DK46)/DK46</f>
        <v>#DIV/0!</v>
      </c>
      <c r="ED46" s="203">
        <f>EG46 + ABS(EE46) + ABS(EF46)</f>
        <v>0</v>
      </c>
      <c r="EE46" s="203"/>
      <c r="EF46" s="203"/>
      <c r="EG46" s="203"/>
      <c r="EH46" s="176"/>
      <c r="EI46" s="176"/>
      <c r="EJ46" s="176"/>
      <c r="EK46" s="177" t="b">
        <v>0</v>
      </c>
      <c r="EL46" s="177" t="b">
        <v>0</v>
      </c>
      <c r="EM46" s="176" t="e">
        <f>(EH46-DW46)/DW46</f>
        <v>#DIV/0!</v>
      </c>
      <c r="EN46" s="176" t="e">
        <f>(EG46-DV46)/DV46</f>
        <v>#DIV/0!</v>
      </c>
      <c r="EO46" s="203">
        <f>ER46 + ABS(EP46) + ABS(EQ46)</f>
        <v>0</v>
      </c>
      <c r="EP46" s="203"/>
      <c r="EQ46" s="203"/>
      <c r="ER46" s="203"/>
      <c r="ES46" s="176"/>
      <c r="ET46" s="176"/>
      <c r="EU46" s="176"/>
      <c r="EV46" s="177" t="b">
        <v>0</v>
      </c>
      <c r="EW46" s="177" t="b">
        <v>0</v>
      </c>
      <c r="EX46" s="176" t="e">
        <f>(ES46-EJ46)/EJ46</f>
        <v>#DIV/0!</v>
      </c>
      <c r="EY46" s="176" t="e">
        <f>(ER46-EG46)/EG46</f>
        <v>#DIV/0!</v>
      </c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801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</row>
    <row r="47" spans="1:221" ht="15">
      <c r="B47" s="175"/>
      <c r="C47" s="800" t="s">
        <v>280</v>
      </c>
      <c r="D47" s="357">
        <v>1450022</v>
      </c>
      <c r="E47" s="357">
        <v>315</v>
      </c>
      <c r="F47" s="357" t="s">
        <v>281</v>
      </c>
      <c r="G47" s="426" t="s">
        <v>282</v>
      </c>
      <c r="H47" s="148" t="s">
        <v>169</v>
      </c>
      <c r="I47" s="448" t="s">
        <v>170</v>
      </c>
      <c r="J47" s="357"/>
      <c r="K47" s="357"/>
      <c r="L47" s="357"/>
      <c r="M47" s="358"/>
      <c r="N47" s="359">
        <v>107</v>
      </c>
      <c r="O47" s="358"/>
      <c r="P47" s="402">
        <v>1362.79</v>
      </c>
      <c r="Q47" s="402"/>
      <c r="R47" s="402">
        <v>27028.69</v>
      </c>
      <c r="S47" s="358">
        <v>1672</v>
      </c>
      <c r="T47" s="188" t="s">
        <v>171</v>
      </c>
      <c r="U47" s="358"/>
      <c r="V47" s="358"/>
      <c r="W47" s="358"/>
      <c r="X47" s="402">
        <f t="shared" si="4"/>
        <v>29243.449999999997</v>
      </c>
      <c r="Y47" s="402">
        <v>-1403.69</v>
      </c>
      <c r="Z47" s="402">
        <v>0</v>
      </c>
      <c r="AA47" s="402">
        <v>27839.759999999998</v>
      </c>
      <c r="AB47" s="450">
        <v>1721</v>
      </c>
      <c r="AC47" s="426" t="s">
        <v>172</v>
      </c>
      <c r="AD47" s="426" t="s">
        <v>173</v>
      </c>
      <c r="AE47" s="164" t="b">
        <v>1</v>
      </c>
      <c r="AF47" s="164" t="b">
        <v>1</v>
      </c>
      <c r="AG47" s="409">
        <f>(AB47-S47)/S47</f>
        <v>2.930622009569378E-2</v>
      </c>
      <c r="AH47" s="409">
        <f>(AA47-R47)/R47</f>
        <v>3.0007743623534835E-2</v>
      </c>
      <c r="AI47" s="402">
        <f t="shared" si="2"/>
        <v>26399.39</v>
      </c>
      <c r="AJ47" s="364">
        <v>-1267.17</v>
      </c>
      <c r="AK47" s="364">
        <v>0</v>
      </c>
      <c r="AL47" s="364">
        <v>25132.22</v>
      </c>
      <c r="AM47" s="1069">
        <v>1486</v>
      </c>
      <c r="AN47" s="407">
        <v>46122</v>
      </c>
      <c r="AO47" s="148" t="s">
        <v>174</v>
      </c>
      <c r="AP47" s="860" t="b">
        <v>1</v>
      </c>
      <c r="AQ47" s="860" t="b">
        <v>1</v>
      </c>
      <c r="AR47" s="409">
        <f t="shared" si="5"/>
        <v>-0.13654851830331202</v>
      </c>
      <c r="AS47" s="409">
        <f>(AL47-AA47)/AA47</f>
        <v>-9.7254430354284563E-2</v>
      </c>
      <c r="AT47" s="402">
        <f t="shared" si="3"/>
        <v>0</v>
      </c>
      <c r="AU47" s="402"/>
      <c r="AV47" s="402"/>
      <c r="AW47" s="402"/>
      <c r="AX47" s="358"/>
      <c r="AY47" s="358"/>
      <c r="AZ47" s="358"/>
      <c r="BA47" s="164" t="b">
        <v>0</v>
      </c>
      <c r="BB47" s="164" t="b">
        <v>0</v>
      </c>
      <c r="BC47" s="358">
        <f>(AX47-AM47)/AM47</f>
        <v>-1</v>
      </c>
      <c r="BD47" s="358">
        <f>(AW47-AL47)/AL47</f>
        <v>-1</v>
      </c>
      <c r="BE47" s="402">
        <f>BH47 + ABS(BF47) + ABS(BG47)</f>
        <v>0</v>
      </c>
      <c r="BF47" s="402"/>
      <c r="BG47" s="402"/>
      <c r="BH47" s="402"/>
      <c r="BI47" s="358"/>
      <c r="BJ47" s="358"/>
      <c r="BK47" s="358"/>
      <c r="BL47" s="164" t="b">
        <v>0</v>
      </c>
      <c r="BM47" s="164" t="b">
        <v>0</v>
      </c>
      <c r="BN47" s="358" t="e">
        <f>(BI47-AZ47)/AZ47</f>
        <v>#DIV/0!</v>
      </c>
      <c r="BO47" s="358" t="e">
        <f>(BH47-AW47)/AW47</f>
        <v>#DIV/0!</v>
      </c>
      <c r="BP47" s="402">
        <f>BS47 + ABS(BQ47) + ABS(BR47)</f>
        <v>0</v>
      </c>
      <c r="BQ47" s="402"/>
      <c r="BR47" s="402"/>
      <c r="BS47" s="402"/>
      <c r="BT47" s="358"/>
      <c r="BU47" s="358"/>
      <c r="BV47" s="358"/>
      <c r="BW47" s="164" t="b">
        <v>0</v>
      </c>
      <c r="BX47" s="164" t="b">
        <v>0</v>
      </c>
      <c r="BY47" s="358" t="e">
        <f>(BT47-BI47)/BI47</f>
        <v>#DIV/0!</v>
      </c>
      <c r="BZ47" s="358" t="e">
        <f>(BS47-BH47)/BH47</f>
        <v>#DIV/0!</v>
      </c>
      <c r="CA47" s="402">
        <f>CD47 + ABS(CB47) + ABS(CC47)</f>
        <v>0</v>
      </c>
      <c r="CB47" s="402"/>
      <c r="CC47" s="402"/>
      <c r="CD47" s="402"/>
      <c r="CE47" s="358"/>
      <c r="CF47" s="358"/>
      <c r="CG47" s="358"/>
      <c r="CH47" s="164" t="b">
        <v>0</v>
      </c>
      <c r="CI47" s="164" t="b">
        <v>0</v>
      </c>
      <c r="CJ47" s="358" t="e">
        <f>(CE47-BV47)/BV47</f>
        <v>#DIV/0!</v>
      </c>
      <c r="CK47" s="358" t="e">
        <f>(CD47-BS47)/BS47</f>
        <v>#DIV/0!</v>
      </c>
      <c r="CL47" s="402">
        <f>CO47 + ABS(CM47) + ABS(CN47)</f>
        <v>0</v>
      </c>
      <c r="CM47" s="402"/>
      <c r="CN47" s="402"/>
      <c r="CO47" s="402"/>
      <c r="CP47" s="358"/>
      <c r="CQ47" s="358"/>
      <c r="CR47" s="358"/>
      <c r="CS47" s="164" t="b">
        <v>0</v>
      </c>
      <c r="CT47" s="164" t="b">
        <v>0</v>
      </c>
      <c r="CU47" s="358" t="e">
        <f>(CP47-CE47)/CE47</f>
        <v>#DIV/0!</v>
      </c>
      <c r="CV47" s="358" t="e">
        <f>(CO47-CD47)/CD47</f>
        <v>#DIV/0!</v>
      </c>
      <c r="CW47" s="402">
        <f>CZ47 + ABS(CX47) + ABS(CY47)</f>
        <v>0</v>
      </c>
      <c r="CX47" s="402"/>
      <c r="CY47" s="402"/>
      <c r="CZ47" s="402"/>
      <c r="DA47" s="358"/>
      <c r="DB47" s="358"/>
      <c r="DC47" s="358"/>
      <c r="DD47" s="164" t="b">
        <v>0</v>
      </c>
      <c r="DE47" s="164" t="b">
        <v>0</v>
      </c>
      <c r="DF47" s="358" t="e">
        <f>(DA47-CR47)/CR47</f>
        <v>#DIV/0!</v>
      </c>
      <c r="DG47" s="358" t="e">
        <f>(CZ47-CO47)/CO47</f>
        <v>#DIV/0!</v>
      </c>
      <c r="DH47" s="402">
        <f>DK47 + ABS(DI47) + ABS(DJ47)</f>
        <v>0</v>
      </c>
      <c r="DI47" s="402"/>
      <c r="DJ47" s="402"/>
      <c r="DK47" s="402"/>
      <c r="DL47" s="358"/>
      <c r="DM47" s="358"/>
      <c r="DN47" s="358"/>
      <c r="DO47" s="164" t="b">
        <v>0</v>
      </c>
      <c r="DP47" s="164" t="b">
        <v>0</v>
      </c>
      <c r="DQ47" s="358" t="e">
        <f>(DL47-DA47)/DA47</f>
        <v>#DIV/0!</v>
      </c>
      <c r="DR47" s="358" t="e">
        <f>(DK47-CZ47)/CZ47</f>
        <v>#DIV/0!</v>
      </c>
      <c r="DS47" s="402">
        <f>DV47 + ABS(DT47) + ABS(DU47)</f>
        <v>0</v>
      </c>
      <c r="DT47" s="402"/>
      <c r="DU47" s="402"/>
      <c r="DV47" s="402"/>
      <c r="DW47" s="358"/>
      <c r="DX47" s="358"/>
      <c r="DY47" s="358"/>
      <c r="DZ47" s="164" t="b">
        <v>0</v>
      </c>
      <c r="EA47" s="164" t="b">
        <v>0</v>
      </c>
      <c r="EB47" s="358" t="e">
        <f>(DW47-DN47)/DN47</f>
        <v>#DIV/0!</v>
      </c>
      <c r="EC47" s="358" t="e">
        <f>(DV47-DK47)/DK47</f>
        <v>#DIV/0!</v>
      </c>
      <c r="ED47" s="402">
        <f>EG47 + ABS(EE47) + ABS(EF47)</f>
        <v>0</v>
      </c>
      <c r="EE47" s="402"/>
      <c r="EF47" s="402"/>
      <c r="EG47" s="402"/>
      <c r="EH47" s="358"/>
      <c r="EI47" s="358"/>
      <c r="EJ47" s="358"/>
      <c r="EK47" s="164" t="b">
        <v>0</v>
      </c>
      <c r="EL47" s="164" t="b">
        <v>0</v>
      </c>
      <c r="EM47" s="358" t="e">
        <f>(EH47-DW47)/DW47</f>
        <v>#DIV/0!</v>
      </c>
      <c r="EN47" s="358" t="e">
        <f>(EG47-DV47)/DV47</f>
        <v>#DIV/0!</v>
      </c>
      <c r="EO47" s="402">
        <f>ER47 + ABS(EP47) + ABS(EQ47)</f>
        <v>0</v>
      </c>
      <c r="EP47" s="402"/>
      <c r="EQ47" s="402"/>
      <c r="ER47" s="402"/>
      <c r="ES47" s="358"/>
      <c r="ET47" s="358"/>
      <c r="EU47" s="358"/>
      <c r="EV47" s="164" t="b">
        <v>0</v>
      </c>
      <c r="EW47" s="164" t="b">
        <v>0</v>
      </c>
      <c r="EX47" s="358" t="e">
        <f>(ES47-EJ47)/EJ47</f>
        <v>#DIV/0!</v>
      </c>
      <c r="EY47" s="358" t="e">
        <f>(ER47-EG47)/EG47</f>
        <v>#DIV/0!</v>
      </c>
      <c r="EZ47" s="449"/>
      <c r="FA47" s="449"/>
      <c r="FB47" s="449"/>
      <c r="FC47" s="449"/>
      <c r="FD47" s="449"/>
      <c r="FE47" s="449"/>
      <c r="FF47" s="449"/>
      <c r="FG47" s="449"/>
      <c r="FH47" s="449"/>
      <c r="FI47" s="449"/>
      <c r="FJ47" s="449"/>
      <c r="FK47" s="449"/>
      <c r="FL47" s="449"/>
      <c r="FM47" s="449"/>
      <c r="FN47" s="449"/>
      <c r="FO47" s="449"/>
      <c r="FP47" s="175"/>
      <c r="FQ47" s="801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</row>
    <row r="48" spans="1:221" ht="15">
      <c r="B48" s="175"/>
      <c r="C48" s="802" t="s">
        <v>283</v>
      </c>
      <c r="D48" s="154">
        <v>1450022</v>
      </c>
      <c r="E48" s="154">
        <v>236</v>
      </c>
      <c r="F48" s="154" t="s">
        <v>284</v>
      </c>
      <c r="G48" s="255" t="s">
        <v>285</v>
      </c>
      <c r="H48" s="171" t="s">
        <v>169</v>
      </c>
      <c r="I48" s="445" t="s">
        <v>170</v>
      </c>
      <c r="J48" s="154"/>
      <c r="K48" s="154"/>
      <c r="L48" s="154"/>
      <c r="M48" s="176"/>
      <c r="N48" s="418">
        <v>107</v>
      </c>
      <c r="O48" s="176"/>
      <c r="P48" s="203">
        <v>206.07</v>
      </c>
      <c r="Q48" s="203"/>
      <c r="R48" s="203">
        <v>4087.03</v>
      </c>
      <c r="S48" s="176">
        <v>286</v>
      </c>
      <c r="T48" s="188" t="s">
        <v>171</v>
      </c>
      <c r="U48" s="176"/>
      <c r="V48" s="176"/>
      <c r="W48" s="176"/>
      <c r="X48" s="203">
        <f t="shared" si="4"/>
        <v>4971.2</v>
      </c>
      <c r="Y48" s="203">
        <v>-238.62</v>
      </c>
      <c r="Z48" s="203">
        <v>0</v>
      </c>
      <c r="AA48" s="203">
        <v>4732.58</v>
      </c>
      <c r="AB48" s="446">
        <v>325</v>
      </c>
      <c r="AC48" s="444" t="s">
        <v>172</v>
      </c>
      <c r="AD48" s="444" t="s">
        <v>173</v>
      </c>
      <c r="AE48" s="177" t="b">
        <v>1</v>
      </c>
      <c r="AF48" s="177" t="b">
        <v>1</v>
      </c>
      <c r="AG48" s="392">
        <f>(AB48-S48)/S48</f>
        <v>0.13636363636363635</v>
      </c>
      <c r="AH48" s="392">
        <f>(AA48-R48)/R48</f>
        <v>0.15795088364900667</v>
      </c>
      <c r="AI48" s="203">
        <f t="shared" si="2"/>
        <v>4090.77</v>
      </c>
      <c r="AJ48" s="368">
        <v>-196.36</v>
      </c>
      <c r="AK48" s="368">
        <v>0</v>
      </c>
      <c r="AL48" s="368">
        <v>3894.41</v>
      </c>
      <c r="AM48" s="1068">
        <v>268</v>
      </c>
      <c r="AN48" s="172">
        <v>46122</v>
      </c>
      <c r="AO48" s="171" t="s">
        <v>174</v>
      </c>
      <c r="AP48" s="861" t="b">
        <v>1</v>
      </c>
      <c r="AQ48" s="861" t="b">
        <v>1</v>
      </c>
      <c r="AR48" s="392">
        <f t="shared" si="5"/>
        <v>-0.17538461538461539</v>
      </c>
      <c r="AS48" s="392">
        <f>(AL48-AA48)/AA48</f>
        <v>-0.17710635636375932</v>
      </c>
      <c r="AT48" s="203">
        <f t="shared" si="3"/>
        <v>0</v>
      </c>
      <c r="AU48" s="203"/>
      <c r="AV48" s="203"/>
      <c r="AW48" s="203"/>
      <c r="AX48" s="176"/>
      <c r="AY48" s="176"/>
      <c r="AZ48" s="176"/>
      <c r="BA48" s="177" t="b">
        <v>0</v>
      </c>
      <c r="BB48" s="177" t="b">
        <v>0</v>
      </c>
      <c r="BC48" s="176">
        <f>(AX48-AM48)/AM48</f>
        <v>-1</v>
      </c>
      <c r="BD48" s="176">
        <f>(AW48-AL48)/AL48</f>
        <v>-1</v>
      </c>
      <c r="BE48" s="203">
        <f>BH48 + ABS(BF48) + ABS(BG48)</f>
        <v>0</v>
      </c>
      <c r="BF48" s="203"/>
      <c r="BG48" s="203"/>
      <c r="BH48" s="203"/>
      <c r="BI48" s="176"/>
      <c r="BJ48" s="176"/>
      <c r="BK48" s="176"/>
      <c r="BL48" s="177" t="b">
        <v>0</v>
      </c>
      <c r="BM48" s="177" t="b">
        <v>0</v>
      </c>
      <c r="BN48" s="176" t="e">
        <f>(BI48-AZ48)/AZ48</f>
        <v>#DIV/0!</v>
      </c>
      <c r="BO48" s="176" t="e">
        <f>(BH48-AW48)/AW48</f>
        <v>#DIV/0!</v>
      </c>
      <c r="BP48" s="203">
        <f>BS48 + ABS(BQ48) + ABS(BR48)</f>
        <v>0</v>
      </c>
      <c r="BQ48" s="203"/>
      <c r="BR48" s="203"/>
      <c r="BS48" s="203"/>
      <c r="BT48" s="176"/>
      <c r="BU48" s="176"/>
      <c r="BV48" s="176"/>
      <c r="BW48" s="177" t="b">
        <v>0</v>
      </c>
      <c r="BX48" s="177" t="b">
        <v>0</v>
      </c>
      <c r="BY48" s="176" t="e">
        <f>(BT48-BI48)/BI48</f>
        <v>#DIV/0!</v>
      </c>
      <c r="BZ48" s="176" t="e">
        <f>(BS48-BH48)/BH48</f>
        <v>#DIV/0!</v>
      </c>
      <c r="CA48" s="203">
        <f>CD48 + ABS(CB48) + ABS(CC48)</f>
        <v>0</v>
      </c>
      <c r="CB48" s="203"/>
      <c r="CC48" s="203"/>
      <c r="CD48" s="203"/>
      <c r="CE48" s="176"/>
      <c r="CF48" s="176"/>
      <c r="CG48" s="176"/>
      <c r="CH48" s="177" t="b">
        <v>0</v>
      </c>
      <c r="CI48" s="177" t="b">
        <v>0</v>
      </c>
      <c r="CJ48" s="176" t="e">
        <f>(CE48-BV48)/BV48</f>
        <v>#DIV/0!</v>
      </c>
      <c r="CK48" s="176" t="e">
        <f>(CD48-BS48)/BS48</f>
        <v>#DIV/0!</v>
      </c>
      <c r="CL48" s="203">
        <f>CO48 + ABS(CM48) + ABS(CN48)</f>
        <v>0</v>
      </c>
      <c r="CM48" s="203"/>
      <c r="CN48" s="203"/>
      <c r="CO48" s="203"/>
      <c r="CP48" s="176"/>
      <c r="CQ48" s="176"/>
      <c r="CR48" s="176"/>
      <c r="CS48" s="177" t="b">
        <v>0</v>
      </c>
      <c r="CT48" s="177" t="b">
        <v>0</v>
      </c>
      <c r="CU48" s="176" t="e">
        <f>(CP48-CE48)/CE48</f>
        <v>#DIV/0!</v>
      </c>
      <c r="CV48" s="176" t="e">
        <f>(CO48-CD48)/CD48</f>
        <v>#DIV/0!</v>
      </c>
      <c r="CW48" s="203">
        <f>CZ48 + ABS(CX48) + ABS(CY48)</f>
        <v>0</v>
      </c>
      <c r="CX48" s="203"/>
      <c r="CY48" s="203"/>
      <c r="CZ48" s="203"/>
      <c r="DA48" s="176"/>
      <c r="DB48" s="176"/>
      <c r="DC48" s="176"/>
      <c r="DD48" s="177" t="b">
        <v>0</v>
      </c>
      <c r="DE48" s="177" t="b">
        <v>0</v>
      </c>
      <c r="DF48" s="176" t="e">
        <f>(DA48-CR48)/CR48</f>
        <v>#DIV/0!</v>
      </c>
      <c r="DG48" s="176" t="e">
        <f>(CZ48-CO48)/CO48</f>
        <v>#DIV/0!</v>
      </c>
      <c r="DH48" s="203">
        <f>DK48 + ABS(DI48) + ABS(DJ48)</f>
        <v>0</v>
      </c>
      <c r="DI48" s="203"/>
      <c r="DJ48" s="203"/>
      <c r="DK48" s="203"/>
      <c r="DL48" s="176"/>
      <c r="DM48" s="176"/>
      <c r="DN48" s="176"/>
      <c r="DO48" s="177" t="b">
        <v>0</v>
      </c>
      <c r="DP48" s="177" t="b">
        <v>0</v>
      </c>
      <c r="DQ48" s="176" t="e">
        <f>(DL48-DA48)/DA48</f>
        <v>#DIV/0!</v>
      </c>
      <c r="DR48" s="176" t="e">
        <f>(DK48-CZ48)/CZ48</f>
        <v>#DIV/0!</v>
      </c>
      <c r="DS48" s="203">
        <f>DV48 + ABS(DT48) + ABS(DU48)</f>
        <v>0</v>
      </c>
      <c r="DT48" s="203"/>
      <c r="DU48" s="203"/>
      <c r="DV48" s="203"/>
      <c r="DW48" s="176"/>
      <c r="DX48" s="176"/>
      <c r="DY48" s="176"/>
      <c r="DZ48" s="177" t="b">
        <v>0</v>
      </c>
      <c r="EA48" s="177" t="b">
        <v>0</v>
      </c>
      <c r="EB48" s="176" t="e">
        <f>(DW48-DN48)/DN48</f>
        <v>#DIV/0!</v>
      </c>
      <c r="EC48" s="176" t="e">
        <f>(DV48-DK48)/DK48</f>
        <v>#DIV/0!</v>
      </c>
      <c r="ED48" s="203">
        <f>EG48 + ABS(EE48) + ABS(EF48)</f>
        <v>0</v>
      </c>
      <c r="EE48" s="203"/>
      <c r="EF48" s="203"/>
      <c r="EG48" s="203"/>
      <c r="EH48" s="176"/>
      <c r="EI48" s="176"/>
      <c r="EJ48" s="176"/>
      <c r="EK48" s="177" t="b">
        <v>0</v>
      </c>
      <c r="EL48" s="177" t="b">
        <v>0</v>
      </c>
      <c r="EM48" s="176" t="e">
        <f>(EH48-DW48)/DW48</f>
        <v>#DIV/0!</v>
      </c>
      <c r="EN48" s="176" t="e">
        <f>(EG48-DV48)/DV48</f>
        <v>#DIV/0!</v>
      </c>
      <c r="EO48" s="203">
        <f>ER48 + ABS(EP48) + ABS(EQ48)</f>
        <v>0</v>
      </c>
      <c r="EP48" s="203"/>
      <c r="EQ48" s="203"/>
      <c r="ER48" s="203"/>
      <c r="ES48" s="176"/>
      <c r="ET48" s="176"/>
      <c r="EU48" s="176"/>
      <c r="EV48" s="177" t="b">
        <v>0</v>
      </c>
      <c r="EW48" s="177" t="b">
        <v>0</v>
      </c>
      <c r="EX48" s="176" t="e">
        <f>(ES48-EJ48)/EJ48</f>
        <v>#DIV/0!</v>
      </c>
      <c r="EY48" s="176" t="e">
        <f>(ER48-EG48)/EG48</f>
        <v>#DIV/0!</v>
      </c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801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</row>
    <row r="49" spans="2:221" ht="15">
      <c r="B49" s="175"/>
      <c r="C49" s="800" t="s">
        <v>286</v>
      </c>
      <c r="D49" s="357">
        <v>1450022</v>
      </c>
      <c r="E49" s="357">
        <v>346</v>
      </c>
      <c r="F49" s="357" t="s">
        <v>287</v>
      </c>
      <c r="G49" s="426" t="s">
        <v>288</v>
      </c>
      <c r="H49" s="148" t="s">
        <v>169</v>
      </c>
      <c r="I49" s="448" t="s">
        <v>170</v>
      </c>
      <c r="J49" s="357"/>
      <c r="K49" s="357"/>
      <c r="L49" s="357"/>
      <c r="M49" s="358"/>
      <c r="N49" s="359">
        <v>107</v>
      </c>
      <c r="O49" s="358"/>
      <c r="P49" s="402">
        <v>1121.5999999999999</v>
      </c>
      <c r="Q49" s="402"/>
      <c r="R49" s="402">
        <v>22245.040000000001</v>
      </c>
      <c r="S49" s="358">
        <v>1383</v>
      </c>
      <c r="T49" s="188" t="s">
        <v>171</v>
      </c>
      <c r="U49" s="358"/>
      <c r="V49" s="358"/>
      <c r="W49" s="358"/>
      <c r="X49" s="402">
        <f t="shared" si="4"/>
        <v>26687.56</v>
      </c>
      <c r="Y49" s="402">
        <v>-1281</v>
      </c>
      <c r="Z49" s="402">
        <v>0</v>
      </c>
      <c r="AA49" s="402">
        <v>25406.560000000001</v>
      </c>
      <c r="AB49" s="450">
        <v>1574</v>
      </c>
      <c r="AC49" s="426" t="s">
        <v>172</v>
      </c>
      <c r="AD49" s="426" t="s">
        <v>173</v>
      </c>
      <c r="AE49" s="164" t="b">
        <v>1</v>
      </c>
      <c r="AF49" s="164" t="b">
        <v>1</v>
      </c>
      <c r="AG49" s="409">
        <f>(AB49-S49)/S49</f>
        <v>0.13810556760665221</v>
      </c>
      <c r="AH49" s="409">
        <f>(AA49-R49)/R49</f>
        <v>0.14212246864919104</v>
      </c>
      <c r="AI49" s="402">
        <f t="shared" si="2"/>
        <v>24462.5</v>
      </c>
      <c r="AJ49" s="364">
        <v>-1174.2</v>
      </c>
      <c r="AK49" s="364">
        <v>0</v>
      </c>
      <c r="AL49" s="364">
        <v>23288.3</v>
      </c>
      <c r="AM49" s="1069">
        <v>1393</v>
      </c>
      <c r="AN49" s="407">
        <v>46122</v>
      </c>
      <c r="AO49" s="148" t="s">
        <v>174</v>
      </c>
      <c r="AP49" s="860" t="b">
        <v>1</v>
      </c>
      <c r="AQ49" s="860" t="b">
        <v>1</v>
      </c>
      <c r="AR49" s="409">
        <f t="shared" si="5"/>
        <v>-0.11499364675984752</v>
      </c>
      <c r="AS49" s="409">
        <f>(AL49-AA49)/AA49</f>
        <v>-8.3374530042634731E-2</v>
      </c>
      <c r="AT49" s="402">
        <f t="shared" si="3"/>
        <v>0</v>
      </c>
      <c r="AU49" s="402"/>
      <c r="AV49" s="402"/>
      <c r="AW49" s="402"/>
      <c r="AX49" s="358"/>
      <c r="AY49" s="358"/>
      <c r="AZ49" s="358"/>
      <c r="BA49" s="164" t="b">
        <v>0</v>
      </c>
      <c r="BB49" s="164" t="b">
        <v>0</v>
      </c>
      <c r="BC49" s="358">
        <f>(AX49-AM49)/AM49</f>
        <v>-1</v>
      </c>
      <c r="BD49" s="358">
        <f>(AW49-AL49)/AL49</f>
        <v>-1</v>
      </c>
      <c r="BE49" s="402">
        <f>BH49 + ABS(BF49) + ABS(BG49)</f>
        <v>0</v>
      </c>
      <c r="BF49" s="402"/>
      <c r="BG49" s="402"/>
      <c r="BH49" s="402"/>
      <c r="BI49" s="358"/>
      <c r="BJ49" s="358"/>
      <c r="BK49" s="358"/>
      <c r="BL49" s="164" t="b">
        <v>0</v>
      </c>
      <c r="BM49" s="164" t="b">
        <v>0</v>
      </c>
      <c r="BN49" s="358" t="e">
        <f>(BI49-AZ49)/AZ49</f>
        <v>#DIV/0!</v>
      </c>
      <c r="BO49" s="358" t="e">
        <f>(BH49-AW49)/AW49</f>
        <v>#DIV/0!</v>
      </c>
      <c r="BP49" s="402">
        <f>BS49 + ABS(BQ49) + ABS(BR49)</f>
        <v>0</v>
      </c>
      <c r="BQ49" s="402"/>
      <c r="BR49" s="402"/>
      <c r="BS49" s="402"/>
      <c r="BT49" s="358"/>
      <c r="BU49" s="358"/>
      <c r="BV49" s="358"/>
      <c r="BW49" s="164" t="b">
        <v>0</v>
      </c>
      <c r="BX49" s="164" t="b">
        <v>0</v>
      </c>
      <c r="BY49" s="358" t="e">
        <f>(BT49-BI49)/BI49</f>
        <v>#DIV/0!</v>
      </c>
      <c r="BZ49" s="358" t="e">
        <f>(BS49-BH49)/BH49</f>
        <v>#DIV/0!</v>
      </c>
      <c r="CA49" s="402">
        <f>CD49 + ABS(CB49) + ABS(CC49)</f>
        <v>0</v>
      </c>
      <c r="CB49" s="402"/>
      <c r="CC49" s="402"/>
      <c r="CD49" s="402"/>
      <c r="CE49" s="358"/>
      <c r="CF49" s="358"/>
      <c r="CG49" s="358"/>
      <c r="CH49" s="164" t="b">
        <v>0</v>
      </c>
      <c r="CI49" s="164" t="b">
        <v>0</v>
      </c>
      <c r="CJ49" s="358" t="e">
        <f>(CE49-BV49)/BV49</f>
        <v>#DIV/0!</v>
      </c>
      <c r="CK49" s="358" t="e">
        <f>(CD49-BS49)/BS49</f>
        <v>#DIV/0!</v>
      </c>
      <c r="CL49" s="402">
        <f>CO49 + ABS(CM49) + ABS(CN49)</f>
        <v>0</v>
      </c>
      <c r="CM49" s="402"/>
      <c r="CN49" s="402"/>
      <c r="CO49" s="402"/>
      <c r="CP49" s="358"/>
      <c r="CQ49" s="358"/>
      <c r="CR49" s="358"/>
      <c r="CS49" s="164" t="b">
        <v>0</v>
      </c>
      <c r="CT49" s="164" t="b">
        <v>0</v>
      </c>
      <c r="CU49" s="358" t="e">
        <f>(CP49-CE49)/CE49</f>
        <v>#DIV/0!</v>
      </c>
      <c r="CV49" s="358" t="e">
        <f>(CO49-CD49)/CD49</f>
        <v>#DIV/0!</v>
      </c>
      <c r="CW49" s="402">
        <f>CZ49 + ABS(CX49) + ABS(CY49)</f>
        <v>0</v>
      </c>
      <c r="CX49" s="402"/>
      <c r="CY49" s="402"/>
      <c r="CZ49" s="402"/>
      <c r="DA49" s="358"/>
      <c r="DB49" s="358"/>
      <c r="DC49" s="358"/>
      <c r="DD49" s="164" t="b">
        <v>0</v>
      </c>
      <c r="DE49" s="164" t="b">
        <v>0</v>
      </c>
      <c r="DF49" s="358" t="e">
        <f>(DA49-CR49)/CR49</f>
        <v>#DIV/0!</v>
      </c>
      <c r="DG49" s="358" t="e">
        <f>(CZ49-CO49)/CO49</f>
        <v>#DIV/0!</v>
      </c>
      <c r="DH49" s="402">
        <f>DK49 + ABS(DI49) + ABS(DJ49)</f>
        <v>0</v>
      </c>
      <c r="DI49" s="402"/>
      <c r="DJ49" s="402"/>
      <c r="DK49" s="402"/>
      <c r="DL49" s="358"/>
      <c r="DM49" s="358"/>
      <c r="DN49" s="358"/>
      <c r="DO49" s="164" t="b">
        <v>0</v>
      </c>
      <c r="DP49" s="164" t="b">
        <v>0</v>
      </c>
      <c r="DQ49" s="358" t="e">
        <f>(DL49-DA49)/DA49</f>
        <v>#DIV/0!</v>
      </c>
      <c r="DR49" s="358" t="e">
        <f>(DK49-CZ49)/CZ49</f>
        <v>#DIV/0!</v>
      </c>
      <c r="DS49" s="402">
        <f>DV49 + ABS(DT49) + ABS(DU49)</f>
        <v>0</v>
      </c>
      <c r="DT49" s="402"/>
      <c r="DU49" s="402"/>
      <c r="DV49" s="402"/>
      <c r="DW49" s="358"/>
      <c r="DX49" s="358"/>
      <c r="DY49" s="358"/>
      <c r="DZ49" s="164" t="b">
        <v>0</v>
      </c>
      <c r="EA49" s="164" t="b">
        <v>0</v>
      </c>
      <c r="EB49" s="358" t="e">
        <f>(DW49-DN49)/DN49</f>
        <v>#DIV/0!</v>
      </c>
      <c r="EC49" s="358" t="e">
        <f>(DV49-DK49)/DK49</f>
        <v>#DIV/0!</v>
      </c>
      <c r="ED49" s="402">
        <f>EG49 + ABS(EE49) + ABS(EF49)</f>
        <v>0</v>
      </c>
      <c r="EE49" s="402"/>
      <c r="EF49" s="402"/>
      <c r="EG49" s="402"/>
      <c r="EH49" s="358"/>
      <c r="EI49" s="358"/>
      <c r="EJ49" s="358"/>
      <c r="EK49" s="164" t="b">
        <v>0</v>
      </c>
      <c r="EL49" s="164" t="b">
        <v>0</v>
      </c>
      <c r="EM49" s="358" t="e">
        <f>(EH49-DW49)/DW49</f>
        <v>#DIV/0!</v>
      </c>
      <c r="EN49" s="358" t="e">
        <f>(EG49-DV49)/DV49</f>
        <v>#DIV/0!</v>
      </c>
      <c r="EO49" s="402">
        <f>ER49 + ABS(EP49) + ABS(EQ49)</f>
        <v>0</v>
      </c>
      <c r="EP49" s="402"/>
      <c r="EQ49" s="402"/>
      <c r="ER49" s="402"/>
      <c r="ES49" s="358"/>
      <c r="ET49" s="358"/>
      <c r="EU49" s="358"/>
      <c r="EV49" s="164" t="b">
        <v>0</v>
      </c>
      <c r="EW49" s="164" t="b">
        <v>0</v>
      </c>
      <c r="EX49" s="358" t="e">
        <f>(ES49-EJ49)/EJ49</f>
        <v>#DIV/0!</v>
      </c>
      <c r="EY49" s="358" t="e">
        <f>(ER49-EG49)/EG49</f>
        <v>#DIV/0!</v>
      </c>
      <c r="EZ49" s="449"/>
      <c r="FA49" s="449"/>
      <c r="FB49" s="449"/>
      <c r="FC49" s="449"/>
      <c r="FD49" s="449"/>
      <c r="FE49" s="449"/>
      <c r="FF49" s="449"/>
      <c r="FG49" s="449"/>
      <c r="FH49" s="449"/>
      <c r="FI49" s="449"/>
      <c r="FJ49" s="449"/>
      <c r="FK49" s="449"/>
      <c r="FL49" s="449"/>
      <c r="FM49" s="449"/>
      <c r="FN49" s="449"/>
      <c r="FO49" s="175"/>
      <c r="FP49" s="175"/>
      <c r="FQ49" s="801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</row>
    <row r="50" spans="2:221" ht="15">
      <c r="B50" s="175"/>
      <c r="C50" s="802" t="s">
        <v>289</v>
      </c>
      <c r="D50" s="154">
        <v>1450022</v>
      </c>
      <c r="E50" s="154">
        <v>125</v>
      </c>
      <c r="F50" s="154" t="s">
        <v>290</v>
      </c>
      <c r="G50" s="255" t="s">
        <v>291</v>
      </c>
      <c r="H50" s="171" t="s">
        <v>169</v>
      </c>
      <c r="I50" s="445" t="s">
        <v>170</v>
      </c>
      <c r="J50" s="154"/>
      <c r="K50" s="154"/>
      <c r="L50" s="154"/>
      <c r="M50" s="176"/>
      <c r="N50" s="418">
        <v>107</v>
      </c>
      <c r="O50" s="176"/>
      <c r="P50" s="203">
        <v>7266.87</v>
      </c>
      <c r="Q50" s="203"/>
      <c r="R50" s="203">
        <v>144126.34</v>
      </c>
      <c r="S50" s="176">
        <v>5043</v>
      </c>
      <c r="T50" s="188" t="s">
        <v>171</v>
      </c>
      <c r="U50" s="176"/>
      <c r="V50" s="176"/>
      <c r="W50" s="176"/>
      <c r="X50" s="203">
        <f t="shared" si="4"/>
        <v>157211.20000000001</v>
      </c>
      <c r="Y50" s="203">
        <v>-7546.14</v>
      </c>
      <c r="Z50" s="203">
        <v>0</v>
      </c>
      <c r="AA50" s="203">
        <v>149665.06</v>
      </c>
      <c r="AB50" s="446">
        <v>5168</v>
      </c>
      <c r="AC50" s="444" t="s">
        <v>172</v>
      </c>
      <c r="AD50" s="444" t="s">
        <v>173</v>
      </c>
      <c r="AE50" s="177" t="b">
        <v>1</v>
      </c>
      <c r="AF50" s="177" t="b">
        <v>1</v>
      </c>
      <c r="AG50" s="392">
        <f>(AB50-S50)/S50</f>
        <v>2.4786833234186002E-2</v>
      </c>
      <c r="AH50" s="392">
        <f>(AA50-R50)/R50</f>
        <v>3.8429616682141524E-2</v>
      </c>
      <c r="AI50" s="203">
        <f t="shared" si="2"/>
        <v>160682.82</v>
      </c>
      <c r="AJ50" s="368">
        <v>-7712.78</v>
      </c>
      <c r="AK50" s="368">
        <v>0</v>
      </c>
      <c r="AL50" s="368">
        <v>152970.04</v>
      </c>
      <c r="AM50" s="1068">
        <v>5101</v>
      </c>
      <c r="AN50" s="172">
        <v>46122</v>
      </c>
      <c r="AO50" s="171" t="s">
        <v>174</v>
      </c>
      <c r="AP50" s="861" t="b">
        <v>1</v>
      </c>
      <c r="AQ50" s="861" t="b">
        <v>1</v>
      </c>
      <c r="AR50" s="392">
        <f t="shared" si="5"/>
        <v>-1.2964396284829722E-2</v>
      </c>
      <c r="AS50" s="392">
        <f>(AL50-AA50)/AA50</f>
        <v>2.2082508769916041E-2</v>
      </c>
      <c r="AT50" s="203">
        <f t="shared" si="3"/>
        <v>0</v>
      </c>
      <c r="AU50" s="203"/>
      <c r="AV50" s="203"/>
      <c r="AW50" s="203"/>
      <c r="AX50" s="176"/>
      <c r="AY50" s="176"/>
      <c r="AZ50" s="176"/>
      <c r="BA50" s="177" t="b">
        <v>0</v>
      </c>
      <c r="BB50" s="177" t="b">
        <v>0</v>
      </c>
      <c r="BC50" s="176">
        <f>(AX50-AM50)/AM50</f>
        <v>-1</v>
      </c>
      <c r="BD50" s="176">
        <f>(AW50-AL50)/AL50</f>
        <v>-1</v>
      </c>
      <c r="BE50" s="203">
        <f>BH50 + ABS(BF50) + ABS(BG50)</f>
        <v>0</v>
      </c>
      <c r="BF50" s="203"/>
      <c r="BG50" s="203"/>
      <c r="BH50" s="203"/>
      <c r="BI50" s="176"/>
      <c r="BJ50" s="176"/>
      <c r="BK50" s="176"/>
      <c r="BL50" s="177" t="b">
        <v>0</v>
      </c>
      <c r="BM50" s="177" t="b">
        <v>0</v>
      </c>
      <c r="BN50" s="176" t="e">
        <f>(BI50-AZ50)/AZ50</f>
        <v>#DIV/0!</v>
      </c>
      <c r="BO50" s="176" t="e">
        <f>(BH50-AW50)/AW50</f>
        <v>#DIV/0!</v>
      </c>
      <c r="BP50" s="203">
        <f>BS50 + ABS(BQ50) + ABS(BR50)</f>
        <v>0</v>
      </c>
      <c r="BQ50" s="203"/>
      <c r="BR50" s="203"/>
      <c r="BS50" s="203"/>
      <c r="BT50" s="176"/>
      <c r="BU50" s="176"/>
      <c r="BV50" s="176"/>
      <c r="BW50" s="177" t="b">
        <v>0</v>
      </c>
      <c r="BX50" s="177" t="b">
        <v>0</v>
      </c>
      <c r="BY50" s="176" t="e">
        <f>(BT50-BI50)/BI50</f>
        <v>#DIV/0!</v>
      </c>
      <c r="BZ50" s="176" t="e">
        <f>(BS50-BH50)/BH50</f>
        <v>#DIV/0!</v>
      </c>
      <c r="CA50" s="203">
        <f>CD50 + ABS(CB50) + ABS(CC50)</f>
        <v>0</v>
      </c>
      <c r="CB50" s="203"/>
      <c r="CC50" s="203"/>
      <c r="CD50" s="203"/>
      <c r="CE50" s="176"/>
      <c r="CF50" s="176"/>
      <c r="CG50" s="176"/>
      <c r="CH50" s="177" t="b">
        <v>0</v>
      </c>
      <c r="CI50" s="177" t="b">
        <v>0</v>
      </c>
      <c r="CJ50" s="176" t="e">
        <f>(CE50-BV50)/BV50</f>
        <v>#DIV/0!</v>
      </c>
      <c r="CK50" s="176" t="e">
        <f>(CD50-BS50)/BS50</f>
        <v>#DIV/0!</v>
      </c>
      <c r="CL50" s="203">
        <f>CO50 + ABS(CM50) + ABS(CN50)</f>
        <v>0</v>
      </c>
      <c r="CM50" s="203"/>
      <c r="CN50" s="203"/>
      <c r="CO50" s="203"/>
      <c r="CP50" s="176"/>
      <c r="CQ50" s="176"/>
      <c r="CR50" s="176"/>
      <c r="CS50" s="177" t="b">
        <v>0</v>
      </c>
      <c r="CT50" s="177" t="b">
        <v>0</v>
      </c>
      <c r="CU50" s="176" t="e">
        <f>(CP50-CE50)/CE50</f>
        <v>#DIV/0!</v>
      </c>
      <c r="CV50" s="176" t="e">
        <f>(CO50-CD50)/CD50</f>
        <v>#DIV/0!</v>
      </c>
      <c r="CW50" s="203">
        <f>CZ50 + ABS(CX50) + ABS(CY50)</f>
        <v>0</v>
      </c>
      <c r="CX50" s="203"/>
      <c r="CY50" s="203"/>
      <c r="CZ50" s="203"/>
      <c r="DA50" s="176"/>
      <c r="DB50" s="176"/>
      <c r="DC50" s="176"/>
      <c r="DD50" s="177" t="b">
        <v>0</v>
      </c>
      <c r="DE50" s="177" t="b">
        <v>0</v>
      </c>
      <c r="DF50" s="176" t="e">
        <f>(DA50-CR50)/CR50</f>
        <v>#DIV/0!</v>
      </c>
      <c r="DG50" s="176" t="e">
        <f>(CZ50-CO50)/CO50</f>
        <v>#DIV/0!</v>
      </c>
      <c r="DH50" s="203">
        <f>DK50 + ABS(DI50) + ABS(DJ50)</f>
        <v>0</v>
      </c>
      <c r="DI50" s="203"/>
      <c r="DJ50" s="203"/>
      <c r="DK50" s="203"/>
      <c r="DL50" s="176"/>
      <c r="DM50" s="176"/>
      <c r="DN50" s="176"/>
      <c r="DO50" s="177" t="b">
        <v>0</v>
      </c>
      <c r="DP50" s="177" t="b">
        <v>0</v>
      </c>
      <c r="DQ50" s="176" t="e">
        <f>(DL50-DA50)/DA50</f>
        <v>#DIV/0!</v>
      </c>
      <c r="DR50" s="176" t="e">
        <f>(DK50-CZ50)/CZ50</f>
        <v>#DIV/0!</v>
      </c>
      <c r="DS50" s="203">
        <f>DV50 + ABS(DT50) + ABS(DU50)</f>
        <v>0</v>
      </c>
      <c r="DT50" s="203"/>
      <c r="DU50" s="203"/>
      <c r="DV50" s="203"/>
      <c r="DW50" s="176"/>
      <c r="DX50" s="176"/>
      <c r="DY50" s="176"/>
      <c r="DZ50" s="177" t="b">
        <v>0</v>
      </c>
      <c r="EA50" s="177" t="b">
        <v>0</v>
      </c>
      <c r="EB50" s="176" t="e">
        <f>(DW50-DN50)/DN50</f>
        <v>#DIV/0!</v>
      </c>
      <c r="EC50" s="176" t="e">
        <f>(DV50-DK50)/DK50</f>
        <v>#DIV/0!</v>
      </c>
      <c r="ED50" s="203">
        <f>EG50 + ABS(EE50) + ABS(EF50)</f>
        <v>0</v>
      </c>
      <c r="EE50" s="203"/>
      <c r="EF50" s="203"/>
      <c r="EG50" s="203"/>
      <c r="EH50" s="176"/>
      <c r="EI50" s="176"/>
      <c r="EJ50" s="176"/>
      <c r="EK50" s="177" t="b">
        <v>0</v>
      </c>
      <c r="EL50" s="177" t="b">
        <v>0</v>
      </c>
      <c r="EM50" s="176" t="e">
        <f>(EH50-DW50)/DW50</f>
        <v>#DIV/0!</v>
      </c>
      <c r="EN50" s="176" t="e">
        <f>(EG50-DV50)/DV50</f>
        <v>#DIV/0!</v>
      </c>
      <c r="EO50" s="203">
        <f>ER50 + ABS(EP50) + ABS(EQ50)</f>
        <v>0</v>
      </c>
      <c r="EP50" s="203"/>
      <c r="EQ50" s="203"/>
      <c r="ER50" s="203"/>
      <c r="ES50" s="176"/>
      <c r="ET50" s="176"/>
      <c r="EU50" s="176"/>
      <c r="EV50" s="177" t="b">
        <v>0</v>
      </c>
      <c r="EW50" s="177" t="b">
        <v>0</v>
      </c>
      <c r="EX50" s="176" t="e">
        <f>(ES50-EJ50)/EJ50</f>
        <v>#DIV/0!</v>
      </c>
      <c r="EY50" s="176" t="e">
        <f>(ER50-EG50)/EG50</f>
        <v>#DIV/0!</v>
      </c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801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</row>
    <row r="51" spans="2:221" ht="15">
      <c r="B51" s="175"/>
      <c r="C51" s="802" t="s">
        <v>292</v>
      </c>
      <c r="D51" s="154">
        <v>1450022</v>
      </c>
      <c r="E51" s="154">
        <v>125</v>
      </c>
      <c r="F51" s="154" t="s">
        <v>293</v>
      </c>
      <c r="G51" s="255" t="s">
        <v>294</v>
      </c>
      <c r="H51" s="171" t="s">
        <v>169</v>
      </c>
      <c r="I51" s="445" t="s">
        <v>170</v>
      </c>
      <c r="J51" s="154"/>
      <c r="K51" s="154"/>
      <c r="L51" s="154"/>
      <c r="M51" s="176"/>
      <c r="N51" s="418">
        <v>107</v>
      </c>
      <c r="O51" s="176"/>
      <c r="P51" s="203">
        <v>3570.92</v>
      </c>
      <c r="Q51" s="203"/>
      <c r="R51" s="203">
        <v>70823.320000000007</v>
      </c>
      <c r="S51" s="176">
        <v>2498</v>
      </c>
      <c r="T51" s="188" t="s">
        <v>171</v>
      </c>
      <c r="U51" s="176"/>
      <c r="V51" s="176"/>
      <c r="W51" s="176"/>
      <c r="X51" s="203">
        <f t="shared" si="4"/>
        <v>81900.260000000009</v>
      </c>
      <c r="Y51" s="203">
        <v>-3931.21</v>
      </c>
      <c r="Z51" s="203">
        <v>0</v>
      </c>
      <c r="AA51" s="203">
        <v>77969.05</v>
      </c>
      <c r="AB51" s="446">
        <v>2711</v>
      </c>
      <c r="AC51" s="444" t="s">
        <v>172</v>
      </c>
      <c r="AD51" s="444" t="s">
        <v>173</v>
      </c>
      <c r="AE51" s="177" t="b">
        <v>1</v>
      </c>
      <c r="AF51" s="177" t="b">
        <v>1</v>
      </c>
      <c r="AG51" s="392">
        <f>(AB51-S51)/S51</f>
        <v>8.5268214571657328E-2</v>
      </c>
      <c r="AH51" s="392">
        <f>(AA51-R51)/R51</f>
        <v>0.1008951571318599</v>
      </c>
      <c r="AI51" s="203">
        <f t="shared" si="2"/>
        <v>76376.070000000007</v>
      </c>
      <c r="AJ51" s="368">
        <v>-3666.05</v>
      </c>
      <c r="AK51" s="368">
        <v>0</v>
      </c>
      <c r="AL51" s="368">
        <v>72710.02</v>
      </c>
      <c r="AM51" s="1068">
        <v>2445</v>
      </c>
      <c r="AN51" s="172">
        <v>46122</v>
      </c>
      <c r="AO51" s="171" t="s">
        <v>174</v>
      </c>
      <c r="AP51" s="861" t="b">
        <v>1</v>
      </c>
      <c r="AQ51" s="861" t="b">
        <v>1</v>
      </c>
      <c r="AR51" s="392">
        <f t="shared" si="5"/>
        <v>-9.8118775359645888E-2</v>
      </c>
      <c r="AS51" s="392">
        <f>(AL51-AA51)/AA51</f>
        <v>-6.7450225442018327E-2</v>
      </c>
      <c r="AT51" s="203">
        <f t="shared" si="3"/>
        <v>0</v>
      </c>
      <c r="AU51" s="203"/>
      <c r="AV51" s="203"/>
      <c r="AW51" s="203"/>
      <c r="AX51" s="176"/>
      <c r="AY51" s="176"/>
      <c r="AZ51" s="176"/>
      <c r="BA51" s="177" t="b">
        <v>0</v>
      </c>
      <c r="BB51" s="177" t="b">
        <v>0</v>
      </c>
      <c r="BC51" s="176">
        <f>(AX51-AM51)/AM51</f>
        <v>-1</v>
      </c>
      <c r="BD51" s="176">
        <f>(AW51-AL51)/AL51</f>
        <v>-1</v>
      </c>
      <c r="BE51" s="203">
        <f>BH51 + ABS(BF51) + ABS(BG51)</f>
        <v>0</v>
      </c>
      <c r="BF51" s="203"/>
      <c r="BG51" s="203"/>
      <c r="BH51" s="203"/>
      <c r="BI51" s="176"/>
      <c r="BJ51" s="176"/>
      <c r="BK51" s="176"/>
      <c r="BL51" s="177" t="b">
        <v>0</v>
      </c>
      <c r="BM51" s="177" t="b">
        <v>0</v>
      </c>
      <c r="BN51" s="176" t="e">
        <f>(BI51-AZ51)/AZ51</f>
        <v>#DIV/0!</v>
      </c>
      <c r="BO51" s="176" t="e">
        <f>(BH51-AW51)/AW51</f>
        <v>#DIV/0!</v>
      </c>
      <c r="BP51" s="203">
        <f>BS51 + ABS(BQ51) + ABS(BR51)</f>
        <v>0</v>
      </c>
      <c r="BQ51" s="203"/>
      <c r="BR51" s="203"/>
      <c r="BS51" s="203"/>
      <c r="BT51" s="176"/>
      <c r="BU51" s="176"/>
      <c r="BV51" s="176"/>
      <c r="BW51" s="177" t="b">
        <v>0</v>
      </c>
      <c r="BX51" s="177" t="b">
        <v>0</v>
      </c>
      <c r="BY51" s="176" t="e">
        <f>(BT51-BI51)/BI51</f>
        <v>#DIV/0!</v>
      </c>
      <c r="BZ51" s="176" t="e">
        <f>(BS51-BH51)/BH51</f>
        <v>#DIV/0!</v>
      </c>
      <c r="CA51" s="203">
        <f>CD51 + ABS(CB51) + ABS(CC51)</f>
        <v>0</v>
      </c>
      <c r="CB51" s="203"/>
      <c r="CC51" s="203"/>
      <c r="CD51" s="203"/>
      <c r="CE51" s="176"/>
      <c r="CF51" s="176"/>
      <c r="CG51" s="176"/>
      <c r="CH51" s="177" t="b">
        <v>0</v>
      </c>
      <c r="CI51" s="177" t="b">
        <v>0</v>
      </c>
      <c r="CJ51" s="176" t="e">
        <f>(CE51-BV51)/BV51</f>
        <v>#DIV/0!</v>
      </c>
      <c r="CK51" s="176" t="e">
        <f>(CD51-BS51)/BS51</f>
        <v>#DIV/0!</v>
      </c>
      <c r="CL51" s="203">
        <f>CO51 + ABS(CM51) + ABS(CN51)</f>
        <v>0</v>
      </c>
      <c r="CM51" s="203"/>
      <c r="CN51" s="203"/>
      <c r="CO51" s="203"/>
      <c r="CP51" s="176"/>
      <c r="CQ51" s="176"/>
      <c r="CR51" s="176"/>
      <c r="CS51" s="177" t="b">
        <v>0</v>
      </c>
      <c r="CT51" s="177" t="b">
        <v>0</v>
      </c>
      <c r="CU51" s="176" t="e">
        <f>(CP51-CE51)/CE51</f>
        <v>#DIV/0!</v>
      </c>
      <c r="CV51" s="176" t="e">
        <f>(CO51-CD51)/CD51</f>
        <v>#DIV/0!</v>
      </c>
      <c r="CW51" s="203">
        <f>CZ51 + ABS(CX51) + ABS(CY51)</f>
        <v>0</v>
      </c>
      <c r="CX51" s="203"/>
      <c r="CY51" s="203"/>
      <c r="CZ51" s="203"/>
      <c r="DA51" s="176"/>
      <c r="DB51" s="176"/>
      <c r="DC51" s="176"/>
      <c r="DD51" s="177" t="b">
        <v>0</v>
      </c>
      <c r="DE51" s="177" t="b">
        <v>0</v>
      </c>
      <c r="DF51" s="176" t="e">
        <f>(DA51-CR51)/CR51</f>
        <v>#DIV/0!</v>
      </c>
      <c r="DG51" s="176" t="e">
        <f>(CZ51-CO51)/CO51</f>
        <v>#DIV/0!</v>
      </c>
      <c r="DH51" s="203">
        <f>DK51 + ABS(DI51) + ABS(DJ51)</f>
        <v>0</v>
      </c>
      <c r="DI51" s="203"/>
      <c r="DJ51" s="203"/>
      <c r="DK51" s="203"/>
      <c r="DL51" s="176"/>
      <c r="DM51" s="176"/>
      <c r="DN51" s="176"/>
      <c r="DO51" s="177" t="b">
        <v>0</v>
      </c>
      <c r="DP51" s="177" t="b">
        <v>0</v>
      </c>
      <c r="DQ51" s="176" t="e">
        <f>(DL51-DA51)/DA51</f>
        <v>#DIV/0!</v>
      </c>
      <c r="DR51" s="176" t="e">
        <f>(DK51-CZ51)/CZ51</f>
        <v>#DIV/0!</v>
      </c>
      <c r="DS51" s="203">
        <f>DV51 + ABS(DT51) + ABS(DU51)</f>
        <v>0</v>
      </c>
      <c r="DT51" s="203"/>
      <c r="DU51" s="203"/>
      <c r="DV51" s="203"/>
      <c r="DW51" s="176"/>
      <c r="DX51" s="176"/>
      <c r="DY51" s="176"/>
      <c r="DZ51" s="177" t="b">
        <v>0</v>
      </c>
      <c r="EA51" s="177" t="b">
        <v>0</v>
      </c>
      <c r="EB51" s="176" t="e">
        <f>(DW51-DN51)/DN51</f>
        <v>#DIV/0!</v>
      </c>
      <c r="EC51" s="176" t="e">
        <f>(DV51-DK51)/DK51</f>
        <v>#DIV/0!</v>
      </c>
      <c r="ED51" s="203">
        <f>EG51 + ABS(EE51) + ABS(EF51)</f>
        <v>0</v>
      </c>
      <c r="EE51" s="203"/>
      <c r="EF51" s="203"/>
      <c r="EG51" s="203"/>
      <c r="EH51" s="176"/>
      <c r="EI51" s="176"/>
      <c r="EJ51" s="176"/>
      <c r="EK51" s="177" t="b">
        <v>0</v>
      </c>
      <c r="EL51" s="177" t="b">
        <v>0</v>
      </c>
      <c r="EM51" s="176" t="e">
        <f>(EH51-DW51)/DW51</f>
        <v>#DIV/0!</v>
      </c>
      <c r="EN51" s="176" t="e">
        <f>(EG51-DV51)/DV51</f>
        <v>#DIV/0!</v>
      </c>
      <c r="EO51" s="203">
        <f>ER51 + ABS(EP51) + ABS(EQ51)</f>
        <v>0</v>
      </c>
      <c r="EP51" s="203"/>
      <c r="EQ51" s="203"/>
      <c r="ER51" s="203"/>
      <c r="ES51" s="176"/>
      <c r="ET51" s="176"/>
      <c r="EU51" s="176"/>
      <c r="EV51" s="177" t="b">
        <v>0</v>
      </c>
      <c r="EW51" s="177" t="b">
        <v>0</v>
      </c>
      <c r="EX51" s="176" t="e">
        <f>(ES51-EJ51)/EJ51</f>
        <v>#DIV/0!</v>
      </c>
      <c r="EY51" s="176" t="e">
        <f>(ER51-EG51)/EG51</f>
        <v>#DIV/0!</v>
      </c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801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</row>
    <row r="52" spans="2:221" ht="15">
      <c r="B52" s="175"/>
      <c r="C52" s="800" t="s">
        <v>295</v>
      </c>
      <c r="D52" s="357">
        <v>1450022</v>
      </c>
      <c r="E52" s="357">
        <v>148</v>
      </c>
      <c r="F52" s="357" t="s">
        <v>296</v>
      </c>
      <c r="G52" s="426" t="s">
        <v>297</v>
      </c>
      <c r="H52" s="148" t="s">
        <v>169</v>
      </c>
      <c r="I52" s="448" t="s">
        <v>170</v>
      </c>
      <c r="J52" s="357"/>
      <c r="K52" s="357"/>
      <c r="L52" s="357"/>
      <c r="M52" s="358"/>
      <c r="N52" s="359">
        <v>107</v>
      </c>
      <c r="O52" s="358"/>
      <c r="P52" s="402">
        <v>1475.34</v>
      </c>
      <c r="Q52" s="402"/>
      <c r="R52" s="402">
        <v>29260.94</v>
      </c>
      <c r="S52" s="358">
        <v>1055</v>
      </c>
      <c r="T52" s="188" t="s">
        <v>171</v>
      </c>
      <c r="U52" s="358"/>
      <c r="V52" s="358"/>
      <c r="W52" s="358"/>
      <c r="X52" s="402">
        <f t="shared" si="4"/>
        <v>37150.340000000004</v>
      </c>
      <c r="Y52" s="402">
        <v>-1783.22</v>
      </c>
      <c r="Z52" s="402">
        <v>0</v>
      </c>
      <c r="AA52" s="402">
        <v>35367.120000000003</v>
      </c>
      <c r="AB52" s="450">
        <v>1267</v>
      </c>
      <c r="AC52" s="426" t="s">
        <v>172</v>
      </c>
      <c r="AD52" s="426" t="s">
        <v>173</v>
      </c>
      <c r="AE52" s="164" t="b">
        <v>1</v>
      </c>
      <c r="AF52" s="164" t="b">
        <v>1</v>
      </c>
      <c r="AG52" s="409">
        <f>(AB52-S52)/S52</f>
        <v>0.20094786729857819</v>
      </c>
      <c r="AH52" s="409">
        <f>(AA52-R52)/R52</f>
        <v>0.20868024062111484</v>
      </c>
      <c r="AI52" s="402">
        <f t="shared" si="2"/>
        <v>35403.22</v>
      </c>
      <c r="AJ52" s="364">
        <v>-1699.35</v>
      </c>
      <c r="AK52" s="364">
        <v>0</v>
      </c>
      <c r="AL52" s="364">
        <v>33703.870000000003</v>
      </c>
      <c r="AM52" s="1069">
        <v>1167</v>
      </c>
      <c r="AN52" s="407">
        <v>46122</v>
      </c>
      <c r="AO52" s="148" t="s">
        <v>174</v>
      </c>
      <c r="AP52" s="860" t="b">
        <v>1</v>
      </c>
      <c r="AQ52" s="860" t="b">
        <v>1</v>
      </c>
      <c r="AR52" s="409">
        <f t="shared" si="5"/>
        <v>-7.8926598263614839E-2</v>
      </c>
      <c r="AS52" s="409">
        <f>(AL52-AA52)/AA52</f>
        <v>-4.7028143654332041E-2</v>
      </c>
      <c r="AT52" s="402">
        <f t="shared" si="3"/>
        <v>0</v>
      </c>
      <c r="AU52" s="402"/>
      <c r="AV52" s="402"/>
      <c r="AW52" s="402"/>
      <c r="AX52" s="358"/>
      <c r="AY52" s="358"/>
      <c r="AZ52" s="358"/>
      <c r="BA52" s="164" t="b">
        <v>0</v>
      </c>
      <c r="BB52" s="164" t="b">
        <v>0</v>
      </c>
      <c r="BC52" s="358">
        <f>(AX52-AM52)/AM52</f>
        <v>-1</v>
      </c>
      <c r="BD52" s="358">
        <f>(AW52-AL52)/AL52</f>
        <v>-1</v>
      </c>
      <c r="BE52" s="402">
        <f>BH52 + ABS(BF52) + ABS(BG52)</f>
        <v>0</v>
      </c>
      <c r="BF52" s="402"/>
      <c r="BG52" s="402"/>
      <c r="BH52" s="402"/>
      <c r="BI52" s="358"/>
      <c r="BJ52" s="358"/>
      <c r="BK52" s="358"/>
      <c r="BL52" s="164" t="b">
        <v>0</v>
      </c>
      <c r="BM52" s="164" t="b">
        <v>0</v>
      </c>
      <c r="BN52" s="358" t="e">
        <f>(BI52-AZ52)/AZ52</f>
        <v>#DIV/0!</v>
      </c>
      <c r="BO52" s="358" t="e">
        <f>(BH52-AW52)/AW52</f>
        <v>#DIV/0!</v>
      </c>
      <c r="BP52" s="402">
        <f>BS52 + ABS(BQ52) + ABS(BR52)</f>
        <v>0</v>
      </c>
      <c r="BQ52" s="402"/>
      <c r="BR52" s="402"/>
      <c r="BS52" s="402"/>
      <c r="BT52" s="358"/>
      <c r="BU52" s="358"/>
      <c r="BV52" s="358"/>
      <c r="BW52" s="164" t="b">
        <v>0</v>
      </c>
      <c r="BX52" s="164" t="b">
        <v>0</v>
      </c>
      <c r="BY52" s="358" t="e">
        <f>(BT52-BI52)/BI52</f>
        <v>#DIV/0!</v>
      </c>
      <c r="BZ52" s="358" t="e">
        <f>(BS52-BH52)/BH52</f>
        <v>#DIV/0!</v>
      </c>
      <c r="CA52" s="402">
        <f>CD52 + ABS(CB52) + ABS(CC52)</f>
        <v>0</v>
      </c>
      <c r="CB52" s="402"/>
      <c r="CC52" s="402"/>
      <c r="CD52" s="402"/>
      <c r="CE52" s="358"/>
      <c r="CF52" s="358"/>
      <c r="CG52" s="358"/>
      <c r="CH52" s="164" t="b">
        <v>0</v>
      </c>
      <c r="CI52" s="164" t="b">
        <v>0</v>
      </c>
      <c r="CJ52" s="358" t="e">
        <f>(CE52-BV52)/BV52</f>
        <v>#DIV/0!</v>
      </c>
      <c r="CK52" s="358" t="e">
        <f>(CD52-BS52)/BS52</f>
        <v>#DIV/0!</v>
      </c>
      <c r="CL52" s="402">
        <f>CO52 + ABS(CM52) + ABS(CN52)</f>
        <v>0</v>
      </c>
      <c r="CM52" s="402"/>
      <c r="CN52" s="402"/>
      <c r="CO52" s="402"/>
      <c r="CP52" s="358"/>
      <c r="CQ52" s="358"/>
      <c r="CR52" s="358"/>
      <c r="CS52" s="164" t="b">
        <v>0</v>
      </c>
      <c r="CT52" s="164" t="b">
        <v>0</v>
      </c>
      <c r="CU52" s="358" t="e">
        <f>(CP52-CE52)/CE52</f>
        <v>#DIV/0!</v>
      </c>
      <c r="CV52" s="358" t="e">
        <f>(CO52-CD52)/CD52</f>
        <v>#DIV/0!</v>
      </c>
      <c r="CW52" s="402">
        <f>CZ52 + ABS(CX52) + ABS(CY52)</f>
        <v>0</v>
      </c>
      <c r="CX52" s="402"/>
      <c r="CY52" s="402"/>
      <c r="CZ52" s="402"/>
      <c r="DA52" s="358"/>
      <c r="DB52" s="358"/>
      <c r="DC52" s="358"/>
      <c r="DD52" s="164" t="b">
        <v>0</v>
      </c>
      <c r="DE52" s="164" t="b">
        <v>0</v>
      </c>
      <c r="DF52" s="358" t="e">
        <f>(DA52-CR52)/CR52</f>
        <v>#DIV/0!</v>
      </c>
      <c r="DG52" s="358" t="e">
        <f>(CZ52-CO52)/CO52</f>
        <v>#DIV/0!</v>
      </c>
      <c r="DH52" s="402">
        <f>DK52 + ABS(DI52) + ABS(DJ52)</f>
        <v>0</v>
      </c>
      <c r="DI52" s="402"/>
      <c r="DJ52" s="402"/>
      <c r="DK52" s="402"/>
      <c r="DL52" s="358"/>
      <c r="DM52" s="358"/>
      <c r="DN52" s="358"/>
      <c r="DO52" s="164" t="b">
        <v>0</v>
      </c>
      <c r="DP52" s="164" t="b">
        <v>0</v>
      </c>
      <c r="DQ52" s="358" t="e">
        <f>(DL52-DA52)/DA52</f>
        <v>#DIV/0!</v>
      </c>
      <c r="DR52" s="358" t="e">
        <f>(DK52-CZ52)/CZ52</f>
        <v>#DIV/0!</v>
      </c>
      <c r="DS52" s="402">
        <f>DV52 + ABS(DT52) + ABS(DU52)</f>
        <v>0</v>
      </c>
      <c r="DT52" s="402"/>
      <c r="DU52" s="402"/>
      <c r="DV52" s="402"/>
      <c r="DW52" s="358"/>
      <c r="DX52" s="358"/>
      <c r="DY52" s="358"/>
      <c r="DZ52" s="164" t="b">
        <v>0</v>
      </c>
      <c r="EA52" s="164" t="b">
        <v>0</v>
      </c>
      <c r="EB52" s="358" t="e">
        <f>(DW52-DN52)/DN52</f>
        <v>#DIV/0!</v>
      </c>
      <c r="EC52" s="358" t="e">
        <f>(DV52-DK52)/DK52</f>
        <v>#DIV/0!</v>
      </c>
      <c r="ED52" s="402">
        <f>EG52 + ABS(EE52) + ABS(EF52)</f>
        <v>0</v>
      </c>
      <c r="EE52" s="402"/>
      <c r="EF52" s="402"/>
      <c r="EG52" s="402"/>
      <c r="EH52" s="358"/>
      <c r="EI52" s="358"/>
      <c r="EJ52" s="358"/>
      <c r="EK52" s="164" t="b">
        <v>0</v>
      </c>
      <c r="EL52" s="164" t="b">
        <v>0</v>
      </c>
      <c r="EM52" s="358" t="e">
        <f>(EH52-DW52)/DW52</f>
        <v>#DIV/0!</v>
      </c>
      <c r="EN52" s="358" t="e">
        <f>(EG52-DV52)/DV52</f>
        <v>#DIV/0!</v>
      </c>
      <c r="EO52" s="402">
        <f>ER52 + ABS(EP52) + ABS(EQ52)</f>
        <v>0</v>
      </c>
      <c r="EP52" s="402"/>
      <c r="EQ52" s="402"/>
      <c r="ER52" s="402"/>
      <c r="ES52" s="358"/>
      <c r="ET52" s="358"/>
      <c r="EU52" s="358"/>
      <c r="EV52" s="164" t="b">
        <v>0</v>
      </c>
      <c r="EW52" s="164" t="b">
        <v>0</v>
      </c>
      <c r="EX52" s="358" t="e">
        <f>(ES52-EJ52)/EJ52</f>
        <v>#DIV/0!</v>
      </c>
      <c r="EY52" s="358" t="e">
        <f>(ER52-EG52)/EG52</f>
        <v>#DIV/0!</v>
      </c>
      <c r="EZ52" s="449"/>
      <c r="FA52" s="449"/>
      <c r="FB52" s="449"/>
      <c r="FC52" s="449"/>
      <c r="FD52" s="449"/>
      <c r="FE52" s="449"/>
      <c r="FF52" s="449"/>
      <c r="FG52" s="449"/>
      <c r="FH52" s="449"/>
      <c r="FI52" s="449"/>
      <c r="FJ52" s="449"/>
      <c r="FK52" s="449"/>
      <c r="FL52" s="449"/>
      <c r="FM52" s="449"/>
      <c r="FN52" s="449"/>
      <c r="FO52" s="449"/>
      <c r="FP52" s="175"/>
      <c r="FQ52" s="801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</row>
    <row r="53" spans="2:221" ht="15">
      <c r="B53" s="175"/>
      <c r="C53" s="800" t="s">
        <v>295</v>
      </c>
      <c r="D53" s="357">
        <v>1450022</v>
      </c>
      <c r="E53" s="357">
        <v>148</v>
      </c>
      <c r="F53" s="357" t="s">
        <v>298</v>
      </c>
      <c r="G53" s="426" t="s">
        <v>299</v>
      </c>
      <c r="H53" s="148" t="s">
        <v>169</v>
      </c>
      <c r="I53" s="448" t="s">
        <v>170</v>
      </c>
      <c r="J53" s="357"/>
      <c r="K53" s="357"/>
      <c r="L53" s="357"/>
      <c r="M53" s="358"/>
      <c r="N53" s="361">
        <v>107</v>
      </c>
      <c r="O53" s="358"/>
      <c r="P53" s="402">
        <v>3</v>
      </c>
      <c r="Q53" s="402"/>
      <c r="R53" s="402">
        <v>59.46</v>
      </c>
      <c r="S53" s="358">
        <v>1</v>
      </c>
      <c r="T53" s="188" t="s">
        <v>171</v>
      </c>
      <c r="U53" s="358"/>
      <c r="V53" s="358"/>
      <c r="W53" s="358"/>
      <c r="X53" s="402">
        <f t="shared" si="4"/>
        <v>62.46</v>
      </c>
      <c r="Y53" s="402">
        <v>-3</v>
      </c>
      <c r="Z53" s="402">
        <v>0</v>
      </c>
      <c r="AA53" s="402">
        <v>59.46</v>
      </c>
      <c r="AB53" s="450">
        <v>1</v>
      </c>
      <c r="AC53" s="173" t="s">
        <v>172</v>
      </c>
      <c r="AD53" s="173" t="s">
        <v>173</v>
      </c>
      <c r="AE53" s="164" t="b">
        <v>1</v>
      </c>
      <c r="AF53" s="164" t="b">
        <v>1</v>
      </c>
      <c r="AG53" s="409">
        <f>(AB53-S53)/S53</f>
        <v>0</v>
      </c>
      <c r="AH53" s="409">
        <f>(AA53-R53)/R53</f>
        <v>0</v>
      </c>
      <c r="AI53" s="402">
        <f t="shared" si="2"/>
        <v>87.23</v>
      </c>
      <c r="AJ53" s="364">
        <v>-4.1900000000000004</v>
      </c>
      <c r="AK53" s="364">
        <v>0</v>
      </c>
      <c r="AL53" s="364">
        <v>83.04</v>
      </c>
      <c r="AM53" s="1069">
        <v>3</v>
      </c>
      <c r="AN53" s="407">
        <v>46122</v>
      </c>
      <c r="AO53" s="148" t="s">
        <v>174</v>
      </c>
      <c r="AP53" s="860" t="b">
        <v>1</v>
      </c>
      <c r="AQ53" s="860" t="b">
        <v>1</v>
      </c>
      <c r="AR53" s="409">
        <f t="shared" si="5"/>
        <v>2</v>
      </c>
      <c r="AS53" s="409">
        <f>(AL53-AA53)/AA53</f>
        <v>0.39656912209889011</v>
      </c>
      <c r="AT53" s="402">
        <f t="shared" si="3"/>
        <v>0</v>
      </c>
      <c r="AU53" s="402"/>
      <c r="AV53" s="402"/>
      <c r="AW53" s="402"/>
      <c r="AX53" s="358"/>
      <c r="AY53" s="358"/>
      <c r="AZ53" s="358"/>
      <c r="BA53" s="164" t="b">
        <v>0</v>
      </c>
      <c r="BB53" s="164" t="b">
        <v>0</v>
      </c>
      <c r="BC53" s="358">
        <f>(AX53-AM53)/AM53</f>
        <v>-1</v>
      </c>
      <c r="BD53" s="358">
        <f>(AW53-AL53)/AL53</f>
        <v>-1</v>
      </c>
      <c r="BE53" s="402">
        <f>BH53 + ABS(BF53) + ABS(BG53)</f>
        <v>0</v>
      </c>
      <c r="BF53" s="402"/>
      <c r="BG53" s="402"/>
      <c r="BH53" s="402"/>
      <c r="BI53" s="358"/>
      <c r="BJ53" s="358"/>
      <c r="BK53" s="358"/>
      <c r="BL53" s="164" t="b">
        <v>0</v>
      </c>
      <c r="BM53" s="164" t="b">
        <v>0</v>
      </c>
      <c r="BN53" s="358" t="e">
        <f>(BI53-AZ53)/AZ53</f>
        <v>#DIV/0!</v>
      </c>
      <c r="BO53" s="358" t="e">
        <f>(BH53-AW53)/AW53</f>
        <v>#DIV/0!</v>
      </c>
      <c r="BP53" s="402">
        <f>BS53 + ABS(BQ53) + ABS(BR53)</f>
        <v>0</v>
      </c>
      <c r="BQ53" s="402"/>
      <c r="BR53" s="402"/>
      <c r="BS53" s="402"/>
      <c r="BT53" s="358"/>
      <c r="BU53" s="358"/>
      <c r="BV53" s="358"/>
      <c r="BW53" s="164" t="b">
        <v>0</v>
      </c>
      <c r="BX53" s="164" t="b">
        <v>0</v>
      </c>
      <c r="BY53" s="358" t="e">
        <f>(BT53-BI53)/BI53</f>
        <v>#DIV/0!</v>
      </c>
      <c r="BZ53" s="358" t="e">
        <f>(BS53-BH53)/BH53</f>
        <v>#DIV/0!</v>
      </c>
      <c r="CA53" s="402">
        <f>CD53 + ABS(CB53) + ABS(CC53)</f>
        <v>0</v>
      </c>
      <c r="CB53" s="402"/>
      <c r="CC53" s="402"/>
      <c r="CD53" s="402"/>
      <c r="CE53" s="358"/>
      <c r="CF53" s="358"/>
      <c r="CG53" s="358"/>
      <c r="CH53" s="164" t="b">
        <v>0</v>
      </c>
      <c r="CI53" s="164" t="b">
        <v>0</v>
      </c>
      <c r="CJ53" s="358" t="e">
        <f>(CE53-BV53)/BV53</f>
        <v>#DIV/0!</v>
      </c>
      <c r="CK53" s="358" t="e">
        <f>(CD53-BS53)/BS53</f>
        <v>#DIV/0!</v>
      </c>
      <c r="CL53" s="402">
        <f>CO53 + ABS(CM53) + ABS(CN53)</f>
        <v>0</v>
      </c>
      <c r="CM53" s="402"/>
      <c r="CN53" s="402"/>
      <c r="CO53" s="402"/>
      <c r="CP53" s="358"/>
      <c r="CQ53" s="358"/>
      <c r="CR53" s="358"/>
      <c r="CS53" s="164" t="b">
        <v>0</v>
      </c>
      <c r="CT53" s="164" t="b">
        <v>0</v>
      </c>
      <c r="CU53" s="358" t="e">
        <f>(CP53-CE53)/CE53</f>
        <v>#DIV/0!</v>
      </c>
      <c r="CV53" s="358" t="e">
        <f>(CO53-CD53)/CD53</f>
        <v>#DIV/0!</v>
      </c>
      <c r="CW53" s="402">
        <f>CZ53 + ABS(CX53) + ABS(CY53)</f>
        <v>0</v>
      </c>
      <c r="CX53" s="402"/>
      <c r="CY53" s="402"/>
      <c r="CZ53" s="402"/>
      <c r="DA53" s="358"/>
      <c r="DB53" s="358"/>
      <c r="DC53" s="358"/>
      <c r="DD53" s="164" t="b">
        <v>0</v>
      </c>
      <c r="DE53" s="164" t="b">
        <v>0</v>
      </c>
      <c r="DF53" s="358" t="e">
        <f>(DA53-CR53)/CR53</f>
        <v>#DIV/0!</v>
      </c>
      <c r="DG53" s="358" t="e">
        <f>(CZ53-CO53)/CO53</f>
        <v>#DIV/0!</v>
      </c>
      <c r="DH53" s="402">
        <f>DK53 + ABS(DI53) + ABS(DJ53)</f>
        <v>0</v>
      </c>
      <c r="DI53" s="402"/>
      <c r="DJ53" s="402"/>
      <c r="DK53" s="402"/>
      <c r="DL53" s="358"/>
      <c r="DM53" s="358"/>
      <c r="DN53" s="358"/>
      <c r="DO53" s="164" t="b">
        <v>0</v>
      </c>
      <c r="DP53" s="164" t="b">
        <v>0</v>
      </c>
      <c r="DQ53" s="358" t="e">
        <f>(DL53-DA53)/DA53</f>
        <v>#DIV/0!</v>
      </c>
      <c r="DR53" s="358" t="e">
        <f>(DK53-CZ53)/CZ53</f>
        <v>#DIV/0!</v>
      </c>
      <c r="DS53" s="402">
        <f>DV53 + ABS(DT53) + ABS(DU53)</f>
        <v>0</v>
      </c>
      <c r="DT53" s="402"/>
      <c r="DU53" s="402"/>
      <c r="DV53" s="402"/>
      <c r="DW53" s="358"/>
      <c r="DX53" s="358"/>
      <c r="DY53" s="358"/>
      <c r="DZ53" s="164" t="b">
        <v>0</v>
      </c>
      <c r="EA53" s="164" t="b">
        <v>0</v>
      </c>
      <c r="EB53" s="358" t="e">
        <f>(DW53-DN53)/DN53</f>
        <v>#DIV/0!</v>
      </c>
      <c r="EC53" s="358" t="e">
        <f>(DV53-DK53)/DK53</f>
        <v>#DIV/0!</v>
      </c>
      <c r="ED53" s="402">
        <f>EG53 + ABS(EE53) + ABS(EF53)</f>
        <v>0</v>
      </c>
      <c r="EE53" s="402"/>
      <c r="EF53" s="402"/>
      <c r="EG53" s="402"/>
      <c r="EH53" s="358"/>
      <c r="EI53" s="358"/>
      <c r="EJ53" s="358"/>
      <c r="EK53" s="164" t="b">
        <v>0</v>
      </c>
      <c r="EL53" s="164" t="b">
        <v>0</v>
      </c>
      <c r="EM53" s="358" t="e">
        <f>(EH53-DW53)/DW53</f>
        <v>#DIV/0!</v>
      </c>
      <c r="EN53" s="358" t="e">
        <f>(EG53-DV53)/DV53</f>
        <v>#DIV/0!</v>
      </c>
      <c r="EO53" s="402">
        <f>ER53 + ABS(EP53) + ABS(EQ53)</f>
        <v>0</v>
      </c>
      <c r="EP53" s="402"/>
      <c r="EQ53" s="402"/>
      <c r="ER53" s="402"/>
      <c r="ES53" s="358"/>
      <c r="ET53" s="358"/>
      <c r="EU53" s="358"/>
      <c r="EV53" s="164" t="b">
        <v>0</v>
      </c>
      <c r="EW53" s="164" t="b">
        <v>0</v>
      </c>
      <c r="EX53" s="358" t="e">
        <f>(ES53-EJ53)/EJ53</f>
        <v>#DIV/0!</v>
      </c>
      <c r="EY53" s="358" t="e">
        <f>(ER53-EG53)/EG53</f>
        <v>#DIV/0!</v>
      </c>
      <c r="EZ53" s="449"/>
      <c r="FA53" s="449"/>
      <c r="FB53" s="449"/>
      <c r="FC53" s="449"/>
      <c r="FD53" s="449"/>
      <c r="FE53" s="449"/>
      <c r="FF53" s="449"/>
      <c r="FG53" s="449"/>
      <c r="FH53" s="449"/>
      <c r="FI53" s="449"/>
      <c r="FJ53" s="449"/>
      <c r="FK53" s="449"/>
      <c r="FL53" s="449"/>
      <c r="FM53" s="449"/>
      <c r="FN53" s="449"/>
      <c r="FO53" s="449"/>
      <c r="FP53" s="175"/>
      <c r="FQ53" s="801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</row>
    <row r="54" spans="2:221" ht="15">
      <c r="B54" s="175"/>
      <c r="C54" s="800" t="s">
        <v>295</v>
      </c>
      <c r="D54" s="357">
        <v>1450022</v>
      </c>
      <c r="E54" s="357">
        <v>148</v>
      </c>
      <c r="F54" s="357" t="s">
        <v>300</v>
      </c>
      <c r="G54" s="426" t="s">
        <v>301</v>
      </c>
      <c r="H54" s="148" t="s">
        <v>169</v>
      </c>
      <c r="I54" s="448" t="s">
        <v>170</v>
      </c>
      <c r="J54" s="357"/>
      <c r="K54" s="357"/>
      <c r="L54" s="357"/>
      <c r="M54" s="358"/>
      <c r="N54" s="359">
        <v>107</v>
      </c>
      <c r="O54" s="358"/>
      <c r="P54" s="402">
        <v>229.97</v>
      </c>
      <c r="Q54" s="402"/>
      <c r="R54" s="402">
        <v>4561.09</v>
      </c>
      <c r="S54" s="358">
        <v>197</v>
      </c>
      <c r="T54" s="188" t="s">
        <v>171</v>
      </c>
      <c r="U54" s="358"/>
      <c r="V54" s="358"/>
      <c r="W54" s="358"/>
      <c r="X54" s="402">
        <f t="shared" si="4"/>
        <v>4044.89</v>
      </c>
      <c r="Y54" s="402">
        <v>-194.15</v>
      </c>
      <c r="Z54" s="402">
        <v>0</v>
      </c>
      <c r="AA54" s="402">
        <v>3850.74</v>
      </c>
      <c r="AB54" s="450">
        <v>168</v>
      </c>
      <c r="AC54" s="426" t="s">
        <v>172</v>
      </c>
      <c r="AD54" s="426" t="s">
        <v>173</v>
      </c>
      <c r="AE54" s="164" t="b">
        <v>1</v>
      </c>
      <c r="AF54" s="164" t="b">
        <v>1</v>
      </c>
      <c r="AG54" s="409">
        <f>(AB54-S54)/S54</f>
        <v>-0.14720812182741116</v>
      </c>
      <c r="AH54" s="409">
        <f>(AA54-R54)/R54</f>
        <v>-0.15574128114113081</v>
      </c>
      <c r="AI54" s="402">
        <f t="shared" si="2"/>
        <v>2200.2800000000002</v>
      </c>
      <c r="AJ54" s="364">
        <v>-105.61</v>
      </c>
      <c r="AK54" s="364">
        <v>0</v>
      </c>
      <c r="AL54" s="364">
        <v>2094.67</v>
      </c>
      <c r="AM54" s="1069">
        <v>93</v>
      </c>
      <c r="AN54" s="407">
        <v>46122</v>
      </c>
      <c r="AO54" s="148" t="s">
        <v>174</v>
      </c>
      <c r="AP54" s="860" t="b">
        <v>1</v>
      </c>
      <c r="AQ54" s="860" t="b">
        <v>1</v>
      </c>
      <c r="AR54" s="409">
        <f t="shared" si="5"/>
        <v>-0.44642857142857145</v>
      </c>
      <c r="AS54" s="409">
        <f>(AL54-AA54)/AA54</f>
        <v>-0.45603442455216397</v>
      </c>
      <c r="AT54" s="402">
        <f t="shared" si="3"/>
        <v>0</v>
      </c>
      <c r="AU54" s="402"/>
      <c r="AV54" s="402"/>
      <c r="AW54" s="402"/>
      <c r="AX54" s="358"/>
      <c r="AY54" s="358"/>
      <c r="AZ54" s="358"/>
      <c r="BA54" s="164" t="b">
        <v>0</v>
      </c>
      <c r="BB54" s="164" t="b">
        <v>0</v>
      </c>
      <c r="BC54" s="358">
        <f>(AX54-AM54)/AM54</f>
        <v>-1</v>
      </c>
      <c r="BD54" s="358">
        <f>(AW54-AL54)/AL54</f>
        <v>-1</v>
      </c>
      <c r="BE54" s="402">
        <f>BH54 + ABS(BF54) + ABS(BG54)</f>
        <v>0</v>
      </c>
      <c r="BF54" s="402"/>
      <c r="BG54" s="402"/>
      <c r="BH54" s="402"/>
      <c r="BI54" s="358"/>
      <c r="BJ54" s="358"/>
      <c r="BK54" s="358"/>
      <c r="BL54" s="164" t="b">
        <v>0</v>
      </c>
      <c r="BM54" s="164" t="b">
        <v>0</v>
      </c>
      <c r="BN54" s="358" t="e">
        <f>(BI54-AZ54)/AZ54</f>
        <v>#DIV/0!</v>
      </c>
      <c r="BO54" s="358" t="e">
        <f>(BH54-AW54)/AW54</f>
        <v>#DIV/0!</v>
      </c>
      <c r="BP54" s="402">
        <f>BS54 + ABS(BQ54) + ABS(BR54)</f>
        <v>0</v>
      </c>
      <c r="BQ54" s="402"/>
      <c r="BR54" s="402"/>
      <c r="BS54" s="402"/>
      <c r="BT54" s="358"/>
      <c r="BU54" s="358"/>
      <c r="BV54" s="358"/>
      <c r="BW54" s="164" t="b">
        <v>0</v>
      </c>
      <c r="BX54" s="164" t="b">
        <v>0</v>
      </c>
      <c r="BY54" s="358" t="e">
        <f>(BT54-BI54)/BI54</f>
        <v>#DIV/0!</v>
      </c>
      <c r="BZ54" s="358" t="e">
        <f>(BS54-BH54)/BH54</f>
        <v>#DIV/0!</v>
      </c>
      <c r="CA54" s="402">
        <f>CD54 + ABS(CB54) + ABS(CC54)</f>
        <v>0</v>
      </c>
      <c r="CB54" s="402"/>
      <c r="CC54" s="402"/>
      <c r="CD54" s="402"/>
      <c r="CE54" s="358"/>
      <c r="CF54" s="358"/>
      <c r="CG54" s="358"/>
      <c r="CH54" s="164" t="b">
        <v>0</v>
      </c>
      <c r="CI54" s="164" t="b">
        <v>0</v>
      </c>
      <c r="CJ54" s="358" t="e">
        <f>(CE54-BV54)/BV54</f>
        <v>#DIV/0!</v>
      </c>
      <c r="CK54" s="358" t="e">
        <f>(CD54-BS54)/BS54</f>
        <v>#DIV/0!</v>
      </c>
      <c r="CL54" s="402">
        <f>CO54 + ABS(CM54) + ABS(CN54)</f>
        <v>0</v>
      </c>
      <c r="CM54" s="402"/>
      <c r="CN54" s="402"/>
      <c r="CO54" s="402"/>
      <c r="CP54" s="358"/>
      <c r="CQ54" s="358"/>
      <c r="CR54" s="358"/>
      <c r="CS54" s="164" t="b">
        <v>0</v>
      </c>
      <c r="CT54" s="164" t="b">
        <v>0</v>
      </c>
      <c r="CU54" s="358" t="e">
        <f>(CP54-CE54)/CE54</f>
        <v>#DIV/0!</v>
      </c>
      <c r="CV54" s="358" t="e">
        <f>(CO54-CD54)/CD54</f>
        <v>#DIV/0!</v>
      </c>
      <c r="CW54" s="402">
        <f>CZ54 + ABS(CX54) + ABS(CY54)</f>
        <v>0</v>
      </c>
      <c r="CX54" s="402"/>
      <c r="CY54" s="402"/>
      <c r="CZ54" s="402"/>
      <c r="DA54" s="358"/>
      <c r="DB54" s="358"/>
      <c r="DC54" s="358"/>
      <c r="DD54" s="164" t="b">
        <v>0</v>
      </c>
      <c r="DE54" s="164" t="b">
        <v>0</v>
      </c>
      <c r="DF54" s="358" t="e">
        <f>(DA54-CR54)/CR54</f>
        <v>#DIV/0!</v>
      </c>
      <c r="DG54" s="358" t="e">
        <f>(CZ54-CO54)/CO54</f>
        <v>#DIV/0!</v>
      </c>
      <c r="DH54" s="402">
        <f>DK54 + ABS(DI54) + ABS(DJ54)</f>
        <v>0</v>
      </c>
      <c r="DI54" s="402"/>
      <c r="DJ54" s="402"/>
      <c r="DK54" s="402"/>
      <c r="DL54" s="358"/>
      <c r="DM54" s="358"/>
      <c r="DN54" s="358"/>
      <c r="DO54" s="164" t="b">
        <v>0</v>
      </c>
      <c r="DP54" s="164" t="b">
        <v>0</v>
      </c>
      <c r="DQ54" s="358" t="e">
        <f>(DL54-DA54)/DA54</f>
        <v>#DIV/0!</v>
      </c>
      <c r="DR54" s="358" t="e">
        <f>(DK54-CZ54)/CZ54</f>
        <v>#DIV/0!</v>
      </c>
      <c r="DS54" s="402">
        <f>DV54 + ABS(DT54) + ABS(DU54)</f>
        <v>0</v>
      </c>
      <c r="DT54" s="402"/>
      <c r="DU54" s="402"/>
      <c r="DV54" s="402"/>
      <c r="DW54" s="358"/>
      <c r="DX54" s="358"/>
      <c r="DY54" s="358"/>
      <c r="DZ54" s="164" t="b">
        <v>0</v>
      </c>
      <c r="EA54" s="164" t="b">
        <v>0</v>
      </c>
      <c r="EB54" s="358" t="e">
        <f>(DW54-DN54)/DN54</f>
        <v>#DIV/0!</v>
      </c>
      <c r="EC54" s="358" t="e">
        <f>(DV54-DK54)/DK54</f>
        <v>#DIV/0!</v>
      </c>
      <c r="ED54" s="402">
        <f>EG54 + ABS(EE54) + ABS(EF54)</f>
        <v>0</v>
      </c>
      <c r="EE54" s="402"/>
      <c r="EF54" s="402"/>
      <c r="EG54" s="402"/>
      <c r="EH54" s="358"/>
      <c r="EI54" s="358"/>
      <c r="EJ54" s="358"/>
      <c r="EK54" s="164" t="b">
        <v>0</v>
      </c>
      <c r="EL54" s="164" t="b">
        <v>0</v>
      </c>
      <c r="EM54" s="358" t="e">
        <f>(EH54-DW54)/DW54</f>
        <v>#DIV/0!</v>
      </c>
      <c r="EN54" s="358" t="e">
        <f>(EG54-DV54)/DV54</f>
        <v>#DIV/0!</v>
      </c>
      <c r="EO54" s="402">
        <f>ER54 + ABS(EP54) + ABS(EQ54)</f>
        <v>0</v>
      </c>
      <c r="EP54" s="402"/>
      <c r="EQ54" s="402"/>
      <c r="ER54" s="402"/>
      <c r="ES54" s="358"/>
      <c r="ET54" s="358"/>
      <c r="EU54" s="358"/>
      <c r="EV54" s="164" t="b">
        <v>0</v>
      </c>
      <c r="EW54" s="164" t="b">
        <v>0</v>
      </c>
      <c r="EX54" s="358" t="e">
        <f>(ES54-EJ54)/EJ54</f>
        <v>#DIV/0!</v>
      </c>
      <c r="EY54" s="358" t="e">
        <f>(ER54-EG54)/EG54</f>
        <v>#DIV/0!</v>
      </c>
      <c r="EZ54" s="449"/>
      <c r="FA54" s="449"/>
      <c r="FB54" s="449"/>
      <c r="FC54" s="449"/>
      <c r="FD54" s="449"/>
      <c r="FE54" s="449"/>
      <c r="FF54" s="449"/>
      <c r="FG54" s="449"/>
      <c r="FH54" s="449"/>
      <c r="FI54" s="449"/>
      <c r="FJ54" s="449"/>
      <c r="FK54" s="449"/>
      <c r="FL54" s="449"/>
      <c r="FM54" s="449"/>
      <c r="FN54" s="449"/>
      <c r="FO54" s="449"/>
      <c r="FP54" s="175"/>
      <c r="FQ54" s="801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</row>
    <row r="55" spans="2:221" ht="15">
      <c r="B55" s="175"/>
      <c r="C55" s="802" t="s">
        <v>302</v>
      </c>
      <c r="D55" s="154">
        <v>1450022</v>
      </c>
      <c r="E55" s="154">
        <v>80</v>
      </c>
      <c r="F55" s="154" t="s">
        <v>303</v>
      </c>
      <c r="G55" s="255" t="s">
        <v>304</v>
      </c>
      <c r="H55" s="171" t="s">
        <v>169</v>
      </c>
      <c r="I55" s="445" t="s">
        <v>170</v>
      </c>
      <c r="J55" s="154"/>
      <c r="K55" s="154"/>
      <c r="L55" s="154"/>
      <c r="M55" s="176"/>
      <c r="N55" s="418">
        <v>107</v>
      </c>
      <c r="O55" s="176"/>
      <c r="P55" s="203">
        <v>1348.6</v>
      </c>
      <c r="Q55" s="203"/>
      <c r="R55" s="203">
        <v>26747.31</v>
      </c>
      <c r="S55" s="176">
        <v>1655</v>
      </c>
      <c r="T55" s="188" t="s">
        <v>171</v>
      </c>
      <c r="U55" s="176"/>
      <c r="V55" s="176"/>
      <c r="W55" s="176"/>
      <c r="X55" s="203">
        <f t="shared" si="4"/>
        <v>34581.26</v>
      </c>
      <c r="Y55" s="203">
        <v>-1659.9</v>
      </c>
      <c r="Z55" s="203">
        <v>0</v>
      </c>
      <c r="AA55" s="203">
        <v>32921.360000000001</v>
      </c>
      <c r="AB55" s="446">
        <v>2028</v>
      </c>
      <c r="AC55" s="444" t="s">
        <v>172</v>
      </c>
      <c r="AD55" s="444" t="s">
        <v>173</v>
      </c>
      <c r="AE55" s="177" t="b">
        <v>1</v>
      </c>
      <c r="AF55" s="177" t="b">
        <v>1</v>
      </c>
      <c r="AG55" s="392">
        <f>(AB55-S55)/S55</f>
        <v>0.22537764350453171</v>
      </c>
      <c r="AH55" s="392">
        <f>(AA55-R55)/R55</f>
        <v>0.2308288197953364</v>
      </c>
      <c r="AI55" s="203">
        <f t="shared" si="2"/>
        <v>26271.399999999998</v>
      </c>
      <c r="AJ55" s="368">
        <v>-1261.03</v>
      </c>
      <c r="AK55" s="368">
        <v>0</v>
      </c>
      <c r="AL55" s="368">
        <v>25010.37</v>
      </c>
      <c r="AM55" s="1068">
        <v>1510</v>
      </c>
      <c r="AN55" s="172">
        <v>46122</v>
      </c>
      <c r="AO55" s="171" t="s">
        <v>174</v>
      </c>
      <c r="AP55" s="861" t="b">
        <v>1</v>
      </c>
      <c r="AQ55" s="861" t="b">
        <v>1</v>
      </c>
      <c r="AR55" s="392">
        <f t="shared" si="5"/>
        <v>-0.25542406311637084</v>
      </c>
      <c r="AS55" s="392">
        <f>(AL55-AA55)/AA55</f>
        <v>-0.24029961095167399</v>
      </c>
      <c r="AT55" s="203">
        <f t="shared" si="3"/>
        <v>0</v>
      </c>
      <c r="AU55" s="203"/>
      <c r="AV55" s="203"/>
      <c r="AW55" s="203"/>
      <c r="AX55" s="176"/>
      <c r="AY55" s="176"/>
      <c r="AZ55" s="176"/>
      <c r="BA55" s="177" t="b">
        <v>0</v>
      </c>
      <c r="BB55" s="177" t="b">
        <v>0</v>
      </c>
      <c r="BC55" s="176">
        <f>(AX55-AM55)/AM55</f>
        <v>-1</v>
      </c>
      <c r="BD55" s="176">
        <f>(AW55-AL55)/AL55</f>
        <v>-1</v>
      </c>
      <c r="BE55" s="203">
        <f>BH55 + ABS(BF55) + ABS(BG55)</f>
        <v>0</v>
      </c>
      <c r="BF55" s="203"/>
      <c r="BG55" s="203"/>
      <c r="BH55" s="203"/>
      <c r="BI55" s="176"/>
      <c r="BJ55" s="176"/>
      <c r="BK55" s="176"/>
      <c r="BL55" s="177" t="b">
        <v>0</v>
      </c>
      <c r="BM55" s="177" t="b">
        <v>0</v>
      </c>
      <c r="BN55" s="176" t="e">
        <f>(BI55-AZ55)/AZ55</f>
        <v>#DIV/0!</v>
      </c>
      <c r="BO55" s="176" t="e">
        <f>(BH55-AW55)/AW55</f>
        <v>#DIV/0!</v>
      </c>
      <c r="BP55" s="203">
        <f>BS55 + ABS(BQ55) + ABS(BR55)</f>
        <v>0</v>
      </c>
      <c r="BQ55" s="203"/>
      <c r="BR55" s="203"/>
      <c r="BS55" s="203"/>
      <c r="BT55" s="176"/>
      <c r="BU55" s="176"/>
      <c r="BV55" s="176"/>
      <c r="BW55" s="177" t="b">
        <v>0</v>
      </c>
      <c r="BX55" s="177" t="b">
        <v>0</v>
      </c>
      <c r="BY55" s="176" t="e">
        <f>(BT55-BI55)/BI55</f>
        <v>#DIV/0!</v>
      </c>
      <c r="BZ55" s="176" t="e">
        <f>(BS55-BH55)/BH55</f>
        <v>#DIV/0!</v>
      </c>
      <c r="CA55" s="203">
        <f>CD55 + ABS(CB55) + ABS(CC55)</f>
        <v>0</v>
      </c>
      <c r="CB55" s="203"/>
      <c r="CC55" s="203"/>
      <c r="CD55" s="203"/>
      <c r="CE55" s="176"/>
      <c r="CF55" s="176"/>
      <c r="CG55" s="176"/>
      <c r="CH55" s="177" t="b">
        <v>0</v>
      </c>
      <c r="CI55" s="177" t="b">
        <v>0</v>
      </c>
      <c r="CJ55" s="176" t="e">
        <f>(CE55-BV55)/BV55</f>
        <v>#DIV/0!</v>
      </c>
      <c r="CK55" s="176" t="e">
        <f>(CD55-BS55)/BS55</f>
        <v>#DIV/0!</v>
      </c>
      <c r="CL55" s="203">
        <f>CO55 + ABS(CM55) + ABS(CN55)</f>
        <v>0</v>
      </c>
      <c r="CM55" s="203"/>
      <c r="CN55" s="203"/>
      <c r="CO55" s="203"/>
      <c r="CP55" s="176"/>
      <c r="CQ55" s="176"/>
      <c r="CR55" s="176"/>
      <c r="CS55" s="177" t="b">
        <v>0</v>
      </c>
      <c r="CT55" s="177" t="b">
        <v>0</v>
      </c>
      <c r="CU55" s="176" t="e">
        <f>(CP55-CE55)/CE55</f>
        <v>#DIV/0!</v>
      </c>
      <c r="CV55" s="176" t="e">
        <f>(CO55-CD55)/CD55</f>
        <v>#DIV/0!</v>
      </c>
      <c r="CW55" s="203">
        <f>CZ55 + ABS(CX55) + ABS(CY55)</f>
        <v>0</v>
      </c>
      <c r="CX55" s="203"/>
      <c r="CY55" s="203"/>
      <c r="CZ55" s="203"/>
      <c r="DA55" s="176"/>
      <c r="DB55" s="176"/>
      <c r="DC55" s="176"/>
      <c r="DD55" s="177" t="b">
        <v>0</v>
      </c>
      <c r="DE55" s="177" t="b">
        <v>0</v>
      </c>
      <c r="DF55" s="176" t="e">
        <f>(DA55-CR55)/CR55</f>
        <v>#DIV/0!</v>
      </c>
      <c r="DG55" s="176" t="e">
        <f>(CZ55-CO55)/CO55</f>
        <v>#DIV/0!</v>
      </c>
      <c r="DH55" s="203">
        <f>DK55 + ABS(DI55) + ABS(DJ55)</f>
        <v>0</v>
      </c>
      <c r="DI55" s="203"/>
      <c r="DJ55" s="203"/>
      <c r="DK55" s="203"/>
      <c r="DL55" s="176"/>
      <c r="DM55" s="176"/>
      <c r="DN55" s="176"/>
      <c r="DO55" s="177" t="b">
        <v>0</v>
      </c>
      <c r="DP55" s="177" t="b">
        <v>0</v>
      </c>
      <c r="DQ55" s="176" t="e">
        <f>(DL55-DA55)/DA55</f>
        <v>#DIV/0!</v>
      </c>
      <c r="DR55" s="176" t="e">
        <f>(DK55-CZ55)/CZ55</f>
        <v>#DIV/0!</v>
      </c>
      <c r="DS55" s="203">
        <f>DV55 + ABS(DT55) + ABS(DU55)</f>
        <v>0</v>
      </c>
      <c r="DT55" s="203"/>
      <c r="DU55" s="203"/>
      <c r="DV55" s="203"/>
      <c r="DW55" s="176"/>
      <c r="DX55" s="176"/>
      <c r="DY55" s="176"/>
      <c r="DZ55" s="177" t="b">
        <v>0</v>
      </c>
      <c r="EA55" s="177" t="b">
        <v>0</v>
      </c>
      <c r="EB55" s="176" t="e">
        <f>(DW55-DN55)/DN55</f>
        <v>#DIV/0!</v>
      </c>
      <c r="EC55" s="176" t="e">
        <f>(DV55-DK55)/DK55</f>
        <v>#DIV/0!</v>
      </c>
      <c r="ED55" s="203">
        <f>EG55 + ABS(EE55) + ABS(EF55)</f>
        <v>0</v>
      </c>
      <c r="EE55" s="203"/>
      <c r="EF55" s="203"/>
      <c r="EG55" s="203"/>
      <c r="EH55" s="176"/>
      <c r="EI55" s="176"/>
      <c r="EJ55" s="176"/>
      <c r="EK55" s="177" t="b">
        <v>0</v>
      </c>
      <c r="EL55" s="177" t="b">
        <v>0</v>
      </c>
      <c r="EM55" s="176" t="e">
        <f>(EH55-DW55)/DW55</f>
        <v>#DIV/0!</v>
      </c>
      <c r="EN55" s="176" t="e">
        <f>(EG55-DV55)/DV55</f>
        <v>#DIV/0!</v>
      </c>
      <c r="EO55" s="203">
        <f>ER55 + ABS(EP55) + ABS(EQ55)</f>
        <v>0</v>
      </c>
      <c r="EP55" s="203"/>
      <c r="EQ55" s="203"/>
      <c r="ER55" s="203"/>
      <c r="ES55" s="176"/>
      <c r="ET55" s="176"/>
      <c r="EU55" s="176"/>
      <c r="EV55" s="177" t="b">
        <v>0</v>
      </c>
      <c r="EW55" s="177" t="b">
        <v>0</v>
      </c>
      <c r="EX55" s="176" t="e">
        <f>(ES55-EJ55)/EJ55</f>
        <v>#DIV/0!</v>
      </c>
      <c r="EY55" s="176" t="e">
        <f>(ER55-EG55)/EG55</f>
        <v>#DIV/0!</v>
      </c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801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</row>
    <row r="56" spans="2:221" ht="15">
      <c r="B56" s="175"/>
      <c r="C56" s="800" t="s">
        <v>305</v>
      </c>
      <c r="D56" s="357">
        <v>1450022</v>
      </c>
      <c r="E56" s="357">
        <v>361</v>
      </c>
      <c r="F56" s="357" t="s">
        <v>306</v>
      </c>
      <c r="G56" s="426" t="s">
        <v>307</v>
      </c>
      <c r="H56" s="148" t="s">
        <v>169</v>
      </c>
      <c r="I56" s="448" t="s">
        <v>170</v>
      </c>
      <c r="J56" s="357"/>
      <c r="K56" s="357"/>
      <c r="L56" s="357"/>
      <c r="M56" s="358"/>
      <c r="N56" s="359">
        <v>107</v>
      </c>
      <c r="O56" s="358"/>
      <c r="P56" s="402">
        <v>6.7</v>
      </c>
      <c r="Q56" s="402"/>
      <c r="R56" s="402">
        <v>132.80000000000001</v>
      </c>
      <c r="S56" s="358">
        <v>15</v>
      </c>
      <c r="T56" s="188" t="s">
        <v>171</v>
      </c>
      <c r="U56" s="358"/>
      <c r="V56" s="358"/>
      <c r="W56" s="358"/>
      <c r="X56" s="402">
        <f t="shared" si="4"/>
        <v>2132.41</v>
      </c>
      <c r="Y56" s="402">
        <v>-102.36</v>
      </c>
      <c r="Z56" s="402">
        <v>0</v>
      </c>
      <c r="AA56" s="402">
        <v>2030.05</v>
      </c>
      <c r="AB56" s="450">
        <v>155</v>
      </c>
      <c r="AC56" s="426" t="s">
        <v>172</v>
      </c>
      <c r="AD56" s="426" t="s">
        <v>173</v>
      </c>
      <c r="AE56" s="164" t="b">
        <v>1</v>
      </c>
      <c r="AF56" s="164" t="b">
        <v>1</v>
      </c>
      <c r="AG56" s="409">
        <f>(AB56-S56)/S56</f>
        <v>9.3333333333333339</v>
      </c>
      <c r="AH56" s="409">
        <f>(AA56-R56)/R56</f>
        <v>14.286521084337348</v>
      </c>
      <c r="AI56" s="402">
        <f t="shared" si="2"/>
        <v>453.73</v>
      </c>
      <c r="AJ56" s="364">
        <v>-21.78</v>
      </c>
      <c r="AK56" s="364">
        <v>0</v>
      </c>
      <c r="AL56" s="364">
        <v>431.95</v>
      </c>
      <c r="AM56" s="1069">
        <v>40</v>
      </c>
      <c r="AN56" s="407">
        <v>46122</v>
      </c>
      <c r="AO56" s="148" t="s">
        <v>174</v>
      </c>
      <c r="AP56" s="860" t="b">
        <v>1</v>
      </c>
      <c r="AQ56" s="860" t="b">
        <v>1</v>
      </c>
      <c r="AR56" s="409">
        <f t="shared" si="5"/>
        <v>-0.74193548387096775</v>
      </c>
      <c r="AS56" s="409">
        <f>(AL56-AA56)/AA56</f>
        <v>-0.78722198960616729</v>
      </c>
      <c r="AT56" s="402">
        <f t="shared" si="3"/>
        <v>0</v>
      </c>
      <c r="AU56" s="402"/>
      <c r="AV56" s="402"/>
      <c r="AW56" s="402"/>
      <c r="AX56" s="358"/>
      <c r="AY56" s="358"/>
      <c r="AZ56" s="358"/>
      <c r="BA56" s="164" t="b">
        <v>0</v>
      </c>
      <c r="BB56" s="164" t="b">
        <v>0</v>
      </c>
      <c r="BC56" s="358">
        <f>(AX56-AM56)/AM56</f>
        <v>-1</v>
      </c>
      <c r="BD56" s="358">
        <f>(AW56-AL56)/AL56</f>
        <v>-1</v>
      </c>
      <c r="BE56" s="402">
        <f>BH56 + ABS(BF56) + ABS(BG56)</f>
        <v>0</v>
      </c>
      <c r="BF56" s="402"/>
      <c r="BG56" s="402"/>
      <c r="BH56" s="402"/>
      <c r="BI56" s="358"/>
      <c r="BJ56" s="358"/>
      <c r="BK56" s="358"/>
      <c r="BL56" s="164" t="b">
        <v>0</v>
      </c>
      <c r="BM56" s="164" t="b">
        <v>0</v>
      </c>
      <c r="BN56" s="358" t="e">
        <f>(BI56-AZ56)/AZ56</f>
        <v>#DIV/0!</v>
      </c>
      <c r="BO56" s="358" t="e">
        <f>(BH56-AW56)/AW56</f>
        <v>#DIV/0!</v>
      </c>
      <c r="BP56" s="402">
        <f>BS56 + ABS(BQ56) + ABS(BR56)</f>
        <v>0</v>
      </c>
      <c r="BQ56" s="402"/>
      <c r="BR56" s="402"/>
      <c r="BS56" s="402"/>
      <c r="BT56" s="358"/>
      <c r="BU56" s="358"/>
      <c r="BV56" s="358"/>
      <c r="BW56" s="164" t="b">
        <v>0</v>
      </c>
      <c r="BX56" s="164" t="b">
        <v>0</v>
      </c>
      <c r="BY56" s="358" t="e">
        <f>(BT56-BI56)/BI56</f>
        <v>#DIV/0!</v>
      </c>
      <c r="BZ56" s="358" t="e">
        <f>(BS56-BH56)/BH56</f>
        <v>#DIV/0!</v>
      </c>
      <c r="CA56" s="402">
        <f>CD56 + ABS(CB56) + ABS(CC56)</f>
        <v>0</v>
      </c>
      <c r="CB56" s="402"/>
      <c r="CC56" s="402"/>
      <c r="CD56" s="402"/>
      <c r="CE56" s="358"/>
      <c r="CF56" s="358"/>
      <c r="CG56" s="358"/>
      <c r="CH56" s="164" t="b">
        <v>0</v>
      </c>
      <c r="CI56" s="164" t="b">
        <v>0</v>
      </c>
      <c r="CJ56" s="358" t="e">
        <f>(CE56-BV56)/BV56</f>
        <v>#DIV/0!</v>
      </c>
      <c r="CK56" s="358" t="e">
        <f>(CD56-BS56)/BS56</f>
        <v>#DIV/0!</v>
      </c>
      <c r="CL56" s="402">
        <f>CO56 + ABS(CM56) + ABS(CN56)</f>
        <v>0</v>
      </c>
      <c r="CM56" s="402"/>
      <c r="CN56" s="402"/>
      <c r="CO56" s="402"/>
      <c r="CP56" s="358"/>
      <c r="CQ56" s="358"/>
      <c r="CR56" s="358"/>
      <c r="CS56" s="164" t="b">
        <v>0</v>
      </c>
      <c r="CT56" s="164" t="b">
        <v>0</v>
      </c>
      <c r="CU56" s="358" t="e">
        <f>(CP56-CE56)/CE56</f>
        <v>#DIV/0!</v>
      </c>
      <c r="CV56" s="358" t="e">
        <f>(CO56-CD56)/CD56</f>
        <v>#DIV/0!</v>
      </c>
      <c r="CW56" s="402">
        <f>CZ56 + ABS(CX56) + ABS(CY56)</f>
        <v>0</v>
      </c>
      <c r="CX56" s="402"/>
      <c r="CY56" s="402"/>
      <c r="CZ56" s="402"/>
      <c r="DA56" s="358"/>
      <c r="DB56" s="358"/>
      <c r="DC56" s="358"/>
      <c r="DD56" s="164" t="b">
        <v>0</v>
      </c>
      <c r="DE56" s="164" t="b">
        <v>0</v>
      </c>
      <c r="DF56" s="358" t="e">
        <f>(DA56-CR56)/CR56</f>
        <v>#DIV/0!</v>
      </c>
      <c r="DG56" s="358" t="e">
        <f>(CZ56-CO56)/CO56</f>
        <v>#DIV/0!</v>
      </c>
      <c r="DH56" s="402">
        <f>DK56 + ABS(DI56) + ABS(DJ56)</f>
        <v>0</v>
      </c>
      <c r="DI56" s="402"/>
      <c r="DJ56" s="402"/>
      <c r="DK56" s="402"/>
      <c r="DL56" s="358"/>
      <c r="DM56" s="358"/>
      <c r="DN56" s="358"/>
      <c r="DO56" s="164" t="b">
        <v>0</v>
      </c>
      <c r="DP56" s="164" t="b">
        <v>0</v>
      </c>
      <c r="DQ56" s="358" t="e">
        <f>(DL56-DA56)/DA56</f>
        <v>#DIV/0!</v>
      </c>
      <c r="DR56" s="358" t="e">
        <f>(DK56-CZ56)/CZ56</f>
        <v>#DIV/0!</v>
      </c>
      <c r="DS56" s="402">
        <f>DV56 + ABS(DT56) + ABS(DU56)</f>
        <v>0</v>
      </c>
      <c r="DT56" s="402"/>
      <c r="DU56" s="402"/>
      <c r="DV56" s="402"/>
      <c r="DW56" s="358"/>
      <c r="DX56" s="358"/>
      <c r="DY56" s="358"/>
      <c r="DZ56" s="164" t="b">
        <v>0</v>
      </c>
      <c r="EA56" s="164" t="b">
        <v>0</v>
      </c>
      <c r="EB56" s="358" t="e">
        <f>(DW56-DN56)/DN56</f>
        <v>#DIV/0!</v>
      </c>
      <c r="EC56" s="358" t="e">
        <f>(DV56-DK56)/DK56</f>
        <v>#DIV/0!</v>
      </c>
      <c r="ED56" s="402">
        <f>EG56 + ABS(EE56) + ABS(EF56)</f>
        <v>0</v>
      </c>
      <c r="EE56" s="402"/>
      <c r="EF56" s="402"/>
      <c r="EG56" s="402"/>
      <c r="EH56" s="358"/>
      <c r="EI56" s="358"/>
      <c r="EJ56" s="358"/>
      <c r="EK56" s="164" t="b">
        <v>0</v>
      </c>
      <c r="EL56" s="164" t="b">
        <v>0</v>
      </c>
      <c r="EM56" s="358" t="e">
        <f>(EH56-DW56)/DW56</f>
        <v>#DIV/0!</v>
      </c>
      <c r="EN56" s="358" t="e">
        <f>(EG56-DV56)/DV56</f>
        <v>#DIV/0!</v>
      </c>
      <c r="EO56" s="402">
        <f>ER56 + ABS(EP56) + ABS(EQ56)</f>
        <v>0</v>
      </c>
      <c r="EP56" s="402"/>
      <c r="EQ56" s="402"/>
      <c r="ER56" s="402"/>
      <c r="ES56" s="358"/>
      <c r="ET56" s="358"/>
      <c r="EU56" s="358"/>
      <c r="EV56" s="164" t="b">
        <v>0</v>
      </c>
      <c r="EW56" s="164" t="b">
        <v>0</v>
      </c>
      <c r="EX56" s="358" t="e">
        <f>(ES56-EJ56)/EJ56</f>
        <v>#DIV/0!</v>
      </c>
      <c r="EY56" s="358" t="e">
        <f>(ER56-EG56)/EG56</f>
        <v>#DIV/0!</v>
      </c>
      <c r="EZ56" s="449"/>
      <c r="FA56" s="449"/>
      <c r="FB56" s="449"/>
      <c r="FC56" s="449"/>
      <c r="FD56" s="449"/>
      <c r="FE56" s="449"/>
      <c r="FF56" s="449"/>
      <c r="FG56" s="449"/>
      <c r="FH56" s="449"/>
      <c r="FI56" s="449"/>
      <c r="FJ56" s="449"/>
      <c r="FK56" s="449"/>
      <c r="FL56" s="449"/>
      <c r="FM56" s="449"/>
      <c r="FN56" s="449"/>
      <c r="FO56" s="449"/>
      <c r="FP56" s="449"/>
      <c r="FQ56" s="801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</row>
    <row r="57" spans="2:221" ht="15">
      <c r="B57" s="175"/>
      <c r="C57" s="802" t="s">
        <v>308</v>
      </c>
      <c r="D57" s="154">
        <v>1450022</v>
      </c>
      <c r="E57" s="154">
        <v>54</v>
      </c>
      <c r="F57" s="154" t="s">
        <v>309</v>
      </c>
      <c r="G57" s="255" t="s">
        <v>310</v>
      </c>
      <c r="H57" s="171" t="s">
        <v>169</v>
      </c>
      <c r="I57" s="445" t="s">
        <v>170</v>
      </c>
      <c r="J57" s="154"/>
      <c r="K57" s="154"/>
      <c r="L57" s="154"/>
      <c r="M57" s="176"/>
      <c r="N57" s="418">
        <v>107</v>
      </c>
      <c r="O57" s="176"/>
      <c r="P57" s="203">
        <v>2.6</v>
      </c>
      <c r="Q57" s="203"/>
      <c r="R57" s="203">
        <v>51.52</v>
      </c>
      <c r="S57" s="354"/>
      <c r="T57" s="188" t="s">
        <v>171</v>
      </c>
      <c r="U57" s="176"/>
      <c r="V57" s="176"/>
      <c r="W57" s="176"/>
      <c r="X57" s="203">
        <f t="shared" si="4"/>
        <v>55.86</v>
      </c>
      <c r="Y57" s="203">
        <v>-2.68</v>
      </c>
      <c r="Z57" s="203">
        <v>0</v>
      </c>
      <c r="AA57" s="203">
        <v>53.18</v>
      </c>
      <c r="AB57" s="446">
        <v>0</v>
      </c>
      <c r="AC57" s="444" t="s">
        <v>172</v>
      </c>
      <c r="AD57" s="444" t="s">
        <v>173</v>
      </c>
      <c r="AE57" s="177" t="b">
        <v>1</v>
      </c>
      <c r="AF57" s="177" t="b">
        <v>1</v>
      </c>
      <c r="AG57" s="392">
        <v>0</v>
      </c>
      <c r="AH57" s="392">
        <f>(AA57-R57)/R57</f>
        <v>3.2220496894409867E-2</v>
      </c>
      <c r="AI57" s="203">
        <f t="shared" si="2"/>
        <v>63.39</v>
      </c>
      <c r="AJ57" s="368">
        <v>-3.04</v>
      </c>
      <c r="AK57" s="368">
        <v>0</v>
      </c>
      <c r="AL57" s="368">
        <v>60.35</v>
      </c>
      <c r="AM57" s="1068">
        <v>0</v>
      </c>
      <c r="AN57" s="172">
        <v>46122</v>
      </c>
      <c r="AO57" s="171" t="s">
        <v>174</v>
      </c>
      <c r="AP57" s="861" t="b">
        <v>1</v>
      </c>
      <c r="AQ57" s="861" t="b">
        <v>1</v>
      </c>
      <c r="AR57" s="392">
        <v>0</v>
      </c>
      <c r="AS57" s="392">
        <f>(AL57-AA57)/AA57</f>
        <v>0.13482512222640095</v>
      </c>
      <c r="AT57" s="203">
        <f t="shared" si="3"/>
        <v>0</v>
      </c>
      <c r="AU57" s="203"/>
      <c r="AV57" s="203"/>
      <c r="AW57" s="203"/>
      <c r="AX57" s="176"/>
      <c r="AY57" s="176"/>
      <c r="AZ57" s="176"/>
      <c r="BA57" s="177" t="b">
        <v>0</v>
      </c>
      <c r="BB57" s="177" t="b">
        <v>0</v>
      </c>
      <c r="BC57" s="176" t="e">
        <f>(AX57-AM57)/AM57</f>
        <v>#DIV/0!</v>
      </c>
      <c r="BD57" s="176">
        <f>(AW57-AL57)/AL57</f>
        <v>-1</v>
      </c>
      <c r="BE57" s="203">
        <f>BH57 + ABS(BF57) + ABS(BG57)</f>
        <v>0</v>
      </c>
      <c r="BF57" s="203"/>
      <c r="BG57" s="203"/>
      <c r="BH57" s="203"/>
      <c r="BI57" s="176"/>
      <c r="BJ57" s="176"/>
      <c r="BK57" s="176"/>
      <c r="BL57" s="177" t="b">
        <v>0</v>
      </c>
      <c r="BM57" s="177" t="b">
        <v>0</v>
      </c>
      <c r="BN57" s="176" t="e">
        <f>(BI57-AZ57)/AZ57</f>
        <v>#DIV/0!</v>
      </c>
      <c r="BO57" s="176" t="e">
        <f>(BH57-AW57)/AW57</f>
        <v>#DIV/0!</v>
      </c>
      <c r="BP57" s="203">
        <f>BS57 + ABS(BQ57) + ABS(BR57)</f>
        <v>0</v>
      </c>
      <c r="BQ57" s="203"/>
      <c r="BR57" s="203"/>
      <c r="BS57" s="203"/>
      <c r="BT57" s="176"/>
      <c r="BU57" s="176"/>
      <c r="BV57" s="176"/>
      <c r="BW57" s="177" t="b">
        <v>0</v>
      </c>
      <c r="BX57" s="177" t="b">
        <v>0</v>
      </c>
      <c r="BY57" s="176" t="e">
        <f>(BT57-BI57)/BI57</f>
        <v>#DIV/0!</v>
      </c>
      <c r="BZ57" s="176" t="e">
        <f>(BS57-BH57)/BH57</f>
        <v>#DIV/0!</v>
      </c>
      <c r="CA57" s="203">
        <f>CD57 + ABS(CB57) + ABS(CC57)</f>
        <v>0</v>
      </c>
      <c r="CB57" s="203"/>
      <c r="CC57" s="203"/>
      <c r="CD57" s="203"/>
      <c r="CE57" s="176"/>
      <c r="CF57" s="176"/>
      <c r="CG57" s="176"/>
      <c r="CH57" s="177" t="b">
        <v>0</v>
      </c>
      <c r="CI57" s="177" t="b">
        <v>0</v>
      </c>
      <c r="CJ57" s="176" t="e">
        <f>(CE57-BV57)/BV57</f>
        <v>#DIV/0!</v>
      </c>
      <c r="CK57" s="176" t="e">
        <f>(CD57-BS57)/BS57</f>
        <v>#DIV/0!</v>
      </c>
      <c r="CL57" s="203">
        <f>CO57 + ABS(CM57) + ABS(CN57)</f>
        <v>0</v>
      </c>
      <c r="CM57" s="203"/>
      <c r="CN57" s="203"/>
      <c r="CO57" s="203"/>
      <c r="CP57" s="176"/>
      <c r="CQ57" s="176"/>
      <c r="CR57" s="176"/>
      <c r="CS57" s="177" t="b">
        <v>0</v>
      </c>
      <c r="CT57" s="177" t="b">
        <v>0</v>
      </c>
      <c r="CU57" s="176" t="e">
        <f>(CP57-CE57)/CE57</f>
        <v>#DIV/0!</v>
      </c>
      <c r="CV57" s="176" t="e">
        <f>(CO57-CD57)/CD57</f>
        <v>#DIV/0!</v>
      </c>
      <c r="CW57" s="203">
        <f>CZ57 + ABS(CX57) + ABS(CY57)</f>
        <v>0</v>
      </c>
      <c r="CX57" s="203"/>
      <c r="CY57" s="203"/>
      <c r="CZ57" s="203"/>
      <c r="DA57" s="176"/>
      <c r="DB57" s="176"/>
      <c r="DC57" s="176"/>
      <c r="DD57" s="177" t="b">
        <v>0</v>
      </c>
      <c r="DE57" s="177" t="b">
        <v>0</v>
      </c>
      <c r="DF57" s="176" t="e">
        <f>(DA57-CR57)/CR57</f>
        <v>#DIV/0!</v>
      </c>
      <c r="DG57" s="176" t="e">
        <f>(CZ57-CO57)/CO57</f>
        <v>#DIV/0!</v>
      </c>
      <c r="DH57" s="203">
        <f>DK57 + ABS(DI57) + ABS(DJ57)</f>
        <v>0</v>
      </c>
      <c r="DI57" s="203"/>
      <c r="DJ57" s="203"/>
      <c r="DK57" s="203"/>
      <c r="DL57" s="176"/>
      <c r="DM57" s="176"/>
      <c r="DN57" s="176"/>
      <c r="DO57" s="177" t="b">
        <v>0</v>
      </c>
      <c r="DP57" s="177" t="b">
        <v>0</v>
      </c>
      <c r="DQ57" s="176" t="e">
        <f>(DL57-DA57)/DA57</f>
        <v>#DIV/0!</v>
      </c>
      <c r="DR57" s="176" t="e">
        <f>(DK57-CZ57)/CZ57</f>
        <v>#DIV/0!</v>
      </c>
      <c r="DS57" s="203">
        <f>DV57 + ABS(DT57) + ABS(DU57)</f>
        <v>0</v>
      </c>
      <c r="DT57" s="203"/>
      <c r="DU57" s="203"/>
      <c r="DV57" s="203"/>
      <c r="DW57" s="176"/>
      <c r="DX57" s="176"/>
      <c r="DY57" s="176"/>
      <c r="DZ57" s="177" t="b">
        <v>0</v>
      </c>
      <c r="EA57" s="177" t="b">
        <v>0</v>
      </c>
      <c r="EB57" s="176" t="e">
        <f>(DW57-DN57)/DN57</f>
        <v>#DIV/0!</v>
      </c>
      <c r="EC57" s="176" t="e">
        <f>(DV57-DK57)/DK57</f>
        <v>#DIV/0!</v>
      </c>
      <c r="ED57" s="203">
        <f>EG57 + ABS(EE57) + ABS(EF57)</f>
        <v>0</v>
      </c>
      <c r="EE57" s="203"/>
      <c r="EF57" s="203"/>
      <c r="EG57" s="203"/>
      <c r="EH57" s="176"/>
      <c r="EI57" s="176"/>
      <c r="EJ57" s="176"/>
      <c r="EK57" s="177" t="b">
        <v>0</v>
      </c>
      <c r="EL57" s="177" t="b">
        <v>0</v>
      </c>
      <c r="EM57" s="176" t="e">
        <f>(EH57-DW57)/DW57</f>
        <v>#DIV/0!</v>
      </c>
      <c r="EN57" s="176" t="e">
        <f>(EG57-DV57)/DV57</f>
        <v>#DIV/0!</v>
      </c>
      <c r="EO57" s="203">
        <f>ER57 + ABS(EP57) + ABS(EQ57)</f>
        <v>0</v>
      </c>
      <c r="EP57" s="203"/>
      <c r="EQ57" s="203"/>
      <c r="ER57" s="203"/>
      <c r="ES57" s="176"/>
      <c r="ET57" s="176"/>
      <c r="EU57" s="176"/>
      <c r="EV57" s="177" t="b">
        <v>0</v>
      </c>
      <c r="EW57" s="177" t="b">
        <v>0</v>
      </c>
      <c r="EX57" s="176" t="e">
        <f>(ES57-EJ57)/EJ57</f>
        <v>#DIV/0!</v>
      </c>
      <c r="EY57" s="176" t="e">
        <f>(ER57-EG57)/EG57</f>
        <v>#DIV/0!</v>
      </c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801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</row>
    <row r="58" spans="2:221" ht="15">
      <c r="B58" s="175"/>
      <c r="C58" s="802" t="s">
        <v>308</v>
      </c>
      <c r="D58" s="154">
        <v>1450022</v>
      </c>
      <c r="E58" s="154">
        <v>54</v>
      </c>
      <c r="F58" s="154" t="s">
        <v>311</v>
      </c>
      <c r="G58" s="255" t="s">
        <v>312</v>
      </c>
      <c r="H58" s="171" t="s">
        <v>169</v>
      </c>
      <c r="I58" s="445" t="s">
        <v>170</v>
      </c>
      <c r="J58" s="154"/>
      <c r="K58" s="154"/>
      <c r="L58" s="154"/>
      <c r="M58" s="176"/>
      <c r="N58" s="193">
        <v>107</v>
      </c>
      <c r="O58" s="176"/>
      <c r="P58" s="203">
        <v>2086.73</v>
      </c>
      <c r="Q58" s="203"/>
      <c r="R58" s="203">
        <v>41386.9</v>
      </c>
      <c r="S58" s="176">
        <v>1476</v>
      </c>
      <c r="T58" s="188" t="s">
        <v>171</v>
      </c>
      <c r="U58" s="176"/>
      <c r="V58" s="176"/>
      <c r="W58" s="176"/>
      <c r="X58" s="203">
        <f t="shared" si="4"/>
        <v>45433.23</v>
      </c>
      <c r="Y58" s="203">
        <v>-2180.8000000000002</v>
      </c>
      <c r="Z58" s="203">
        <v>0</v>
      </c>
      <c r="AA58" s="203">
        <v>43252.43</v>
      </c>
      <c r="AB58" s="446">
        <v>1536</v>
      </c>
      <c r="AC58" s="255" t="s">
        <v>172</v>
      </c>
      <c r="AD58" s="255" t="s">
        <v>173</v>
      </c>
      <c r="AE58" s="177" t="b">
        <v>1</v>
      </c>
      <c r="AF58" s="177" t="b">
        <v>1</v>
      </c>
      <c r="AG58" s="392">
        <f>(AB58-S58)/S58</f>
        <v>4.065040650406504E-2</v>
      </c>
      <c r="AH58" s="392">
        <f>(AA58-R58)/R58</f>
        <v>4.5075374091801963E-2</v>
      </c>
      <c r="AI58" s="203">
        <f t="shared" si="2"/>
        <v>46030.720000000001</v>
      </c>
      <c r="AJ58" s="368">
        <v>-2209.4699999999998</v>
      </c>
      <c r="AK58" s="368">
        <v>0</v>
      </c>
      <c r="AL58" s="368">
        <v>43821.25</v>
      </c>
      <c r="AM58" s="1068">
        <v>1489</v>
      </c>
      <c r="AN58" s="172">
        <v>46122</v>
      </c>
      <c r="AO58" s="171" t="s">
        <v>174</v>
      </c>
      <c r="AP58" s="861" t="b">
        <v>1</v>
      </c>
      <c r="AQ58" s="861" t="b">
        <v>1</v>
      </c>
      <c r="AR58" s="392">
        <f t="shared" si="5"/>
        <v>-3.0598958333333332E-2</v>
      </c>
      <c r="AS58" s="392">
        <f>(AL58-AA58)/AA58</f>
        <v>1.3151168616422237E-2</v>
      </c>
      <c r="AT58" s="203">
        <f t="shared" si="3"/>
        <v>0</v>
      </c>
      <c r="AU58" s="203"/>
      <c r="AV58" s="203"/>
      <c r="AW58" s="203"/>
      <c r="AX58" s="176"/>
      <c r="AY58" s="176"/>
      <c r="AZ58" s="176"/>
      <c r="BA58" s="177" t="b">
        <v>0</v>
      </c>
      <c r="BB58" s="177" t="b">
        <v>0</v>
      </c>
      <c r="BC58" s="176">
        <f>(AX58-AM58)/AM58</f>
        <v>-1</v>
      </c>
      <c r="BD58" s="176">
        <f>(AW58-AL58)/AL58</f>
        <v>-1</v>
      </c>
      <c r="BE58" s="203">
        <f>BH58 + ABS(BF58) + ABS(BG58)</f>
        <v>0</v>
      </c>
      <c r="BF58" s="203"/>
      <c r="BG58" s="203"/>
      <c r="BH58" s="203"/>
      <c r="BI58" s="176"/>
      <c r="BJ58" s="176"/>
      <c r="BK58" s="176"/>
      <c r="BL58" s="177" t="b">
        <v>0</v>
      </c>
      <c r="BM58" s="177" t="b">
        <v>0</v>
      </c>
      <c r="BN58" s="176" t="e">
        <f>(BI58-AZ58)/AZ58</f>
        <v>#DIV/0!</v>
      </c>
      <c r="BO58" s="176" t="e">
        <f>(BH58-AW58)/AW58</f>
        <v>#DIV/0!</v>
      </c>
      <c r="BP58" s="203">
        <f>BS58 + ABS(BQ58) + ABS(BR58)</f>
        <v>0</v>
      </c>
      <c r="BQ58" s="203"/>
      <c r="BR58" s="203"/>
      <c r="BS58" s="203"/>
      <c r="BT58" s="176"/>
      <c r="BU58" s="176"/>
      <c r="BV58" s="176"/>
      <c r="BW58" s="177" t="b">
        <v>0</v>
      </c>
      <c r="BX58" s="177" t="b">
        <v>0</v>
      </c>
      <c r="BY58" s="176" t="e">
        <f>(BT58-BI58)/BI58</f>
        <v>#DIV/0!</v>
      </c>
      <c r="BZ58" s="176" t="e">
        <f>(BS58-BH58)/BH58</f>
        <v>#DIV/0!</v>
      </c>
      <c r="CA58" s="203">
        <f>CD58 + ABS(CB58) + ABS(CC58)</f>
        <v>0</v>
      </c>
      <c r="CB58" s="203"/>
      <c r="CC58" s="203"/>
      <c r="CD58" s="203"/>
      <c r="CE58" s="176"/>
      <c r="CF58" s="176"/>
      <c r="CG58" s="176"/>
      <c r="CH58" s="177" t="b">
        <v>0</v>
      </c>
      <c r="CI58" s="177" t="b">
        <v>0</v>
      </c>
      <c r="CJ58" s="176" t="e">
        <f>(CE58-BV58)/BV58</f>
        <v>#DIV/0!</v>
      </c>
      <c r="CK58" s="176" t="e">
        <f>(CD58-BS58)/BS58</f>
        <v>#DIV/0!</v>
      </c>
      <c r="CL58" s="203">
        <f>CO58 + ABS(CM58) + ABS(CN58)</f>
        <v>0</v>
      </c>
      <c r="CM58" s="203"/>
      <c r="CN58" s="203"/>
      <c r="CO58" s="203"/>
      <c r="CP58" s="176"/>
      <c r="CQ58" s="176"/>
      <c r="CR58" s="176"/>
      <c r="CS58" s="177" t="b">
        <v>0</v>
      </c>
      <c r="CT58" s="177" t="b">
        <v>0</v>
      </c>
      <c r="CU58" s="176" t="e">
        <f>(CP58-CE58)/CE58</f>
        <v>#DIV/0!</v>
      </c>
      <c r="CV58" s="176" t="e">
        <f>(CO58-CD58)/CD58</f>
        <v>#DIV/0!</v>
      </c>
      <c r="CW58" s="203">
        <f>CZ58 + ABS(CX58) + ABS(CY58)</f>
        <v>0</v>
      </c>
      <c r="CX58" s="203"/>
      <c r="CY58" s="203"/>
      <c r="CZ58" s="203"/>
      <c r="DA58" s="176"/>
      <c r="DB58" s="176"/>
      <c r="DC58" s="176"/>
      <c r="DD58" s="177" t="b">
        <v>0</v>
      </c>
      <c r="DE58" s="177" t="b">
        <v>0</v>
      </c>
      <c r="DF58" s="176" t="e">
        <f>(DA58-CR58)/CR58</f>
        <v>#DIV/0!</v>
      </c>
      <c r="DG58" s="176" t="e">
        <f>(CZ58-CO58)/CO58</f>
        <v>#DIV/0!</v>
      </c>
      <c r="DH58" s="203">
        <f>DK58 + ABS(DI58) + ABS(DJ58)</f>
        <v>0</v>
      </c>
      <c r="DI58" s="203"/>
      <c r="DJ58" s="203"/>
      <c r="DK58" s="203"/>
      <c r="DL58" s="176"/>
      <c r="DM58" s="176"/>
      <c r="DN58" s="176"/>
      <c r="DO58" s="177" t="b">
        <v>0</v>
      </c>
      <c r="DP58" s="177" t="b">
        <v>0</v>
      </c>
      <c r="DQ58" s="176" t="e">
        <f>(DL58-DA58)/DA58</f>
        <v>#DIV/0!</v>
      </c>
      <c r="DR58" s="176" t="e">
        <f>(DK58-CZ58)/CZ58</f>
        <v>#DIV/0!</v>
      </c>
      <c r="DS58" s="203">
        <f>DV58 + ABS(DT58) + ABS(DU58)</f>
        <v>0</v>
      </c>
      <c r="DT58" s="203"/>
      <c r="DU58" s="203"/>
      <c r="DV58" s="203"/>
      <c r="DW58" s="176"/>
      <c r="DX58" s="176"/>
      <c r="DY58" s="176"/>
      <c r="DZ58" s="177" t="b">
        <v>0</v>
      </c>
      <c r="EA58" s="177" t="b">
        <v>0</v>
      </c>
      <c r="EB58" s="176" t="e">
        <f>(DW58-DN58)/DN58</f>
        <v>#DIV/0!</v>
      </c>
      <c r="EC58" s="176" t="e">
        <f>(DV58-DK58)/DK58</f>
        <v>#DIV/0!</v>
      </c>
      <c r="ED58" s="203">
        <f>EG58 + ABS(EE58) + ABS(EF58)</f>
        <v>0</v>
      </c>
      <c r="EE58" s="203"/>
      <c r="EF58" s="203"/>
      <c r="EG58" s="203"/>
      <c r="EH58" s="176"/>
      <c r="EI58" s="176"/>
      <c r="EJ58" s="176"/>
      <c r="EK58" s="177" t="b">
        <v>0</v>
      </c>
      <c r="EL58" s="177" t="b">
        <v>0</v>
      </c>
      <c r="EM58" s="176" t="e">
        <f>(EH58-DW58)/DW58</f>
        <v>#DIV/0!</v>
      </c>
      <c r="EN58" s="176" t="e">
        <f>(EG58-DV58)/DV58</f>
        <v>#DIV/0!</v>
      </c>
      <c r="EO58" s="203">
        <f>ER58 + ABS(EP58) + ABS(EQ58)</f>
        <v>0</v>
      </c>
      <c r="EP58" s="203"/>
      <c r="EQ58" s="203"/>
      <c r="ER58" s="203"/>
      <c r="ES58" s="176"/>
      <c r="ET58" s="176"/>
      <c r="EU58" s="176"/>
      <c r="EV58" s="177" t="b">
        <v>0</v>
      </c>
      <c r="EW58" s="177" t="b">
        <v>0</v>
      </c>
      <c r="EX58" s="176" t="e">
        <f>(ES58-EJ58)/EJ58</f>
        <v>#DIV/0!</v>
      </c>
      <c r="EY58" s="176" t="e">
        <f>(ER58-EG58)/EG58</f>
        <v>#DIV/0!</v>
      </c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801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</row>
    <row r="59" spans="2:221" ht="15">
      <c r="B59" s="175"/>
      <c r="C59" s="800" t="s">
        <v>313</v>
      </c>
      <c r="D59" s="357">
        <v>1450022</v>
      </c>
      <c r="E59" s="357">
        <v>84</v>
      </c>
      <c r="F59" s="357" t="s">
        <v>314</v>
      </c>
      <c r="G59" s="426" t="s">
        <v>315</v>
      </c>
      <c r="H59" s="148" t="s">
        <v>169</v>
      </c>
      <c r="I59" s="448" t="s">
        <v>170</v>
      </c>
      <c r="J59" s="357"/>
      <c r="K59" s="357"/>
      <c r="L59" s="357"/>
      <c r="M59" s="358"/>
      <c r="N59" s="361">
        <v>107</v>
      </c>
      <c r="O59" s="358"/>
      <c r="P59" s="402">
        <v>975.77</v>
      </c>
      <c r="Q59" s="402"/>
      <c r="R59" s="402">
        <v>19352.79</v>
      </c>
      <c r="S59" s="358">
        <v>711</v>
      </c>
      <c r="T59" s="188" t="s">
        <v>171</v>
      </c>
      <c r="U59" s="358"/>
      <c r="V59" s="358"/>
      <c r="W59" s="358"/>
      <c r="X59" s="402">
        <f t="shared" si="4"/>
        <v>24778.94</v>
      </c>
      <c r="Y59" s="402">
        <v>-1189.3900000000001</v>
      </c>
      <c r="Z59" s="402">
        <v>0</v>
      </c>
      <c r="AA59" s="402">
        <v>23589.55</v>
      </c>
      <c r="AB59" s="450">
        <v>852</v>
      </c>
      <c r="AC59" s="173" t="s">
        <v>172</v>
      </c>
      <c r="AD59" s="173" t="s">
        <v>173</v>
      </c>
      <c r="AE59" s="164" t="b">
        <v>1</v>
      </c>
      <c r="AF59" s="164" t="b">
        <v>1</v>
      </c>
      <c r="AG59" s="409">
        <f>(AB59-S59)/S59</f>
        <v>0.19831223628691982</v>
      </c>
      <c r="AH59" s="409">
        <f>(AA59-R59)/R59</f>
        <v>0.21892243960689897</v>
      </c>
      <c r="AI59" s="402">
        <f t="shared" si="2"/>
        <v>21049.759999999998</v>
      </c>
      <c r="AJ59" s="364">
        <v>-1010.39</v>
      </c>
      <c r="AK59" s="364">
        <v>0</v>
      </c>
      <c r="AL59" s="364">
        <v>20039.37</v>
      </c>
      <c r="AM59" s="1069">
        <v>702</v>
      </c>
      <c r="AN59" s="407">
        <v>46122</v>
      </c>
      <c r="AO59" s="148" t="s">
        <v>174</v>
      </c>
      <c r="AP59" s="860" t="b">
        <v>1</v>
      </c>
      <c r="AQ59" s="860" t="b">
        <v>1</v>
      </c>
      <c r="AR59" s="409">
        <f t="shared" si="5"/>
        <v>-0.176056338028169</v>
      </c>
      <c r="AS59" s="409">
        <f>(AL59-AA59)/AA59</f>
        <v>-0.15049799593464055</v>
      </c>
      <c r="AT59" s="402">
        <f t="shared" si="3"/>
        <v>0</v>
      </c>
      <c r="AU59" s="402"/>
      <c r="AV59" s="402"/>
      <c r="AW59" s="402"/>
      <c r="AX59" s="358"/>
      <c r="AY59" s="358"/>
      <c r="AZ59" s="358"/>
      <c r="BA59" s="164" t="b">
        <v>0</v>
      </c>
      <c r="BB59" s="164" t="b">
        <v>0</v>
      </c>
      <c r="BC59" s="358">
        <f>(AX59-AM59)/AM59</f>
        <v>-1</v>
      </c>
      <c r="BD59" s="358">
        <f>(AW59-AL59)/AL59</f>
        <v>-1</v>
      </c>
      <c r="BE59" s="402">
        <f>BH59 + ABS(BF59) + ABS(BG59)</f>
        <v>0</v>
      </c>
      <c r="BF59" s="402"/>
      <c r="BG59" s="402"/>
      <c r="BH59" s="402"/>
      <c r="BI59" s="358"/>
      <c r="BJ59" s="358"/>
      <c r="BK59" s="358"/>
      <c r="BL59" s="164" t="b">
        <v>0</v>
      </c>
      <c r="BM59" s="164" t="b">
        <v>0</v>
      </c>
      <c r="BN59" s="358" t="e">
        <f>(BI59-AZ59)/AZ59</f>
        <v>#DIV/0!</v>
      </c>
      <c r="BO59" s="358" t="e">
        <f>(BH59-AW59)/AW59</f>
        <v>#DIV/0!</v>
      </c>
      <c r="BP59" s="402">
        <f>BS59 + ABS(BQ59) + ABS(BR59)</f>
        <v>0</v>
      </c>
      <c r="BQ59" s="402"/>
      <c r="BR59" s="402"/>
      <c r="BS59" s="402"/>
      <c r="BT59" s="358"/>
      <c r="BU59" s="358"/>
      <c r="BV59" s="358"/>
      <c r="BW59" s="164" t="b">
        <v>0</v>
      </c>
      <c r="BX59" s="164" t="b">
        <v>0</v>
      </c>
      <c r="BY59" s="358" t="e">
        <f>(BT59-BI59)/BI59</f>
        <v>#DIV/0!</v>
      </c>
      <c r="BZ59" s="358" t="e">
        <f>(BS59-BH59)/BH59</f>
        <v>#DIV/0!</v>
      </c>
      <c r="CA59" s="402">
        <f>CD59 + ABS(CB59) + ABS(CC59)</f>
        <v>0</v>
      </c>
      <c r="CB59" s="402"/>
      <c r="CC59" s="402"/>
      <c r="CD59" s="402"/>
      <c r="CE59" s="358"/>
      <c r="CF59" s="358"/>
      <c r="CG59" s="358"/>
      <c r="CH59" s="164" t="b">
        <v>0</v>
      </c>
      <c r="CI59" s="164" t="b">
        <v>0</v>
      </c>
      <c r="CJ59" s="358" t="e">
        <f>(CE59-BV59)/BV59</f>
        <v>#DIV/0!</v>
      </c>
      <c r="CK59" s="358" t="e">
        <f>(CD59-BS59)/BS59</f>
        <v>#DIV/0!</v>
      </c>
      <c r="CL59" s="402">
        <f>CO59 + ABS(CM59) + ABS(CN59)</f>
        <v>0</v>
      </c>
      <c r="CM59" s="402"/>
      <c r="CN59" s="402"/>
      <c r="CO59" s="402"/>
      <c r="CP59" s="358"/>
      <c r="CQ59" s="358"/>
      <c r="CR59" s="358"/>
      <c r="CS59" s="164" t="b">
        <v>0</v>
      </c>
      <c r="CT59" s="164" t="b">
        <v>0</v>
      </c>
      <c r="CU59" s="358" t="e">
        <f>(CP59-CE59)/CE59</f>
        <v>#DIV/0!</v>
      </c>
      <c r="CV59" s="358" t="e">
        <f>(CO59-CD59)/CD59</f>
        <v>#DIV/0!</v>
      </c>
      <c r="CW59" s="402">
        <f>CZ59 + ABS(CX59) + ABS(CY59)</f>
        <v>0</v>
      </c>
      <c r="CX59" s="402"/>
      <c r="CY59" s="402"/>
      <c r="CZ59" s="402"/>
      <c r="DA59" s="358"/>
      <c r="DB59" s="358"/>
      <c r="DC59" s="358"/>
      <c r="DD59" s="164" t="b">
        <v>0</v>
      </c>
      <c r="DE59" s="164" t="b">
        <v>0</v>
      </c>
      <c r="DF59" s="358" t="e">
        <f>(DA59-CR59)/CR59</f>
        <v>#DIV/0!</v>
      </c>
      <c r="DG59" s="358" t="e">
        <f>(CZ59-CO59)/CO59</f>
        <v>#DIV/0!</v>
      </c>
      <c r="DH59" s="402">
        <f>DK59 + ABS(DI59) + ABS(DJ59)</f>
        <v>0</v>
      </c>
      <c r="DI59" s="402"/>
      <c r="DJ59" s="402"/>
      <c r="DK59" s="402"/>
      <c r="DL59" s="358"/>
      <c r="DM59" s="358"/>
      <c r="DN59" s="358"/>
      <c r="DO59" s="164" t="b">
        <v>0</v>
      </c>
      <c r="DP59" s="164" t="b">
        <v>0</v>
      </c>
      <c r="DQ59" s="358" t="e">
        <f>(DL59-DA59)/DA59</f>
        <v>#DIV/0!</v>
      </c>
      <c r="DR59" s="358" t="e">
        <f>(DK59-CZ59)/CZ59</f>
        <v>#DIV/0!</v>
      </c>
      <c r="DS59" s="402">
        <f>DV59 + ABS(DT59) + ABS(DU59)</f>
        <v>0</v>
      </c>
      <c r="DT59" s="402"/>
      <c r="DU59" s="402"/>
      <c r="DV59" s="402"/>
      <c r="DW59" s="358"/>
      <c r="DX59" s="358"/>
      <c r="DY59" s="358"/>
      <c r="DZ59" s="164" t="b">
        <v>0</v>
      </c>
      <c r="EA59" s="164" t="b">
        <v>0</v>
      </c>
      <c r="EB59" s="358" t="e">
        <f>(DW59-DN59)/DN59</f>
        <v>#DIV/0!</v>
      </c>
      <c r="EC59" s="358" t="e">
        <f>(DV59-DK59)/DK59</f>
        <v>#DIV/0!</v>
      </c>
      <c r="ED59" s="402">
        <f>EG59 + ABS(EE59) + ABS(EF59)</f>
        <v>0</v>
      </c>
      <c r="EE59" s="402"/>
      <c r="EF59" s="402"/>
      <c r="EG59" s="402"/>
      <c r="EH59" s="358"/>
      <c r="EI59" s="358"/>
      <c r="EJ59" s="358"/>
      <c r="EK59" s="164" t="b">
        <v>0</v>
      </c>
      <c r="EL59" s="164" t="b">
        <v>0</v>
      </c>
      <c r="EM59" s="358" t="e">
        <f>(EH59-DW59)/DW59</f>
        <v>#DIV/0!</v>
      </c>
      <c r="EN59" s="358" t="e">
        <f>(EG59-DV59)/DV59</f>
        <v>#DIV/0!</v>
      </c>
      <c r="EO59" s="402">
        <f>ER59 + ABS(EP59) + ABS(EQ59)</f>
        <v>0</v>
      </c>
      <c r="EP59" s="402"/>
      <c r="EQ59" s="402"/>
      <c r="ER59" s="402"/>
      <c r="ES59" s="358"/>
      <c r="ET59" s="358"/>
      <c r="EU59" s="358"/>
      <c r="EV59" s="164" t="b">
        <v>0</v>
      </c>
      <c r="EW59" s="164" t="b">
        <v>0</v>
      </c>
      <c r="EX59" s="358" t="e">
        <f>(ES59-EJ59)/EJ59</f>
        <v>#DIV/0!</v>
      </c>
      <c r="EY59" s="358" t="e">
        <f>(ER59-EG59)/EG59</f>
        <v>#DIV/0!</v>
      </c>
      <c r="EZ59" s="449"/>
      <c r="FA59" s="449"/>
      <c r="FB59" s="449"/>
      <c r="FC59" s="449"/>
      <c r="FD59" s="449"/>
      <c r="FE59" s="449"/>
      <c r="FF59" s="449"/>
      <c r="FG59" s="449"/>
      <c r="FH59" s="449"/>
      <c r="FI59" s="449"/>
      <c r="FJ59" s="449"/>
      <c r="FK59" s="449"/>
      <c r="FL59" s="449"/>
      <c r="FM59" s="449"/>
      <c r="FN59" s="449"/>
      <c r="FO59" s="175"/>
      <c r="FP59" s="175"/>
      <c r="FQ59" s="801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</row>
    <row r="60" spans="2:221" ht="15">
      <c r="B60" s="175"/>
      <c r="C60" s="800" t="s">
        <v>313</v>
      </c>
      <c r="D60" s="357">
        <v>1450022</v>
      </c>
      <c r="E60" s="357">
        <v>84</v>
      </c>
      <c r="F60" s="357" t="s">
        <v>316</v>
      </c>
      <c r="G60" s="426" t="s">
        <v>317</v>
      </c>
      <c r="H60" s="148" t="s">
        <v>169</v>
      </c>
      <c r="I60" s="448" t="s">
        <v>170</v>
      </c>
      <c r="J60" s="357"/>
      <c r="K60" s="357"/>
      <c r="L60" s="357"/>
      <c r="M60" s="358"/>
      <c r="N60" s="359">
        <v>107</v>
      </c>
      <c r="O60" s="358"/>
      <c r="P60" s="402">
        <v>1799.19</v>
      </c>
      <c r="Q60" s="402"/>
      <c r="R60" s="402">
        <v>35683.949999999997</v>
      </c>
      <c r="S60" s="358">
        <v>1278</v>
      </c>
      <c r="T60" s="188" t="s">
        <v>171</v>
      </c>
      <c r="U60" s="358"/>
      <c r="V60" s="358"/>
      <c r="W60" s="358"/>
      <c r="X60" s="402">
        <f t="shared" si="4"/>
        <v>89001.209999999992</v>
      </c>
      <c r="Y60" s="402">
        <v>-4272.0600000000004</v>
      </c>
      <c r="Z60" s="402">
        <v>0</v>
      </c>
      <c r="AA60" s="402">
        <v>84729.15</v>
      </c>
      <c r="AB60" s="450">
        <v>2959</v>
      </c>
      <c r="AC60" s="173" t="s">
        <v>172</v>
      </c>
      <c r="AD60" s="173" t="s">
        <v>173</v>
      </c>
      <c r="AE60" s="164" t="b">
        <v>1</v>
      </c>
      <c r="AF60" s="164" t="b">
        <v>1</v>
      </c>
      <c r="AG60" s="409">
        <f>(AB60-S60)/S60</f>
        <v>1.3153364632237872</v>
      </c>
      <c r="AH60" s="409">
        <f>(AA60-R60)/R60</f>
        <v>1.3744330434270871</v>
      </c>
      <c r="AI60" s="402">
        <f t="shared" si="2"/>
        <v>35905.020000000004</v>
      </c>
      <c r="AJ60" s="364">
        <v>-1723.44</v>
      </c>
      <c r="AK60" s="364">
        <v>0</v>
      </c>
      <c r="AL60" s="364">
        <v>34181.58</v>
      </c>
      <c r="AM60" s="1069">
        <v>1170</v>
      </c>
      <c r="AN60" s="407">
        <v>46122</v>
      </c>
      <c r="AO60" s="148" t="s">
        <v>174</v>
      </c>
      <c r="AP60" s="860" t="b">
        <v>1</v>
      </c>
      <c r="AQ60" s="860" t="b">
        <v>1</v>
      </c>
      <c r="AR60" s="409">
        <f t="shared" si="5"/>
        <v>-0.60459614734707667</v>
      </c>
      <c r="AS60" s="409">
        <f>(AL60-AA60)/AA60</f>
        <v>-0.596578273238903</v>
      </c>
      <c r="AT60" s="402">
        <f t="shared" si="3"/>
        <v>0</v>
      </c>
      <c r="AU60" s="402"/>
      <c r="AV60" s="402"/>
      <c r="AW60" s="402"/>
      <c r="AX60" s="358"/>
      <c r="AY60" s="358"/>
      <c r="AZ60" s="358"/>
      <c r="BA60" s="164" t="b">
        <v>0</v>
      </c>
      <c r="BB60" s="164" t="b">
        <v>0</v>
      </c>
      <c r="BC60" s="358">
        <f>(AX60-AM60)/AM60</f>
        <v>-1</v>
      </c>
      <c r="BD60" s="358">
        <f>(AW60-AL60)/AL60</f>
        <v>-1</v>
      </c>
      <c r="BE60" s="402">
        <f>BH60 + ABS(BF60) + ABS(BG60)</f>
        <v>0</v>
      </c>
      <c r="BF60" s="402"/>
      <c r="BG60" s="402"/>
      <c r="BH60" s="402"/>
      <c r="BI60" s="358"/>
      <c r="BJ60" s="358"/>
      <c r="BK60" s="358"/>
      <c r="BL60" s="164" t="b">
        <v>0</v>
      </c>
      <c r="BM60" s="164" t="b">
        <v>0</v>
      </c>
      <c r="BN60" s="358" t="e">
        <f>(BI60-AZ60)/AZ60</f>
        <v>#DIV/0!</v>
      </c>
      <c r="BO60" s="358" t="e">
        <f>(BH60-AW60)/AW60</f>
        <v>#DIV/0!</v>
      </c>
      <c r="BP60" s="402">
        <f>BS60 + ABS(BQ60) + ABS(BR60)</f>
        <v>0</v>
      </c>
      <c r="BQ60" s="402"/>
      <c r="BR60" s="402"/>
      <c r="BS60" s="402"/>
      <c r="BT60" s="358"/>
      <c r="BU60" s="358"/>
      <c r="BV60" s="358"/>
      <c r="BW60" s="164" t="b">
        <v>0</v>
      </c>
      <c r="BX60" s="164" t="b">
        <v>0</v>
      </c>
      <c r="BY60" s="358" t="e">
        <f>(BT60-BI60)/BI60</f>
        <v>#DIV/0!</v>
      </c>
      <c r="BZ60" s="358" t="e">
        <f>(BS60-BH60)/BH60</f>
        <v>#DIV/0!</v>
      </c>
      <c r="CA60" s="402">
        <f>CD60 + ABS(CB60) + ABS(CC60)</f>
        <v>0</v>
      </c>
      <c r="CB60" s="402"/>
      <c r="CC60" s="402"/>
      <c r="CD60" s="402"/>
      <c r="CE60" s="358"/>
      <c r="CF60" s="358"/>
      <c r="CG60" s="358"/>
      <c r="CH60" s="164" t="b">
        <v>0</v>
      </c>
      <c r="CI60" s="164" t="b">
        <v>0</v>
      </c>
      <c r="CJ60" s="358" t="e">
        <f>(CE60-BV60)/BV60</f>
        <v>#DIV/0!</v>
      </c>
      <c r="CK60" s="358" t="e">
        <f>(CD60-BS60)/BS60</f>
        <v>#DIV/0!</v>
      </c>
      <c r="CL60" s="402">
        <f>CO60 + ABS(CM60) + ABS(CN60)</f>
        <v>0</v>
      </c>
      <c r="CM60" s="402"/>
      <c r="CN60" s="402"/>
      <c r="CO60" s="402"/>
      <c r="CP60" s="358"/>
      <c r="CQ60" s="358"/>
      <c r="CR60" s="358"/>
      <c r="CS60" s="164" t="b">
        <v>0</v>
      </c>
      <c r="CT60" s="164" t="b">
        <v>0</v>
      </c>
      <c r="CU60" s="358" t="e">
        <f>(CP60-CE60)/CE60</f>
        <v>#DIV/0!</v>
      </c>
      <c r="CV60" s="358" t="e">
        <f>(CO60-CD60)/CD60</f>
        <v>#DIV/0!</v>
      </c>
      <c r="CW60" s="402">
        <f>CZ60 + ABS(CX60) + ABS(CY60)</f>
        <v>0</v>
      </c>
      <c r="CX60" s="402"/>
      <c r="CY60" s="402"/>
      <c r="CZ60" s="402"/>
      <c r="DA60" s="358"/>
      <c r="DB60" s="358"/>
      <c r="DC60" s="358"/>
      <c r="DD60" s="164" t="b">
        <v>0</v>
      </c>
      <c r="DE60" s="164" t="b">
        <v>0</v>
      </c>
      <c r="DF60" s="358" t="e">
        <f>(DA60-CR60)/CR60</f>
        <v>#DIV/0!</v>
      </c>
      <c r="DG60" s="358" t="e">
        <f>(CZ60-CO60)/CO60</f>
        <v>#DIV/0!</v>
      </c>
      <c r="DH60" s="402">
        <f>DK60 + ABS(DI60) + ABS(DJ60)</f>
        <v>0</v>
      </c>
      <c r="DI60" s="402"/>
      <c r="DJ60" s="402"/>
      <c r="DK60" s="402"/>
      <c r="DL60" s="358"/>
      <c r="DM60" s="358"/>
      <c r="DN60" s="358"/>
      <c r="DO60" s="164" t="b">
        <v>0</v>
      </c>
      <c r="DP60" s="164" t="b">
        <v>0</v>
      </c>
      <c r="DQ60" s="358" t="e">
        <f>(DL60-DA60)/DA60</f>
        <v>#DIV/0!</v>
      </c>
      <c r="DR60" s="358" t="e">
        <f>(DK60-CZ60)/CZ60</f>
        <v>#DIV/0!</v>
      </c>
      <c r="DS60" s="402">
        <f>DV60 + ABS(DT60) + ABS(DU60)</f>
        <v>0</v>
      </c>
      <c r="DT60" s="402"/>
      <c r="DU60" s="402"/>
      <c r="DV60" s="402"/>
      <c r="DW60" s="358"/>
      <c r="DX60" s="358"/>
      <c r="DY60" s="358"/>
      <c r="DZ60" s="164" t="b">
        <v>0</v>
      </c>
      <c r="EA60" s="164" t="b">
        <v>0</v>
      </c>
      <c r="EB60" s="358" t="e">
        <f>(DW60-DN60)/DN60</f>
        <v>#DIV/0!</v>
      </c>
      <c r="EC60" s="358" t="e">
        <f>(DV60-DK60)/DK60</f>
        <v>#DIV/0!</v>
      </c>
      <c r="ED60" s="402">
        <f>EG60 + ABS(EE60) + ABS(EF60)</f>
        <v>0</v>
      </c>
      <c r="EE60" s="402"/>
      <c r="EF60" s="402"/>
      <c r="EG60" s="402"/>
      <c r="EH60" s="358"/>
      <c r="EI60" s="358"/>
      <c r="EJ60" s="358"/>
      <c r="EK60" s="164" t="b">
        <v>0</v>
      </c>
      <c r="EL60" s="164" t="b">
        <v>0</v>
      </c>
      <c r="EM60" s="358" t="e">
        <f>(EH60-DW60)/DW60</f>
        <v>#DIV/0!</v>
      </c>
      <c r="EN60" s="358" t="e">
        <f>(EG60-DV60)/DV60</f>
        <v>#DIV/0!</v>
      </c>
      <c r="EO60" s="402">
        <f>ER60 + ABS(EP60) + ABS(EQ60)</f>
        <v>0</v>
      </c>
      <c r="EP60" s="402"/>
      <c r="EQ60" s="402"/>
      <c r="ER60" s="402"/>
      <c r="ES60" s="358"/>
      <c r="ET60" s="358"/>
      <c r="EU60" s="358"/>
      <c r="EV60" s="164" t="b">
        <v>0</v>
      </c>
      <c r="EW60" s="164" t="b">
        <v>0</v>
      </c>
      <c r="EX60" s="358" t="e">
        <f>(ES60-EJ60)/EJ60</f>
        <v>#DIV/0!</v>
      </c>
      <c r="EY60" s="358" t="e">
        <f>(ER60-EG60)/EG60</f>
        <v>#DIV/0!</v>
      </c>
      <c r="EZ60" s="449"/>
      <c r="FA60" s="449"/>
      <c r="FB60" s="449"/>
      <c r="FC60" s="449"/>
      <c r="FD60" s="449"/>
      <c r="FE60" s="449"/>
      <c r="FF60" s="449"/>
      <c r="FG60" s="449"/>
      <c r="FH60" s="449"/>
      <c r="FI60" s="449"/>
      <c r="FJ60" s="449"/>
      <c r="FK60" s="449"/>
      <c r="FL60" s="449"/>
      <c r="FM60" s="449"/>
      <c r="FN60" s="449"/>
      <c r="FO60" s="175"/>
      <c r="FP60" s="175"/>
      <c r="FQ60" s="801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</row>
    <row r="61" spans="2:221" ht="15">
      <c r="B61" s="175"/>
      <c r="C61" s="800" t="s">
        <v>313</v>
      </c>
      <c r="D61" s="357">
        <v>1450022</v>
      </c>
      <c r="E61" s="357">
        <v>84</v>
      </c>
      <c r="F61" s="357" t="s">
        <v>318</v>
      </c>
      <c r="G61" s="426" t="s">
        <v>319</v>
      </c>
      <c r="H61" s="148" t="s">
        <v>169</v>
      </c>
      <c r="I61" s="448" t="s">
        <v>170</v>
      </c>
      <c r="J61" s="357"/>
      <c r="K61" s="357"/>
      <c r="L61" s="357"/>
      <c r="M61" s="358"/>
      <c r="N61" s="361">
        <v>107</v>
      </c>
      <c r="O61" s="358"/>
      <c r="P61" s="402">
        <v>965.6</v>
      </c>
      <c r="Q61" s="402"/>
      <c r="R61" s="402">
        <v>19151.169999999998</v>
      </c>
      <c r="S61" s="358">
        <v>704</v>
      </c>
      <c r="T61" s="188" t="s">
        <v>171</v>
      </c>
      <c r="U61" s="358"/>
      <c r="V61" s="358"/>
      <c r="W61" s="358"/>
      <c r="X61" s="402">
        <f t="shared" si="4"/>
        <v>25815.280000000002</v>
      </c>
      <c r="Y61" s="402">
        <v>-1239.1300000000001</v>
      </c>
      <c r="Z61" s="402">
        <v>0</v>
      </c>
      <c r="AA61" s="402">
        <v>24576.15</v>
      </c>
      <c r="AB61" s="450">
        <v>886</v>
      </c>
      <c r="AC61" s="173" t="s">
        <v>172</v>
      </c>
      <c r="AD61" s="173" t="s">
        <v>173</v>
      </c>
      <c r="AE61" s="164" t="b">
        <v>1</v>
      </c>
      <c r="AF61" s="164" t="b">
        <v>1</v>
      </c>
      <c r="AG61" s="409">
        <f>(AB61-S61)/S61</f>
        <v>0.25852272727272729</v>
      </c>
      <c r="AH61" s="409">
        <f>(AA61-R61)/R61</f>
        <v>0.28327146592088126</v>
      </c>
      <c r="AI61" s="402">
        <f t="shared" si="2"/>
        <v>22160.73</v>
      </c>
      <c r="AJ61" s="364">
        <v>-1063.72</v>
      </c>
      <c r="AK61" s="364">
        <v>0</v>
      </c>
      <c r="AL61" s="364">
        <v>21097.01</v>
      </c>
      <c r="AM61" s="1069">
        <v>737</v>
      </c>
      <c r="AN61" s="407">
        <v>46122</v>
      </c>
      <c r="AO61" s="148" t="s">
        <v>174</v>
      </c>
      <c r="AP61" s="860" t="b">
        <v>1</v>
      </c>
      <c r="AQ61" s="860" t="b">
        <v>1</v>
      </c>
      <c r="AR61" s="409">
        <f t="shared" si="5"/>
        <v>-0.16817155756207675</v>
      </c>
      <c r="AS61" s="409">
        <f>(AL61-AA61)/AA61</f>
        <v>-0.14156570496192458</v>
      </c>
      <c r="AT61" s="402">
        <f t="shared" si="3"/>
        <v>0</v>
      </c>
      <c r="AU61" s="402"/>
      <c r="AV61" s="402"/>
      <c r="AW61" s="402"/>
      <c r="AX61" s="358"/>
      <c r="AY61" s="358"/>
      <c r="AZ61" s="358"/>
      <c r="BA61" s="164" t="b">
        <v>0</v>
      </c>
      <c r="BB61" s="164" t="b">
        <v>0</v>
      </c>
      <c r="BC61" s="358">
        <f>(AX61-AM61)/AM61</f>
        <v>-1</v>
      </c>
      <c r="BD61" s="358">
        <f>(AW61-AL61)/AL61</f>
        <v>-1</v>
      </c>
      <c r="BE61" s="402">
        <f>BH61 + ABS(BF61) + ABS(BG61)</f>
        <v>0</v>
      </c>
      <c r="BF61" s="402"/>
      <c r="BG61" s="402"/>
      <c r="BH61" s="402"/>
      <c r="BI61" s="358"/>
      <c r="BJ61" s="358"/>
      <c r="BK61" s="358"/>
      <c r="BL61" s="164" t="b">
        <v>0</v>
      </c>
      <c r="BM61" s="164" t="b">
        <v>0</v>
      </c>
      <c r="BN61" s="358" t="e">
        <f>(BI61-AZ61)/AZ61</f>
        <v>#DIV/0!</v>
      </c>
      <c r="BO61" s="358" t="e">
        <f>(BH61-AW61)/AW61</f>
        <v>#DIV/0!</v>
      </c>
      <c r="BP61" s="402">
        <f>BS61 + ABS(BQ61) + ABS(BR61)</f>
        <v>0</v>
      </c>
      <c r="BQ61" s="402"/>
      <c r="BR61" s="402"/>
      <c r="BS61" s="402"/>
      <c r="BT61" s="358"/>
      <c r="BU61" s="358"/>
      <c r="BV61" s="358"/>
      <c r="BW61" s="164" t="b">
        <v>0</v>
      </c>
      <c r="BX61" s="164" t="b">
        <v>0</v>
      </c>
      <c r="BY61" s="358" t="e">
        <f>(BT61-BI61)/BI61</f>
        <v>#DIV/0!</v>
      </c>
      <c r="BZ61" s="358" t="e">
        <f>(BS61-BH61)/BH61</f>
        <v>#DIV/0!</v>
      </c>
      <c r="CA61" s="402">
        <f>CD61 + ABS(CB61) + ABS(CC61)</f>
        <v>0</v>
      </c>
      <c r="CB61" s="402"/>
      <c r="CC61" s="402"/>
      <c r="CD61" s="402"/>
      <c r="CE61" s="358"/>
      <c r="CF61" s="358"/>
      <c r="CG61" s="358"/>
      <c r="CH61" s="164" t="b">
        <v>0</v>
      </c>
      <c r="CI61" s="164" t="b">
        <v>0</v>
      </c>
      <c r="CJ61" s="358" t="e">
        <f>(CE61-BV61)/BV61</f>
        <v>#DIV/0!</v>
      </c>
      <c r="CK61" s="358" t="e">
        <f>(CD61-BS61)/BS61</f>
        <v>#DIV/0!</v>
      </c>
      <c r="CL61" s="402">
        <f>CO61 + ABS(CM61) + ABS(CN61)</f>
        <v>0</v>
      </c>
      <c r="CM61" s="402"/>
      <c r="CN61" s="402"/>
      <c r="CO61" s="402"/>
      <c r="CP61" s="358"/>
      <c r="CQ61" s="358"/>
      <c r="CR61" s="358"/>
      <c r="CS61" s="164" t="b">
        <v>0</v>
      </c>
      <c r="CT61" s="164" t="b">
        <v>0</v>
      </c>
      <c r="CU61" s="358" t="e">
        <f>(CP61-CE61)/CE61</f>
        <v>#DIV/0!</v>
      </c>
      <c r="CV61" s="358" t="e">
        <f>(CO61-CD61)/CD61</f>
        <v>#DIV/0!</v>
      </c>
      <c r="CW61" s="402">
        <f>CZ61 + ABS(CX61) + ABS(CY61)</f>
        <v>0</v>
      </c>
      <c r="CX61" s="402"/>
      <c r="CY61" s="402"/>
      <c r="CZ61" s="402"/>
      <c r="DA61" s="358"/>
      <c r="DB61" s="358"/>
      <c r="DC61" s="358"/>
      <c r="DD61" s="164" t="b">
        <v>0</v>
      </c>
      <c r="DE61" s="164" t="b">
        <v>0</v>
      </c>
      <c r="DF61" s="358" t="e">
        <f>(DA61-CR61)/CR61</f>
        <v>#DIV/0!</v>
      </c>
      <c r="DG61" s="358" t="e">
        <f>(CZ61-CO61)/CO61</f>
        <v>#DIV/0!</v>
      </c>
      <c r="DH61" s="402">
        <f>DK61 + ABS(DI61) + ABS(DJ61)</f>
        <v>0</v>
      </c>
      <c r="DI61" s="402"/>
      <c r="DJ61" s="402"/>
      <c r="DK61" s="402"/>
      <c r="DL61" s="358"/>
      <c r="DM61" s="358"/>
      <c r="DN61" s="358"/>
      <c r="DO61" s="164" t="b">
        <v>0</v>
      </c>
      <c r="DP61" s="164" t="b">
        <v>0</v>
      </c>
      <c r="DQ61" s="358" t="e">
        <f>(DL61-DA61)/DA61</f>
        <v>#DIV/0!</v>
      </c>
      <c r="DR61" s="358" t="e">
        <f>(DK61-CZ61)/CZ61</f>
        <v>#DIV/0!</v>
      </c>
      <c r="DS61" s="402">
        <f>DV61 + ABS(DT61) + ABS(DU61)</f>
        <v>0</v>
      </c>
      <c r="DT61" s="402"/>
      <c r="DU61" s="402"/>
      <c r="DV61" s="402"/>
      <c r="DW61" s="358"/>
      <c r="DX61" s="358"/>
      <c r="DY61" s="358"/>
      <c r="DZ61" s="164" t="b">
        <v>0</v>
      </c>
      <c r="EA61" s="164" t="b">
        <v>0</v>
      </c>
      <c r="EB61" s="358" t="e">
        <f>(DW61-DN61)/DN61</f>
        <v>#DIV/0!</v>
      </c>
      <c r="EC61" s="358" t="e">
        <f>(DV61-DK61)/DK61</f>
        <v>#DIV/0!</v>
      </c>
      <c r="ED61" s="402">
        <f>EG61 + ABS(EE61) + ABS(EF61)</f>
        <v>0</v>
      </c>
      <c r="EE61" s="402"/>
      <c r="EF61" s="402"/>
      <c r="EG61" s="402"/>
      <c r="EH61" s="358"/>
      <c r="EI61" s="358"/>
      <c r="EJ61" s="358"/>
      <c r="EK61" s="164" t="b">
        <v>0</v>
      </c>
      <c r="EL61" s="164" t="b">
        <v>0</v>
      </c>
      <c r="EM61" s="358" t="e">
        <f>(EH61-DW61)/DW61</f>
        <v>#DIV/0!</v>
      </c>
      <c r="EN61" s="358" t="e">
        <f>(EG61-DV61)/DV61</f>
        <v>#DIV/0!</v>
      </c>
      <c r="EO61" s="402">
        <f>ER61 + ABS(EP61) + ABS(EQ61)</f>
        <v>0</v>
      </c>
      <c r="EP61" s="402"/>
      <c r="EQ61" s="402"/>
      <c r="ER61" s="402"/>
      <c r="ES61" s="358"/>
      <c r="ET61" s="358"/>
      <c r="EU61" s="358"/>
      <c r="EV61" s="164" t="b">
        <v>0</v>
      </c>
      <c r="EW61" s="164" t="b">
        <v>0</v>
      </c>
      <c r="EX61" s="358" t="e">
        <f>(ES61-EJ61)/EJ61</f>
        <v>#DIV/0!</v>
      </c>
      <c r="EY61" s="358" t="e">
        <f>(ER61-EG61)/EG61</f>
        <v>#DIV/0!</v>
      </c>
      <c r="EZ61" s="449"/>
      <c r="FA61" s="449"/>
      <c r="FB61" s="449"/>
      <c r="FC61" s="449"/>
      <c r="FD61" s="449"/>
      <c r="FE61" s="449"/>
      <c r="FF61" s="449"/>
      <c r="FG61" s="449"/>
      <c r="FH61" s="449"/>
      <c r="FI61" s="449"/>
      <c r="FJ61" s="449"/>
      <c r="FK61" s="449"/>
      <c r="FL61" s="449"/>
      <c r="FM61" s="449"/>
      <c r="FN61" s="449"/>
      <c r="FO61" s="175"/>
      <c r="FP61" s="175"/>
      <c r="FQ61" s="801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</row>
    <row r="62" spans="2:221" ht="15">
      <c r="B62" s="175"/>
      <c r="C62" s="802" t="s">
        <v>320</v>
      </c>
      <c r="D62" s="154">
        <v>1450022</v>
      </c>
      <c r="E62" s="154">
        <v>344</v>
      </c>
      <c r="F62" s="154" t="s">
        <v>321</v>
      </c>
      <c r="G62" s="255" t="s">
        <v>322</v>
      </c>
      <c r="H62" s="171" t="s">
        <v>169</v>
      </c>
      <c r="I62" s="445" t="s">
        <v>170</v>
      </c>
      <c r="J62" s="154"/>
      <c r="K62" s="154"/>
      <c r="L62" s="154"/>
      <c r="M62" s="176"/>
      <c r="N62" s="193">
        <v>107</v>
      </c>
      <c r="O62" s="176"/>
      <c r="P62" s="203">
        <v>16.05</v>
      </c>
      <c r="Q62" s="203"/>
      <c r="R62" s="203">
        <v>318.25</v>
      </c>
      <c r="S62" s="176">
        <v>32</v>
      </c>
      <c r="T62" s="188" t="s">
        <v>171</v>
      </c>
      <c r="U62" s="176"/>
      <c r="V62" s="176"/>
      <c r="W62" s="176"/>
      <c r="X62" s="203">
        <f t="shared" si="4"/>
        <v>55.1</v>
      </c>
      <c r="Y62" s="203">
        <v>-2.64</v>
      </c>
      <c r="Z62" s="203">
        <v>0</v>
      </c>
      <c r="AA62" s="203">
        <v>52.46</v>
      </c>
      <c r="AB62" s="446">
        <v>5</v>
      </c>
      <c r="AC62" s="444" t="s">
        <v>172</v>
      </c>
      <c r="AD62" s="444" t="s">
        <v>173</v>
      </c>
      <c r="AE62" s="177" t="b">
        <v>1</v>
      </c>
      <c r="AF62" s="177" t="b">
        <v>1</v>
      </c>
      <c r="AG62" s="392">
        <f>(AB62-S62)/S62</f>
        <v>-0.84375</v>
      </c>
      <c r="AH62" s="392">
        <f>(AA62-R62)/R62</f>
        <v>-0.8351610369206599</v>
      </c>
      <c r="AI62" s="203">
        <f t="shared" si="2"/>
        <v>33.49</v>
      </c>
      <c r="AJ62" s="368">
        <v>-1.61</v>
      </c>
      <c r="AK62" s="368">
        <v>0</v>
      </c>
      <c r="AL62" s="368">
        <v>31.88</v>
      </c>
      <c r="AM62" s="1068">
        <v>0</v>
      </c>
      <c r="AN62" s="172">
        <v>46122</v>
      </c>
      <c r="AO62" s="171" t="s">
        <v>174</v>
      </c>
      <c r="AP62" s="861" t="b">
        <v>1</v>
      </c>
      <c r="AQ62" s="861" t="b">
        <v>1</v>
      </c>
      <c r="AR62" s="392">
        <f t="shared" si="5"/>
        <v>-1</v>
      </c>
      <c r="AS62" s="392">
        <f>(AL62-AA62)/AA62</f>
        <v>-0.39229889439573012</v>
      </c>
      <c r="AT62" s="203">
        <f t="shared" si="3"/>
        <v>0</v>
      </c>
      <c r="AU62" s="203"/>
      <c r="AV62" s="203"/>
      <c r="AW62" s="203"/>
      <c r="AX62" s="176"/>
      <c r="AY62" s="176"/>
      <c r="AZ62" s="176"/>
      <c r="BA62" s="177" t="b">
        <v>0</v>
      </c>
      <c r="BB62" s="177" t="b">
        <v>0</v>
      </c>
      <c r="BC62" s="176" t="e">
        <f>(AX62-AM62)/AM62</f>
        <v>#DIV/0!</v>
      </c>
      <c r="BD62" s="176">
        <f>(AW62-AL62)/AL62</f>
        <v>-1</v>
      </c>
      <c r="BE62" s="203">
        <f>BH62 + ABS(BF62) + ABS(BG62)</f>
        <v>0</v>
      </c>
      <c r="BF62" s="203"/>
      <c r="BG62" s="203"/>
      <c r="BH62" s="203"/>
      <c r="BI62" s="176"/>
      <c r="BJ62" s="176"/>
      <c r="BK62" s="176"/>
      <c r="BL62" s="177" t="b">
        <v>0</v>
      </c>
      <c r="BM62" s="177" t="b">
        <v>0</v>
      </c>
      <c r="BN62" s="176" t="e">
        <f>(BI62-AZ62)/AZ62</f>
        <v>#DIV/0!</v>
      </c>
      <c r="BO62" s="176" t="e">
        <f>(BH62-AW62)/AW62</f>
        <v>#DIV/0!</v>
      </c>
      <c r="BP62" s="203">
        <f>BS62 + ABS(BQ62) + ABS(BR62)</f>
        <v>0</v>
      </c>
      <c r="BQ62" s="203"/>
      <c r="BR62" s="203"/>
      <c r="BS62" s="203"/>
      <c r="BT62" s="176"/>
      <c r="BU62" s="176"/>
      <c r="BV62" s="176"/>
      <c r="BW62" s="177" t="b">
        <v>0</v>
      </c>
      <c r="BX62" s="177" t="b">
        <v>0</v>
      </c>
      <c r="BY62" s="176" t="e">
        <f>(BT62-BI62)/BI62</f>
        <v>#DIV/0!</v>
      </c>
      <c r="BZ62" s="176" t="e">
        <f>(BS62-BH62)/BH62</f>
        <v>#DIV/0!</v>
      </c>
      <c r="CA62" s="203">
        <f>CD62 + ABS(CB62) + ABS(CC62)</f>
        <v>0</v>
      </c>
      <c r="CB62" s="203"/>
      <c r="CC62" s="203"/>
      <c r="CD62" s="203"/>
      <c r="CE62" s="176"/>
      <c r="CF62" s="176"/>
      <c r="CG62" s="176"/>
      <c r="CH62" s="177" t="b">
        <v>0</v>
      </c>
      <c r="CI62" s="177" t="b">
        <v>0</v>
      </c>
      <c r="CJ62" s="176" t="e">
        <f>(CE62-BV62)/BV62</f>
        <v>#DIV/0!</v>
      </c>
      <c r="CK62" s="176" t="e">
        <f>(CD62-BS62)/BS62</f>
        <v>#DIV/0!</v>
      </c>
      <c r="CL62" s="203">
        <f>CO62 + ABS(CM62) + ABS(CN62)</f>
        <v>0</v>
      </c>
      <c r="CM62" s="203"/>
      <c r="CN62" s="203"/>
      <c r="CO62" s="203"/>
      <c r="CP62" s="176"/>
      <c r="CQ62" s="176"/>
      <c r="CR62" s="176"/>
      <c r="CS62" s="177" t="b">
        <v>0</v>
      </c>
      <c r="CT62" s="177" t="b">
        <v>0</v>
      </c>
      <c r="CU62" s="176" t="e">
        <f>(CP62-CE62)/CE62</f>
        <v>#DIV/0!</v>
      </c>
      <c r="CV62" s="176" t="e">
        <f>(CO62-CD62)/CD62</f>
        <v>#DIV/0!</v>
      </c>
      <c r="CW62" s="203">
        <f>CZ62 + ABS(CX62) + ABS(CY62)</f>
        <v>0</v>
      </c>
      <c r="CX62" s="203"/>
      <c r="CY62" s="203"/>
      <c r="CZ62" s="203"/>
      <c r="DA62" s="176"/>
      <c r="DB62" s="176"/>
      <c r="DC62" s="176"/>
      <c r="DD62" s="177" t="b">
        <v>0</v>
      </c>
      <c r="DE62" s="177" t="b">
        <v>0</v>
      </c>
      <c r="DF62" s="176" t="e">
        <f>(DA62-CR62)/CR62</f>
        <v>#DIV/0!</v>
      </c>
      <c r="DG62" s="176" t="e">
        <f>(CZ62-CO62)/CO62</f>
        <v>#DIV/0!</v>
      </c>
      <c r="DH62" s="203">
        <f>DK62 + ABS(DI62) + ABS(DJ62)</f>
        <v>0</v>
      </c>
      <c r="DI62" s="203"/>
      <c r="DJ62" s="203"/>
      <c r="DK62" s="203"/>
      <c r="DL62" s="176"/>
      <c r="DM62" s="176"/>
      <c r="DN62" s="176"/>
      <c r="DO62" s="177" t="b">
        <v>0</v>
      </c>
      <c r="DP62" s="177" t="b">
        <v>0</v>
      </c>
      <c r="DQ62" s="176" t="e">
        <f>(DL62-DA62)/DA62</f>
        <v>#DIV/0!</v>
      </c>
      <c r="DR62" s="176" t="e">
        <f>(DK62-CZ62)/CZ62</f>
        <v>#DIV/0!</v>
      </c>
      <c r="DS62" s="203">
        <f>DV62 + ABS(DT62) + ABS(DU62)</f>
        <v>0</v>
      </c>
      <c r="DT62" s="203"/>
      <c r="DU62" s="203"/>
      <c r="DV62" s="203"/>
      <c r="DW62" s="176"/>
      <c r="DX62" s="176"/>
      <c r="DY62" s="176"/>
      <c r="DZ62" s="177" t="b">
        <v>0</v>
      </c>
      <c r="EA62" s="177" t="b">
        <v>0</v>
      </c>
      <c r="EB62" s="176" t="e">
        <f>(DW62-DN62)/DN62</f>
        <v>#DIV/0!</v>
      </c>
      <c r="EC62" s="176" t="e">
        <f>(DV62-DK62)/DK62</f>
        <v>#DIV/0!</v>
      </c>
      <c r="ED62" s="203">
        <f>EG62 + ABS(EE62) + ABS(EF62)</f>
        <v>0</v>
      </c>
      <c r="EE62" s="203"/>
      <c r="EF62" s="203"/>
      <c r="EG62" s="203"/>
      <c r="EH62" s="176"/>
      <c r="EI62" s="176"/>
      <c r="EJ62" s="176"/>
      <c r="EK62" s="177" t="b">
        <v>0</v>
      </c>
      <c r="EL62" s="177" t="b">
        <v>0</v>
      </c>
      <c r="EM62" s="176" t="e">
        <f>(EH62-DW62)/DW62</f>
        <v>#DIV/0!</v>
      </c>
      <c r="EN62" s="176" t="e">
        <f>(EG62-DV62)/DV62</f>
        <v>#DIV/0!</v>
      </c>
      <c r="EO62" s="203">
        <f>ER62 + ABS(EP62) + ABS(EQ62)</f>
        <v>0</v>
      </c>
      <c r="EP62" s="203"/>
      <c r="EQ62" s="203"/>
      <c r="ER62" s="203"/>
      <c r="ES62" s="176"/>
      <c r="ET62" s="176"/>
      <c r="EU62" s="176"/>
      <c r="EV62" s="177" t="b">
        <v>0</v>
      </c>
      <c r="EW62" s="177" t="b">
        <v>0</v>
      </c>
      <c r="EX62" s="176" t="e">
        <f>(ES62-EJ62)/EJ62</f>
        <v>#DIV/0!</v>
      </c>
      <c r="EY62" s="176" t="e">
        <f>(ER62-EG62)/EG62</f>
        <v>#DIV/0!</v>
      </c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801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</row>
    <row r="63" spans="2:221" ht="15">
      <c r="B63" s="175"/>
      <c r="C63" s="800" t="s">
        <v>323</v>
      </c>
      <c r="D63" s="357">
        <v>1450022</v>
      </c>
      <c r="E63" s="357">
        <v>204</v>
      </c>
      <c r="F63" s="357" t="s">
        <v>324</v>
      </c>
      <c r="G63" s="426" t="s">
        <v>325</v>
      </c>
      <c r="H63" s="148" t="s">
        <v>169</v>
      </c>
      <c r="I63" s="448" t="s">
        <v>170</v>
      </c>
      <c r="J63" s="357"/>
      <c r="K63" s="357"/>
      <c r="L63" s="357"/>
      <c r="M63" s="358"/>
      <c r="N63" s="361">
        <v>107</v>
      </c>
      <c r="O63" s="358"/>
      <c r="P63" s="402">
        <v>1869.38</v>
      </c>
      <c r="Q63" s="402"/>
      <c r="R63" s="402">
        <v>37076.01</v>
      </c>
      <c r="S63" s="358">
        <v>2279</v>
      </c>
      <c r="T63" s="188" t="s">
        <v>171</v>
      </c>
      <c r="U63" s="358"/>
      <c r="V63" s="358"/>
      <c r="W63" s="358"/>
      <c r="X63" s="402">
        <f t="shared" si="4"/>
        <v>33838.25</v>
      </c>
      <c r="Y63" s="402">
        <v>-1624.24</v>
      </c>
      <c r="Z63" s="402">
        <v>0</v>
      </c>
      <c r="AA63" s="402">
        <v>32214.01</v>
      </c>
      <c r="AB63" s="450">
        <v>1960</v>
      </c>
      <c r="AC63" s="173" t="s">
        <v>172</v>
      </c>
      <c r="AD63" s="173" t="s">
        <v>173</v>
      </c>
      <c r="AE63" s="164" t="b">
        <v>1</v>
      </c>
      <c r="AF63" s="164" t="b">
        <v>1</v>
      </c>
      <c r="AG63" s="409">
        <f>(AB63-S63)/S63</f>
        <v>-0.13997367266344887</v>
      </c>
      <c r="AH63" s="409">
        <f>(AA63-R63)/R63</f>
        <v>-0.13113600951127166</v>
      </c>
      <c r="AI63" s="402">
        <f t="shared" si="2"/>
        <v>38475.599999999999</v>
      </c>
      <c r="AJ63" s="364">
        <v>-1846.83</v>
      </c>
      <c r="AK63" s="364">
        <v>0</v>
      </c>
      <c r="AL63" s="364">
        <v>36628.769999999997</v>
      </c>
      <c r="AM63" s="1069">
        <v>2148</v>
      </c>
      <c r="AN63" s="407">
        <v>46122</v>
      </c>
      <c r="AO63" s="148" t="s">
        <v>174</v>
      </c>
      <c r="AP63" s="860" t="b">
        <v>1</v>
      </c>
      <c r="AQ63" s="860" t="b">
        <v>1</v>
      </c>
      <c r="AR63" s="409">
        <f t="shared" si="5"/>
        <v>9.5918367346938774E-2</v>
      </c>
      <c r="AS63" s="409">
        <f>(AL63-AA63)/AA63</f>
        <v>0.13704472060448231</v>
      </c>
      <c r="AT63" s="402">
        <f t="shared" si="3"/>
        <v>0</v>
      </c>
      <c r="AU63" s="402"/>
      <c r="AV63" s="402"/>
      <c r="AW63" s="402"/>
      <c r="AX63" s="358"/>
      <c r="AY63" s="358"/>
      <c r="AZ63" s="358"/>
      <c r="BA63" s="164" t="b">
        <v>0</v>
      </c>
      <c r="BB63" s="164" t="b">
        <v>0</v>
      </c>
      <c r="BC63" s="358">
        <f>(AX63-AM63)/AM63</f>
        <v>-1</v>
      </c>
      <c r="BD63" s="358">
        <f>(AW63-AL63)/AL63</f>
        <v>-1</v>
      </c>
      <c r="BE63" s="402">
        <f>BH63 + ABS(BF63) + ABS(BG63)</f>
        <v>0</v>
      </c>
      <c r="BF63" s="402"/>
      <c r="BG63" s="402"/>
      <c r="BH63" s="402"/>
      <c r="BI63" s="358"/>
      <c r="BJ63" s="358"/>
      <c r="BK63" s="358"/>
      <c r="BL63" s="164" t="b">
        <v>0</v>
      </c>
      <c r="BM63" s="164" t="b">
        <v>0</v>
      </c>
      <c r="BN63" s="358" t="e">
        <f>(BI63-AZ63)/AZ63</f>
        <v>#DIV/0!</v>
      </c>
      <c r="BO63" s="358" t="e">
        <f>(BH63-AW63)/AW63</f>
        <v>#DIV/0!</v>
      </c>
      <c r="BP63" s="402">
        <f>BS63 + ABS(BQ63) + ABS(BR63)</f>
        <v>0</v>
      </c>
      <c r="BQ63" s="402"/>
      <c r="BR63" s="402"/>
      <c r="BS63" s="402"/>
      <c r="BT63" s="358"/>
      <c r="BU63" s="358"/>
      <c r="BV63" s="358"/>
      <c r="BW63" s="164" t="b">
        <v>0</v>
      </c>
      <c r="BX63" s="164" t="b">
        <v>0</v>
      </c>
      <c r="BY63" s="358" t="e">
        <f>(BT63-BI63)/BI63</f>
        <v>#DIV/0!</v>
      </c>
      <c r="BZ63" s="358" t="e">
        <f>(BS63-BH63)/BH63</f>
        <v>#DIV/0!</v>
      </c>
      <c r="CA63" s="402">
        <f>CD63 + ABS(CB63) + ABS(CC63)</f>
        <v>0</v>
      </c>
      <c r="CB63" s="402"/>
      <c r="CC63" s="402"/>
      <c r="CD63" s="402"/>
      <c r="CE63" s="358"/>
      <c r="CF63" s="358"/>
      <c r="CG63" s="358"/>
      <c r="CH63" s="164" t="b">
        <v>0</v>
      </c>
      <c r="CI63" s="164" t="b">
        <v>0</v>
      </c>
      <c r="CJ63" s="358" t="e">
        <f>(CE63-BV63)/BV63</f>
        <v>#DIV/0!</v>
      </c>
      <c r="CK63" s="358" t="e">
        <f>(CD63-BS63)/BS63</f>
        <v>#DIV/0!</v>
      </c>
      <c r="CL63" s="402">
        <f>CO63 + ABS(CM63) + ABS(CN63)</f>
        <v>0</v>
      </c>
      <c r="CM63" s="402"/>
      <c r="CN63" s="402"/>
      <c r="CO63" s="402"/>
      <c r="CP63" s="358"/>
      <c r="CQ63" s="358"/>
      <c r="CR63" s="358"/>
      <c r="CS63" s="164" t="b">
        <v>0</v>
      </c>
      <c r="CT63" s="164" t="b">
        <v>0</v>
      </c>
      <c r="CU63" s="358" t="e">
        <f>(CP63-CE63)/CE63</f>
        <v>#DIV/0!</v>
      </c>
      <c r="CV63" s="358" t="e">
        <f>(CO63-CD63)/CD63</f>
        <v>#DIV/0!</v>
      </c>
      <c r="CW63" s="402">
        <f>CZ63 + ABS(CX63) + ABS(CY63)</f>
        <v>0</v>
      </c>
      <c r="CX63" s="402"/>
      <c r="CY63" s="402"/>
      <c r="CZ63" s="402"/>
      <c r="DA63" s="358"/>
      <c r="DB63" s="358"/>
      <c r="DC63" s="358"/>
      <c r="DD63" s="164" t="b">
        <v>0</v>
      </c>
      <c r="DE63" s="164" t="b">
        <v>0</v>
      </c>
      <c r="DF63" s="358" t="e">
        <f>(DA63-CR63)/CR63</f>
        <v>#DIV/0!</v>
      </c>
      <c r="DG63" s="358" t="e">
        <f>(CZ63-CO63)/CO63</f>
        <v>#DIV/0!</v>
      </c>
      <c r="DH63" s="402">
        <f>DK63 + ABS(DI63) + ABS(DJ63)</f>
        <v>0</v>
      </c>
      <c r="DI63" s="402"/>
      <c r="DJ63" s="402"/>
      <c r="DK63" s="402"/>
      <c r="DL63" s="358"/>
      <c r="DM63" s="358"/>
      <c r="DN63" s="358"/>
      <c r="DO63" s="164" t="b">
        <v>0</v>
      </c>
      <c r="DP63" s="164" t="b">
        <v>0</v>
      </c>
      <c r="DQ63" s="358" t="e">
        <f>(DL63-DA63)/DA63</f>
        <v>#DIV/0!</v>
      </c>
      <c r="DR63" s="358" t="e">
        <f>(DK63-CZ63)/CZ63</f>
        <v>#DIV/0!</v>
      </c>
      <c r="DS63" s="402">
        <f>DV63 + ABS(DT63) + ABS(DU63)</f>
        <v>0</v>
      </c>
      <c r="DT63" s="402"/>
      <c r="DU63" s="402"/>
      <c r="DV63" s="402"/>
      <c r="DW63" s="358"/>
      <c r="DX63" s="358"/>
      <c r="DY63" s="358"/>
      <c r="DZ63" s="164" t="b">
        <v>0</v>
      </c>
      <c r="EA63" s="164" t="b">
        <v>0</v>
      </c>
      <c r="EB63" s="358" t="e">
        <f>(DW63-DN63)/DN63</f>
        <v>#DIV/0!</v>
      </c>
      <c r="EC63" s="358" t="e">
        <f>(DV63-DK63)/DK63</f>
        <v>#DIV/0!</v>
      </c>
      <c r="ED63" s="402">
        <f>EG63 + ABS(EE63) + ABS(EF63)</f>
        <v>0</v>
      </c>
      <c r="EE63" s="402"/>
      <c r="EF63" s="402"/>
      <c r="EG63" s="402"/>
      <c r="EH63" s="358"/>
      <c r="EI63" s="358"/>
      <c r="EJ63" s="358"/>
      <c r="EK63" s="164" t="b">
        <v>0</v>
      </c>
      <c r="EL63" s="164" t="b">
        <v>0</v>
      </c>
      <c r="EM63" s="358" t="e">
        <f>(EH63-DW63)/DW63</f>
        <v>#DIV/0!</v>
      </c>
      <c r="EN63" s="358" t="e">
        <f>(EG63-DV63)/DV63</f>
        <v>#DIV/0!</v>
      </c>
      <c r="EO63" s="402">
        <f>ER63 + ABS(EP63) + ABS(EQ63)</f>
        <v>0</v>
      </c>
      <c r="EP63" s="402"/>
      <c r="EQ63" s="402"/>
      <c r="ER63" s="402"/>
      <c r="ES63" s="358"/>
      <c r="ET63" s="358"/>
      <c r="EU63" s="358"/>
      <c r="EV63" s="164" t="b">
        <v>0</v>
      </c>
      <c r="EW63" s="164" t="b">
        <v>0</v>
      </c>
      <c r="EX63" s="358" t="e">
        <f>(ES63-EJ63)/EJ63</f>
        <v>#DIV/0!</v>
      </c>
      <c r="EY63" s="358" t="e">
        <f>(ER63-EG63)/EG63</f>
        <v>#DIV/0!</v>
      </c>
      <c r="EZ63" s="449"/>
      <c r="FA63" s="449"/>
      <c r="FB63" s="449"/>
      <c r="FC63" s="449"/>
      <c r="FD63" s="449"/>
      <c r="FE63" s="449"/>
      <c r="FF63" s="449"/>
      <c r="FG63" s="449"/>
      <c r="FH63" s="449"/>
      <c r="FI63" s="449"/>
      <c r="FJ63" s="449"/>
      <c r="FK63" s="449"/>
      <c r="FL63" s="449"/>
      <c r="FM63" s="449"/>
      <c r="FN63" s="449"/>
      <c r="FO63" s="449"/>
      <c r="FP63" s="175"/>
      <c r="FQ63" s="801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</row>
    <row r="64" spans="2:221" ht="15">
      <c r="B64" s="175"/>
      <c r="C64" s="802" t="s">
        <v>326</v>
      </c>
      <c r="D64" s="154">
        <v>1450022</v>
      </c>
      <c r="E64" s="154">
        <v>316</v>
      </c>
      <c r="F64" s="154" t="s">
        <v>327</v>
      </c>
      <c r="G64" s="255" t="s">
        <v>328</v>
      </c>
      <c r="H64" s="171" t="s">
        <v>169</v>
      </c>
      <c r="I64" s="445" t="s">
        <v>170</v>
      </c>
      <c r="J64" s="154"/>
      <c r="K64" s="154"/>
      <c r="L64" s="154"/>
      <c r="M64" s="176"/>
      <c r="N64" s="193">
        <v>107</v>
      </c>
      <c r="O64" s="176"/>
      <c r="P64" s="203">
        <v>1149.1400000000001</v>
      </c>
      <c r="Q64" s="203"/>
      <c r="R64" s="203">
        <v>22791.27</v>
      </c>
      <c r="S64" s="176">
        <v>1416</v>
      </c>
      <c r="T64" s="188" t="s">
        <v>171</v>
      </c>
      <c r="U64" s="176"/>
      <c r="V64" s="176"/>
      <c r="W64" s="176"/>
      <c r="X64" s="203">
        <f t="shared" si="4"/>
        <v>22602.85</v>
      </c>
      <c r="Y64" s="203">
        <v>-1084.94</v>
      </c>
      <c r="Z64" s="203">
        <v>0</v>
      </c>
      <c r="AA64" s="203">
        <v>21517.91</v>
      </c>
      <c r="AB64" s="446">
        <v>1337</v>
      </c>
      <c r="AC64" s="444" t="s">
        <v>172</v>
      </c>
      <c r="AD64" s="444" t="s">
        <v>173</v>
      </c>
      <c r="AE64" s="177" t="b">
        <v>1</v>
      </c>
      <c r="AF64" s="177" t="b">
        <v>1</v>
      </c>
      <c r="AG64" s="392">
        <f>(AB64-S64)/S64</f>
        <v>-5.5790960451977401E-2</v>
      </c>
      <c r="AH64" s="392">
        <f>(AA64-R64)/R64</f>
        <v>-5.5870515333283341E-2</v>
      </c>
      <c r="AI64" s="203">
        <f t="shared" si="2"/>
        <v>19430.949999999997</v>
      </c>
      <c r="AJ64" s="368">
        <v>-932.69</v>
      </c>
      <c r="AK64" s="368">
        <v>0</v>
      </c>
      <c r="AL64" s="368">
        <v>18498.259999999998</v>
      </c>
      <c r="AM64" s="1068">
        <v>1104</v>
      </c>
      <c r="AN64" s="172">
        <v>46122</v>
      </c>
      <c r="AO64" s="171" t="s">
        <v>174</v>
      </c>
      <c r="AP64" s="861" t="b">
        <v>1</v>
      </c>
      <c r="AQ64" s="861" t="b">
        <v>1</v>
      </c>
      <c r="AR64" s="392">
        <f t="shared" si="5"/>
        <v>-0.17427075542258788</v>
      </c>
      <c r="AS64" s="392">
        <f>(AL64-AA64)/AA64</f>
        <v>-0.14033193744187988</v>
      </c>
      <c r="AT64" s="203">
        <f t="shared" si="3"/>
        <v>0</v>
      </c>
      <c r="AU64" s="203"/>
      <c r="AV64" s="203"/>
      <c r="AW64" s="203"/>
      <c r="AX64" s="176"/>
      <c r="AY64" s="176"/>
      <c r="AZ64" s="176"/>
      <c r="BA64" s="177" t="b">
        <v>0</v>
      </c>
      <c r="BB64" s="177" t="b">
        <v>0</v>
      </c>
      <c r="BC64" s="176">
        <f>(AX64-AM64)/AM64</f>
        <v>-1</v>
      </c>
      <c r="BD64" s="176">
        <f>(AW64-AL64)/AL64</f>
        <v>-1</v>
      </c>
      <c r="BE64" s="203">
        <f>BH64 + ABS(BF64) + ABS(BG64)</f>
        <v>0</v>
      </c>
      <c r="BF64" s="203"/>
      <c r="BG64" s="203"/>
      <c r="BH64" s="203"/>
      <c r="BI64" s="176"/>
      <c r="BJ64" s="176"/>
      <c r="BK64" s="176"/>
      <c r="BL64" s="177" t="b">
        <v>0</v>
      </c>
      <c r="BM64" s="177" t="b">
        <v>0</v>
      </c>
      <c r="BN64" s="176" t="e">
        <f>(BI64-AZ64)/AZ64</f>
        <v>#DIV/0!</v>
      </c>
      <c r="BO64" s="176" t="e">
        <f>(BH64-AW64)/AW64</f>
        <v>#DIV/0!</v>
      </c>
      <c r="BP64" s="203">
        <f>BS64 + ABS(BQ64) + ABS(BR64)</f>
        <v>0</v>
      </c>
      <c r="BQ64" s="203"/>
      <c r="BR64" s="203"/>
      <c r="BS64" s="203"/>
      <c r="BT64" s="176"/>
      <c r="BU64" s="176"/>
      <c r="BV64" s="176"/>
      <c r="BW64" s="177" t="b">
        <v>0</v>
      </c>
      <c r="BX64" s="177" t="b">
        <v>0</v>
      </c>
      <c r="BY64" s="176" t="e">
        <f>(BT64-BI64)/BI64</f>
        <v>#DIV/0!</v>
      </c>
      <c r="BZ64" s="176" t="e">
        <f>(BS64-BH64)/BH64</f>
        <v>#DIV/0!</v>
      </c>
      <c r="CA64" s="203">
        <f>CD64 + ABS(CB64) + ABS(CC64)</f>
        <v>0</v>
      </c>
      <c r="CB64" s="203"/>
      <c r="CC64" s="203"/>
      <c r="CD64" s="203"/>
      <c r="CE64" s="176"/>
      <c r="CF64" s="176"/>
      <c r="CG64" s="176"/>
      <c r="CH64" s="177" t="b">
        <v>0</v>
      </c>
      <c r="CI64" s="177" t="b">
        <v>0</v>
      </c>
      <c r="CJ64" s="176" t="e">
        <f>(CE64-BV64)/BV64</f>
        <v>#DIV/0!</v>
      </c>
      <c r="CK64" s="176" t="e">
        <f>(CD64-BS64)/BS64</f>
        <v>#DIV/0!</v>
      </c>
      <c r="CL64" s="203">
        <f>CO64 + ABS(CM64) + ABS(CN64)</f>
        <v>0</v>
      </c>
      <c r="CM64" s="203"/>
      <c r="CN64" s="203"/>
      <c r="CO64" s="203"/>
      <c r="CP64" s="176"/>
      <c r="CQ64" s="176"/>
      <c r="CR64" s="176"/>
      <c r="CS64" s="177" t="b">
        <v>0</v>
      </c>
      <c r="CT64" s="177" t="b">
        <v>0</v>
      </c>
      <c r="CU64" s="176" t="e">
        <f>(CP64-CE64)/CE64</f>
        <v>#DIV/0!</v>
      </c>
      <c r="CV64" s="176" t="e">
        <f>(CO64-CD64)/CD64</f>
        <v>#DIV/0!</v>
      </c>
      <c r="CW64" s="203">
        <f>CZ64 + ABS(CX64) + ABS(CY64)</f>
        <v>0</v>
      </c>
      <c r="CX64" s="203"/>
      <c r="CY64" s="203"/>
      <c r="CZ64" s="203"/>
      <c r="DA64" s="176"/>
      <c r="DB64" s="176"/>
      <c r="DC64" s="176"/>
      <c r="DD64" s="177" t="b">
        <v>0</v>
      </c>
      <c r="DE64" s="177" t="b">
        <v>0</v>
      </c>
      <c r="DF64" s="176" t="e">
        <f>(DA64-CR64)/CR64</f>
        <v>#DIV/0!</v>
      </c>
      <c r="DG64" s="176" t="e">
        <f>(CZ64-CO64)/CO64</f>
        <v>#DIV/0!</v>
      </c>
      <c r="DH64" s="203">
        <f>DK64 + ABS(DI64) + ABS(DJ64)</f>
        <v>0</v>
      </c>
      <c r="DI64" s="203"/>
      <c r="DJ64" s="203"/>
      <c r="DK64" s="203"/>
      <c r="DL64" s="176"/>
      <c r="DM64" s="176"/>
      <c r="DN64" s="176"/>
      <c r="DO64" s="177" t="b">
        <v>0</v>
      </c>
      <c r="DP64" s="177" t="b">
        <v>0</v>
      </c>
      <c r="DQ64" s="176" t="e">
        <f>(DL64-DA64)/DA64</f>
        <v>#DIV/0!</v>
      </c>
      <c r="DR64" s="176" t="e">
        <f>(DK64-CZ64)/CZ64</f>
        <v>#DIV/0!</v>
      </c>
      <c r="DS64" s="203">
        <f>DV64 + ABS(DT64) + ABS(DU64)</f>
        <v>0</v>
      </c>
      <c r="DT64" s="203"/>
      <c r="DU64" s="203"/>
      <c r="DV64" s="203"/>
      <c r="DW64" s="176"/>
      <c r="DX64" s="176"/>
      <c r="DY64" s="176"/>
      <c r="DZ64" s="177" t="b">
        <v>0</v>
      </c>
      <c r="EA64" s="177" t="b">
        <v>0</v>
      </c>
      <c r="EB64" s="176" t="e">
        <f>(DW64-DN64)/DN64</f>
        <v>#DIV/0!</v>
      </c>
      <c r="EC64" s="176" t="e">
        <f>(DV64-DK64)/DK64</f>
        <v>#DIV/0!</v>
      </c>
      <c r="ED64" s="203">
        <f>EG64 + ABS(EE64) + ABS(EF64)</f>
        <v>0</v>
      </c>
      <c r="EE64" s="203"/>
      <c r="EF64" s="203"/>
      <c r="EG64" s="203"/>
      <c r="EH64" s="176"/>
      <c r="EI64" s="176"/>
      <c r="EJ64" s="176"/>
      <c r="EK64" s="177" t="b">
        <v>0</v>
      </c>
      <c r="EL64" s="177" t="b">
        <v>0</v>
      </c>
      <c r="EM64" s="176" t="e">
        <f>(EH64-DW64)/DW64</f>
        <v>#DIV/0!</v>
      </c>
      <c r="EN64" s="176" t="e">
        <f>(EG64-DV64)/DV64</f>
        <v>#DIV/0!</v>
      </c>
      <c r="EO64" s="203">
        <f>ER64 + ABS(EP64) + ABS(EQ64)</f>
        <v>0</v>
      </c>
      <c r="EP64" s="203"/>
      <c r="EQ64" s="203"/>
      <c r="ER64" s="203"/>
      <c r="ES64" s="176"/>
      <c r="ET64" s="176"/>
      <c r="EU64" s="176"/>
      <c r="EV64" s="177" t="b">
        <v>0</v>
      </c>
      <c r="EW64" s="177" t="b">
        <v>0</v>
      </c>
      <c r="EX64" s="176" t="e">
        <f>(ES64-EJ64)/EJ64</f>
        <v>#DIV/0!</v>
      </c>
      <c r="EY64" s="176" t="e">
        <f>(ER64-EG64)/EG64</f>
        <v>#DIV/0!</v>
      </c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801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</row>
    <row r="65" spans="2:221" ht="15">
      <c r="B65" s="175"/>
      <c r="C65" s="800" t="s">
        <v>329</v>
      </c>
      <c r="D65" s="357">
        <v>1450022</v>
      </c>
      <c r="E65" s="357">
        <v>242</v>
      </c>
      <c r="F65" s="357" t="s">
        <v>330</v>
      </c>
      <c r="G65" s="426" t="s">
        <v>331</v>
      </c>
      <c r="H65" s="148" t="s">
        <v>169</v>
      </c>
      <c r="I65" s="448" t="s">
        <v>170</v>
      </c>
      <c r="J65" s="357"/>
      <c r="K65" s="357"/>
      <c r="L65" s="357"/>
      <c r="M65" s="358"/>
      <c r="N65" s="361">
        <v>107</v>
      </c>
      <c r="O65" s="358"/>
      <c r="P65" s="402">
        <v>1452.11</v>
      </c>
      <c r="Q65" s="402"/>
      <c r="R65" s="402">
        <v>28800.080000000002</v>
      </c>
      <c r="S65" s="358">
        <v>1039</v>
      </c>
      <c r="T65" s="188" t="s">
        <v>171</v>
      </c>
      <c r="U65" s="358"/>
      <c r="V65" s="358"/>
      <c r="W65" s="358"/>
      <c r="X65" s="402">
        <f t="shared" si="4"/>
        <v>35538.770000000004</v>
      </c>
      <c r="Y65" s="402">
        <v>-1705.86</v>
      </c>
      <c r="Z65" s="402">
        <v>0</v>
      </c>
      <c r="AA65" s="402">
        <v>33832.910000000003</v>
      </c>
      <c r="AB65" s="450">
        <v>1210</v>
      </c>
      <c r="AC65" s="173" t="s">
        <v>172</v>
      </c>
      <c r="AD65" s="173" t="s">
        <v>173</v>
      </c>
      <c r="AE65" s="164" t="b">
        <v>1</v>
      </c>
      <c r="AF65" s="164" t="b">
        <v>1</v>
      </c>
      <c r="AG65" s="409">
        <f>(AB65-S65)/S65</f>
        <v>0.1645813282001925</v>
      </c>
      <c r="AH65" s="409">
        <f>(AA65-R65)/R65</f>
        <v>0.17475055624845492</v>
      </c>
      <c r="AI65" s="402">
        <f t="shared" si="2"/>
        <v>32032.5</v>
      </c>
      <c r="AJ65" s="364">
        <v>-1537.56</v>
      </c>
      <c r="AK65" s="364">
        <v>0</v>
      </c>
      <c r="AL65" s="364">
        <v>30494.94</v>
      </c>
      <c r="AM65" s="1069">
        <v>1048</v>
      </c>
      <c r="AN65" s="407">
        <v>46122</v>
      </c>
      <c r="AO65" s="148" t="s">
        <v>174</v>
      </c>
      <c r="AP65" s="860" t="b">
        <v>1</v>
      </c>
      <c r="AQ65" s="860" t="b">
        <v>1</v>
      </c>
      <c r="AR65" s="409">
        <f t="shared" si="5"/>
        <v>-0.13388429752066117</v>
      </c>
      <c r="AS65" s="409">
        <f>(AL65-AA65)/AA65</f>
        <v>-9.8660446293269019E-2</v>
      </c>
      <c r="AT65" s="402">
        <f t="shared" si="3"/>
        <v>0</v>
      </c>
      <c r="AU65" s="402"/>
      <c r="AV65" s="402"/>
      <c r="AW65" s="402"/>
      <c r="AX65" s="358"/>
      <c r="AY65" s="358"/>
      <c r="AZ65" s="358"/>
      <c r="BA65" s="164" t="b">
        <v>0</v>
      </c>
      <c r="BB65" s="164" t="b">
        <v>0</v>
      </c>
      <c r="BC65" s="358">
        <f>(AX65-AM65)/AM65</f>
        <v>-1</v>
      </c>
      <c r="BD65" s="358">
        <f>(AW65-AL65)/AL65</f>
        <v>-1</v>
      </c>
      <c r="BE65" s="402">
        <f>BH65 + ABS(BF65) + ABS(BG65)</f>
        <v>0</v>
      </c>
      <c r="BF65" s="402"/>
      <c r="BG65" s="402"/>
      <c r="BH65" s="402"/>
      <c r="BI65" s="358"/>
      <c r="BJ65" s="358"/>
      <c r="BK65" s="358"/>
      <c r="BL65" s="164" t="b">
        <v>0</v>
      </c>
      <c r="BM65" s="164" t="b">
        <v>0</v>
      </c>
      <c r="BN65" s="358" t="e">
        <f>(BI65-AZ65)/AZ65</f>
        <v>#DIV/0!</v>
      </c>
      <c r="BO65" s="358" t="e">
        <f>(BH65-AW65)/AW65</f>
        <v>#DIV/0!</v>
      </c>
      <c r="BP65" s="402">
        <f>BS65 + ABS(BQ65) + ABS(BR65)</f>
        <v>0</v>
      </c>
      <c r="BQ65" s="402"/>
      <c r="BR65" s="402"/>
      <c r="BS65" s="402"/>
      <c r="BT65" s="358"/>
      <c r="BU65" s="358"/>
      <c r="BV65" s="358"/>
      <c r="BW65" s="164" t="b">
        <v>0</v>
      </c>
      <c r="BX65" s="164" t="b">
        <v>0</v>
      </c>
      <c r="BY65" s="358" t="e">
        <f>(BT65-BI65)/BI65</f>
        <v>#DIV/0!</v>
      </c>
      <c r="BZ65" s="358" t="e">
        <f>(BS65-BH65)/BH65</f>
        <v>#DIV/0!</v>
      </c>
      <c r="CA65" s="402">
        <f>CD65 + ABS(CB65) + ABS(CC65)</f>
        <v>0</v>
      </c>
      <c r="CB65" s="402"/>
      <c r="CC65" s="402"/>
      <c r="CD65" s="402"/>
      <c r="CE65" s="358"/>
      <c r="CF65" s="358"/>
      <c r="CG65" s="358"/>
      <c r="CH65" s="164" t="b">
        <v>0</v>
      </c>
      <c r="CI65" s="164" t="b">
        <v>0</v>
      </c>
      <c r="CJ65" s="358" t="e">
        <f>(CE65-BV65)/BV65</f>
        <v>#DIV/0!</v>
      </c>
      <c r="CK65" s="358" t="e">
        <f>(CD65-BS65)/BS65</f>
        <v>#DIV/0!</v>
      </c>
      <c r="CL65" s="402">
        <f>CO65 + ABS(CM65) + ABS(CN65)</f>
        <v>0</v>
      </c>
      <c r="CM65" s="402"/>
      <c r="CN65" s="402"/>
      <c r="CO65" s="402"/>
      <c r="CP65" s="358"/>
      <c r="CQ65" s="358"/>
      <c r="CR65" s="358"/>
      <c r="CS65" s="164" t="b">
        <v>0</v>
      </c>
      <c r="CT65" s="164" t="b">
        <v>0</v>
      </c>
      <c r="CU65" s="358" t="e">
        <f>(CP65-CE65)/CE65</f>
        <v>#DIV/0!</v>
      </c>
      <c r="CV65" s="358" t="e">
        <f>(CO65-CD65)/CD65</f>
        <v>#DIV/0!</v>
      </c>
      <c r="CW65" s="402">
        <f>CZ65 + ABS(CX65) + ABS(CY65)</f>
        <v>0</v>
      </c>
      <c r="CX65" s="402"/>
      <c r="CY65" s="402"/>
      <c r="CZ65" s="402"/>
      <c r="DA65" s="358"/>
      <c r="DB65" s="358"/>
      <c r="DC65" s="358"/>
      <c r="DD65" s="164" t="b">
        <v>0</v>
      </c>
      <c r="DE65" s="164" t="b">
        <v>0</v>
      </c>
      <c r="DF65" s="358" t="e">
        <f>(DA65-CR65)/CR65</f>
        <v>#DIV/0!</v>
      </c>
      <c r="DG65" s="358" t="e">
        <f>(CZ65-CO65)/CO65</f>
        <v>#DIV/0!</v>
      </c>
      <c r="DH65" s="402">
        <f>DK65 + ABS(DI65) + ABS(DJ65)</f>
        <v>0</v>
      </c>
      <c r="DI65" s="402"/>
      <c r="DJ65" s="402"/>
      <c r="DK65" s="402"/>
      <c r="DL65" s="358"/>
      <c r="DM65" s="358"/>
      <c r="DN65" s="358"/>
      <c r="DO65" s="164" t="b">
        <v>0</v>
      </c>
      <c r="DP65" s="164" t="b">
        <v>0</v>
      </c>
      <c r="DQ65" s="358" t="e">
        <f>(DL65-DA65)/DA65</f>
        <v>#DIV/0!</v>
      </c>
      <c r="DR65" s="358" t="e">
        <f>(DK65-CZ65)/CZ65</f>
        <v>#DIV/0!</v>
      </c>
      <c r="DS65" s="402">
        <f>DV65 + ABS(DT65) + ABS(DU65)</f>
        <v>0</v>
      </c>
      <c r="DT65" s="402"/>
      <c r="DU65" s="402"/>
      <c r="DV65" s="402"/>
      <c r="DW65" s="358"/>
      <c r="DX65" s="358"/>
      <c r="DY65" s="358"/>
      <c r="DZ65" s="164" t="b">
        <v>0</v>
      </c>
      <c r="EA65" s="164" t="b">
        <v>0</v>
      </c>
      <c r="EB65" s="358" t="e">
        <f>(DW65-DN65)/DN65</f>
        <v>#DIV/0!</v>
      </c>
      <c r="EC65" s="358" t="e">
        <f>(DV65-DK65)/DK65</f>
        <v>#DIV/0!</v>
      </c>
      <c r="ED65" s="402">
        <f>EG65 + ABS(EE65) + ABS(EF65)</f>
        <v>0</v>
      </c>
      <c r="EE65" s="402"/>
      <c r="EF65" s="402"/>
      <c r="EG65" s="402"/>
      <c r="EH65" s="358"/>
      <c r="EI65" s="358"/>
      <c r="EJ65" s="358"/>
      <c r="EK65" s="164" t="b">
        <v>0</v>
      </c>
      <c r="EL65" s="164" t="b">
        <v>0</v>
      </c>
      <c r="EM65" s="358" t="e">
        <f>(EH65-DW65)/DW65</f>
        <v>#DIV/0!</v>
      </c>
      <c r="EN65" s="358" t="e">
        <f>(EG65-DV65)/DV65</f>
        <v>#DIV/0!</v>
      </c>
      <c r="EO65" s="402">
        <f>ER65 + ABS(EP65) + ABS(EQ65)</f>
        <v>0</v>
      </c>
      <c r="EP65" s="402"/>
      <c r="EQ65" s="402"/>
      <c r="ER65" s="402"/>
      <c r="ES65" s="358"/>
      <c r="ET65" s="358"/>
      <c r="EU65" s="358"/>
      <c r="EV65" s="164" t="b">
        <v>0</v>
      </c>
      <c r="EW65" s="164" t="b">
        <v>0</v>
      </c>
      <c r="EX65" s="358" t="e">
        <f>(ES65-EJ65)/EJ65</f>
        <v>#DIV/0!</v>
      </c>
      <c r="EY65" s="358" t="e">
        <f>(ER65-EG65)/EG65</f>
        <v>#DIV/0!</v>
      </c>
      <c r="EZ65" s="449"/>
      <c r="FA65" s="449"/>
      <c r="FB65" s="449"/>
      <c r="FC65" s="449"/>
      <c r="FD65" s="449"/>
      <c r="FE65" s="449"/>
      <c r="FF65" s="449"/>
      <c r="FG65" s="449"/>
      <c r="FH65" s="449"/>
      <c r="FI65" s="449"/>
      <c r="FJ65" s="449"/>
      <c r="FK65" s="449"/>
      <c r="FL65" s="449"/>
      <c r="FM65" s="449"/>
      <c r="FN65" s="449"/>
      <c r="FO65" s="175"/>
      <c r="FP65" s="175"/>
      <c r="FQ65" s="801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</row>
    <row r="66" spans="2:221" ht="15">
      <c r="B66" s="175"/>
      <c r="C66" s="802" t="s">
        <v>332</v>
      </c>
      <c r="D66" s="154">
        <v>1450022</v>
      </c>
      <c r="E66" s="154">
        <v>66</v>
      </c>
      <c r="F66" s="154" t="s">
        <v>333</v>
      </c>
      <c r="G66" s="255" t="s">
        <v>334</v>
      </c>
      <c r="H66" s="171" t="s">
        <v>169</v>
      </c>
      <c r="I66" s="445" t="s">
        <v>170</v>
      </c>
      <c r="J66" s="154"/>
      <c r="K66" s="154"/>
      <c r="L66" s="154"/>
      <c r="M66" s="176"/>
      <c r="N66" s="193">
        <v>107</v>
      </c>
      <c r="O66" s="176"/>
      <c r="P66" s="203">
        <v>1.49</v>
      </c>
      <c r="Q66" s="203"/>
      <c r="R66" s="203">
        <v>29.61</v>
      </c>
      <c r="S66" s="354"/>
      <c r="T66" s="188" t="s">
        <v>171</v>
      </c>
      <c r="U66" s="176"/>
      <c r="V66" s="176"/>
      <c r="W66" s="176"/>
      <c r="X66" s="203">
        <f t="shared" si="4"/>
        <v>31.28</v>
      </c>
      <c r="Y66" s="203">
        <v>-1.5</v>
      </c>
      <c r="Z66" s="203">
        <v>0</v>
      </c>
      <c r="AA66" s="203">
        <v>29.78</v>
      </c>
      <c r="AB66" s="446">
        <v>0</v>
      </c>
      <c r="AC66" s="444" t="s">
        <v>172</v>
      </c>
      <c r="AD66" s="444" t="s">
        <v>173</v>
      </c>
      <c r="AE66" s="177" t="b">
        <v>1</v>
      </c>
      <c r="AF66" s="177" t="b">
        <v>1</v>
      </c>
      <c r="AG66" s="392">
        <v>0</v>
      </c>
      <c r="AH66" s="392">
        <f>(AA66-R66)/R66</f>
        <v>5.741303613644097E-3</v>
      </c>
      <c r="AI66" s="203">
        <f t="shared" si="2"/>
        <v>36.43</v>
      </c>
      <c r="AJ66" s="368">
        <v>-1.75</v>
      </c>
      <c r="AK66" s="368">
        <v>0</v>
      </c>
      <c r="AL66" s="368">
        <v>34.68</v>
      </c>
      <c r="AM66" s="1068">
        <v>0</v>
      </c>
      <c r="AN66" s="172">
        <v>46122</v>
      </c>
      <c r="AO66" s="171" t="s">
        <v>174</v>
      </c>
      <c r="AP66" s="861" t="b">
        <v>1</v>
      </c>
      <c r="AQ66" s="861" t="b">
        <v>1</v>
      </c>
      <c r="AR66" s="392">
        <v>0</v>
      </c>
      <c r="AS66" s="392">
        <f>(AL66-AA66)/AA66</f>
        <v>0.16453995970449961</v>
      </c>
      <c r="AT66" s="203">
        <f t="shared" si="3"/>
        <v>0</v>
      </c>
      <c r="AU66" s="203"/>
      <c r="AV66" s="203"/>
      <c r="AW66" s="203"/>
      <c r="AX66" s="176"/>
      <c r="AY66" s="176"/>
      <c r="AZ66" s="176"/>
      <c r="BA66" s="177" t="b">
        <v>0</v>
      </c>
      <c r="BB66" s="177" t="b">
        <v>0</v>
      </c>
      <c r="BC66" s="176" t="e">
        <f>(AX66-AM66)/AM66</f>
        <v>#DIV/0!</v>
      </c>
      <c r="BD66" s="176">
        <f>(AW66-AL66)/AL66</f>
        <v>-1</v>
      </c>
      <c r="BE66" s="203">
        <f>BH66 + ABS(BF66) + ABS(BG66)</f>
        <v>0</v>
      </c>
      <c r="BF66" s="203"/>
      <c r="BG66" s="203"/>
      <c r="BH66" s="203"/>
      <c r="BI66" s="176"/>
      <c r="BJ66" s="176"/>
      <c r="BK66" s="176"/>
      <c r="BL66" s="177" t="b">
        <v>0</v>
      </c>
      <c r="BM66" s="177" t="b">
        <v>0</v>
      </c>
      <c r="BN66" s="176" t="e">
        <f>(BI66-AZ66)/AZ66</f>
        <v>#DIV/0!</v>
      </c>
      <c r="BO66" s="176" t="e">
        <f>(BH66-AW66)/AW66</f>
        <v>#DIV/0!</v>
      </c>
      <c r="BP66" s="203">
        <f>BS66 + ABS(BQ66) + ABS(BR66)</f>
        <v>0</v>
      </c>
      <c r="BQ66" s="203"/>
      <c r="BR66" s="203"/>
      <c r="BS66" s="203"/>
      <c r="BT66" s="176"/>
      <c r="BU66" s="176"/>
      <c r="BV66" s="176"/>
      <c r="BW66" s="177" t="b">
        <v>0</v>
      </c>
      <c r="BX66" s="177" t="b">
        <v>0</v>
      </c>
      <c r="BY66" s="176" t="e">
        <f>(BT66-BI66)/BI66</f>
        <v>#DIV/0!</v>
      </c>
      <c r="BZ66" s="176" t="e">
        <f>(BS66-BH66)/BH66</f>
        <v>#DIV/0!</v>
      </c>
      <c r="CA66" s="203">
        <f>CD66 + ABS(CB66) + ABS(CC66)</f>
        <v>0</v>
      </c>
      <c r="CB66" s="203"/>
      <c r="CC66" s="203"/>
      <c r="CD66" s="203"/>
      <c r="CE66" s="176"/>
      <c r="CF66" s="176"/>
      <c r="CG66" s="176"/>
      <c r="CH66" s="177" t="b">
        <v>0</v>
      </c>
      <c r="CI66" s="177" t="b">
        <v>0</v>
      </c>
      <c r="CJ66" s="176" t="e">
        <f>(CE66-BV66)/BV66</f>
        <v>#DIV/0!</v>
      </c>
      <c r="CK66" s="176" t="e">
        <f>(CD66-BS66)/BS66</f>
        <v>#DIV/0!</v>
      </c>
      <c r="CL66" s="203">
        <f>CO66 + ABS(CM66) + ABS(CN66)</f>
        <v>0</v>
      </c>
      <c r="CM66" s="203"/>
      <c r="CN66" s="203"/>
      <c r="CO66" s="203"/>
      <c r="CP66" s="176"/>
      <c r="CQ66" s="176"/>
      <c r="CR66" s="176"/>
      <c r="CS66" s="177" t="b">
        <v>0</v>
      </c>
      <c r="CT66" s="177" t="b">
        <v>0</v>
      </c>
      <c r="CU66" s="176" t="e">
        <f>(CP66-CE66)/CE66</f>
        <v>#DIV/0!</v>
      </c>
      <c r="CV66" s="176" t="e">
        <f>(CO66-CD66)/CD66</f>
        <v>#DIV/0!</v>
      </c>
      <c r="CW66" s="203">
        <f>CZ66 + ABS(CX66) + ABS(CY66)</f>
        <v>0</v>
      </c>
      <c r="CX66" s="203"/>
      <c r="CY66" s="203"/>
      <c r="CZ66" s="203"/>
      <c r="DA66" s="176"/>
      <c r="DB66" s="176"/>
      <c r="DC66" s="176"/>
      <c r="DD66" s="177" t="b">
        <v>0</v>
      </c>
      <c r="DE66" s="177" t="b">
        <v>0</v>
      </c>
      <c r="DF66" s="176" t="e">
        <f>(DA66-CR66)/CR66</f>
        <v>#DIV/0!</v>
      </c>
      <c r="DG66" s="176" t="e">
        <f>(CZ66-CO66)/CO66</f>
        <v>#DIV/0!</v>
      </c>
      <c r="DH66" s="203">
        <f>DK66 + ABS(DI66) + ABS(DJ66)</f>
        <v>0</v>
      </c>
      <c r="DI66" s="203"/>
      <c r="DJ66" s="203"/>
      <c r="DK66" s="203"/>
      <c r="DL66" s="176"/>
      <c r="DM66" s="176"/>
      <c r="DN66" s="176"/>
      <c r="DO66" s="177" t="b">
        <v>0</v>
      </c>
      <c r="DP66" s="177" t="b">
        <v>0</v>
      </c>
      <c r="DQ66" s="176" t="e">
        <f>(DL66-DA66)/DA66</f>
        <v>#DIV/0!</v>
      </c>
      <c r="DR66" s="176" t="e">
        <f>(DK66-CZ66)/CZ66</f>
        <v>#DIV/0!</v>
      </c>
      <c r="DS66" s="203">
        <f>DV66 + ABS(DT66) + ABS(DU66)</f>
        <v>0</v>
      </c>
      <c r="DT66" s="203"/>
      <c r="DU66" s="203"/>
      <c r="DV66" s="203"/>
      <c r="DW66" s="176"/>
      <c r="DX66" s="176"/>
      <c r="DY66" s="176"/>
      <c r="DZ66" s="177" t="b">
        <v>0</v>
      </c>
      <c r="EA66" s="177" t="b">
        <v>0</v>
      </c>
      <c r="EB66" s="176" t="e">
        <f>(DW66-DN66)/DN66</f>
        <v>#DIV/0!</v>
      </c>
      <c r="EC66" s="176" t="e">
        <f>(DV66-DK66)/DK66</f>
        <v>#DIV/0!</v>
      </c>
      <c r="ED66" s="203">
        <f>EG66 + ABS(EE66) + ABS(EF66)</f>
        <v>0</v>
      </c>
      <c r="EE66" s="203"/>
      <c r="EF66" s="203"/>
      <c r="EG66" s="203"/>
      <c r="EH66" s="176"/>
      <c r="EI66" s="176"/>
      <c r="EJ66" s="176"/>
      <c r="EK66" s="177" t="b">
        <v>0</v>
      </c>
      <c r="EL66" s="177" t="b">
        <v>0</v>
      </c>
      <c r="EM66" s="176" t="e">
        <f>(EH66-DW66)/DW66</f>
        <v>#DIV/0!</v>
      </c>
      <c r="EN66" s="176" t="e">
        <f>(EG66-DV66)/DV66</f>
        <v>#DIV/0!</v>
      </c>
      <c r="EO66" s="203">
        <f>ER66 + ABS(EP66) + ABS(EQ66)</f>
        <v>0</v>
      </c>
      <c r="EP66" s="203"/>
      <c r="EQ66" s="203"/>
      <c r="ER66" s="203"/>
      <c r="ES66" s="176"/>
      <c r="ET66" s="176"/>
      <c r="EU66" s="176"/>
      <c r="EV66" s="177" t="b">
        <v>0</v>
      </c>
      <c r="EW66" s="177" t="b">
        <v>0</v>
      </c>
      <c r="EX66" s="176" t="e">
        <f>(ES66-EJ66)/EJ66</f>
        <v>#DIV/0!</v>
      </c>
      <c r="EY66" s="176" t="e">
        <f>(ER66-EG66)/EG66</f>
        <v>#DIV/0!</v>
      </c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801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</row>
    <row r="67" spans="2:221" ht="15">
      <c r="B67" s="175"/>
      <c r="C67" s="802" t="s">
        <v>332</v>
      </c>
      <c r="D67" s="154">
        <v>1450022</v>
      </c>
      <c r="E67" s="154">
        <v>66</v>
      </c>
      <c r="F67" s="154" t="s">
        <v>335</v>
      </c>
      <c r="G67" s="255" t="s">
        <v>336</v>
      </c>
      <c r="H67" s="171" t="s">
        <v>169</v>
      </c>
      <c r="I67" s="445" t="s">
        <v>170</v>
      </c>
      <c r="J67" s="154"/>
      <c r="K67" s="154"/>
      <c r="L67" s="154"/>
      <c r="M67" s="176"/>
      <c r="N67" s="418">
        <v>107</v>
      </c>
      <c r="O67" s="176"/>
      <c r="P67" s="203">
        <v>1.49</v>
      </c>
      <c r="Q67" s="203"/>
      <c r="R67" s="203">
        <v>29.61</v>
      </c>
      <c r="S67" s="354"/>
      <c r="T67" s="188" t="s">
        <v>171</v>
      </c>
      <c r="U67" s="176"/>
      <c r="V67" s="176"/>
      <c r="W67" s="176"/>
      <c r="X67" s="203">
        <f t="shared" si="4"/>
        <v>31.28</v>
      </c>
      <c r="Y67" s="203">
        <v>-1.5</v>
      </c>
      <c r="Z67" s="203">
        <v>0</v>
      </c>
      <c r="AA67" s="203">
        <v>29.78</v>
      </c>
      <c r="AB67" s="446">
        <v>0</v>
      </c>
      <c r="AC67" s="255" t="s">
        <v>172</v>
      </c>
      <c r="AD67" s="255" t="s">
        <v>173</v>
      </c>
      <c r="AE67" s="177" t="b">
        <v>1</v>
      </c>
      <c r="AF67" s="177" t="b">
        <v>1</v>
      </c>
      <c r="AG67" s="392">
        <v>0</v>
      </c>
      <c r="AH67" s="392">
        <f>(AA67-R67)/R67</f>
        <v>5.741303613644097E-3</v>
      </c>
      <c r="AI67" s="203">
        <f t="shared" si="2"/>
        <v>36.43</v>
      </c>
      <c r="AJ67" s="368">
        <v>-1.75</v>
      </c>
      <c r="AK67" s="368">
        <v>0</v>
      </c>
      <c r="AL67" s="368">
        <v>34.68</v>
      </c>
      <c r="AM67" s="1068">
        <v>0</v>
      </c>
      <c r="AN67" s="172">
        <v>46122</v>
      </c>
      <c r="AO67" s="171" t="s">
        <v>174</v>
      </c>
      <c r="AP67" s="861" t="b">
        <v>1</v>
      </c>
      <c r="AQ67" s="861" t="b">
        <v>1</v>
      </c>
      <c r="AR67" s="392">
        <v>0</v>
      </c>
      <c r="AS67" s="392">
        <f>(AL67-AA67)/AA67</f>
        <v>0.16453995970449961</v>
      </c>
      <c r="AT67" s="203">
        <f t="shared" si="3"/>
        <v>0</v>
      </c>
      <c r="AU67" s="203"/>
      <c r="AV67" s="203"/>
      <c r="AW67" s="203"/>
      <c r="AX67" s="176"/>
      <c r="AY67" s="176"/>
      <c r="AZ67" s="176"/>
      <c r="BA67" s="177" t="b">
        <v>0</v>
      </c>
      <c r="BB67" s="177" t="b">
        <v>0</v>
      </c>
      <c r="BC67" s="176" t="e">
        <f>(AX67-AM67)/AM67</f>
        <v>#DIV/0!</v>
      </c>
      <c r="BD67" s="176">
        <f>(AW67-AL67)/AL67</f>
        <v>-1</v>
      </c>
      <c r="BE67" s="203">
        <f>BH67 + ABS(BF67) + ABS(BG67)</f>
        <v>0</v>
      </c>
      <c r="BF67" s="203"/>
      <c r="BG67" s="203"/>
      <c r="BH67" s="203"/>
      <c r="BI67" s="176"/>
      <c r="BJ67" s="176"/>
      <c r="BK67" s="176"/>
      <c r="BL67" s="177" t="b">
        <v>0</v>
      </c>
      <c r="BM67" s="177" t="b">
        <v>0</v>
      </c>
      <c r="BN67" s="176" t="e">
        <f>(BI67-AZ67)/AZ67</f>
        <v>#DIV/0!</v>
      </c>
      <c r="BO67" s="176" t="e">
        <f>(BH67-AW67)/AW67</f>
        <v>#DIV/0!</v>
      </c>
      <c r="BP67" s="203">
        <f>BS67 + ABS(BQ67) + ABS(BR67)</f>
        <v>0</v>
      </c>
      <c r="BQ67" s="203"/>
      <c r="BR67" s="203"/>
      <c r="BS67" s="203"/>
      <c r="BT67" s="176"/>
      <c r="BU67" s="176"/>
      <c r="BV67" s="176"/>
      <c r="BW67" s="177" t="b">
        <v>0</v>
      </c>
      <c r="BX67" s="177" t="b">
        <v>0</v>
      </c>
      <c r="BY67" s="176" t="e">
        <f>(BT67-BI67)/BI67</f>
        <v>#DIV/0!</v>
      </c>
      <c r="BZ67" s="176" t="e">
        <f>(BS67-BH67)/BH67</f>
        <v>#DIV/0!</v>
      </c>
      <c r="CA67" s="203">
        <f>CD67 + ABS(CB67) + ABS(CC67)</f>
        <v>0</v>
      </c>
      <c r="CB67" s="203"/>
      <c r="CC67" s="203"/>
      <c r="CD67" s="203"/>
      <c r="CE67" s="176"/>
      <c r="CF67" s="176"/>
      <c r="CG67" s="176"/>
      <c r="CH67" s="177" t="b">
        <v>0</v>
      </c>
      <c r="CI67" s="177" t="b">
        <v>0</v>
      </c>
      <c r="CJ67" s="176" t="e">
        <f>(CE67-BV67)/BV67</f>
        <v>#DIV/0!</v>
      </c>
      <c r="CK67" s="176" t="e">
        <f>(CD67-BS67)/BS67</f>
        <v>#DIV/0!</v>
      </c>
      <c r="CL67" s="203">
        <f>CO67 + ABS(CM67) + ABS(CN67)</f>
        <v>0</v>
      </c>
      <c r="CM67" s="203"/>
      <c r="CN67" s="203"/>
      <c r="CO67" s="203"/>
      <c r="CP67" s="176"/>
      <c r="CQ67" s="176"/>
      <c r="CR67" s="176"/>
      <c r="CS67" s="177" t="b">
        <v>0</v>
      </c>
      <c r="CT67" s="177" t="b">
        <v>0</v>
      </c>
      <c r="CU67" s="176" t="e">
        <f>(CP67-CE67)/CE67</f>
        <v>#DIV/0!</v>
      </c>
      <c r="CV67" s="176" t="e">
        <f>(CO67-CD67)/CD67</f>
        <v>#DIV/0!</v>
      </c>
      <c r="CW67" s="203">
        <f>CZ67 + ABS(CX67) + ABS(CY67)</f>
        <v>0</v>
      </c>
      <c r="CX67" s="203"/>
      <c r="CY67" s="203"/>
      <c r="CZ67" s="203"/>
      <c r="DA67" s="176"/>
      <c r="DB67" s="176"/>
      <c r="DC67" s="176"/>
      <c r="DD67" s="177" t="b">
        <v>0</v>
      </c>
      <c r="DE67" s="177" t="b">
        <v>0</v>
      </c>
      <c r="DF67" s="176" t="e">
        <f>(DA67-CR67)/CR67</f>
        <v>#DIV/0!</v>
      </c>
      <c r="DG67" s="176" t="e">
        <f>(CZ67-CO67)/CO67</f>
        <v>#DIV/0!</v>
      </c>
      <c r="DH67" s="203">
        <f>DK67 + ABS(DI67) + ABS(DJ67)</f>
        <v>0</v>
      </c>
      <c r="DI67" s="203"/>
      <c r="DJ67" s="203"/>
      <c r="DK67" s="203"/>
      <c r="DL67" s="176"/>
      <c r="DM67" s="176"/>
      <c r="DN67" s="176"/>
      <c r="DO67" s="177" t="b">
        <v>0</v>
      </c>
      <c r="DP67" s="177" t="b">
        <v>0</v>
      </c>
      <c r="DQ67" s="176" t="e">
        <f>(DL67-DA67)/DA67</f>
        <v>#DIV/0!</v>
      </c>
      <c r="DR67" s="176" t="e">
        <f>(DK67-CZ67)/CZ67</f>
        <v>#DIV/0!</v>
      </c>
      <c r="DS67" s="203">
        <f>DV67 + ABS(DT67) + ABS(DU67)</f>
        <v>0</v>
      </c>
      <c r="DT67" s="203"/>
      <c r="DU67" s="203"/>
      <c r="DV67" s="203"/>
      <c r="DW67" s="176"/>
      <c r="DX67" s="176"/>
      <c r="DY67" s="176"/>
      <c r="DZ67" s="177" t="b">
        <v>0</v>
      </c>
      <c r="EA67" s="177" t="b">
        <v>0</v>
      </c>
      <c r="EB67" s="176" t="e">
        <f>(DW67-DN67)/DN67</f>
        <v>#DIV/0!</v>
      </c>
      <c r="EC67" s="176" t="e">
        <f>(DV67-DK67)/DK67</f>
        <v>#DIV/0!</v>
      </c>
      <c r="ED67" s="203">
        <f>EG67 + ABS(EE67) + ABS(EF67)</f>
        <v>0</v>
      </c>
      <c r="EE67" s="203"/>
      <c r="EF67" s="203"/>
      <c r="EG67" s="203"/>
      <c r="EH67" s="176"/>
      <c r="EI67" s="176"/>
      <c r="EJ67" s="176"/>
      <c r="EK67" s="177" t="b">
        <v>0</v>
      </c>
      <c r="EL67" s="177" t="b">
        <v>0</v>
      </c>
      <c r="EM67" s="176" t="e">
        <f>(EH67-DW67)/DW67</f>
        <v>#DIV/0!</v>
      </c>
      <c r="EN67" s="176" t="e">
        <f>(EG67-DV67)/DV67</f>
        <v>#DIV/0!</v>
      </c>
      <c r="EO67" s="203">
        <f>ER67 + ABS(EP67) + ABS(EQ67)</f>
        <v>0</v>
      </c>
      <c r="EP67" s="203"/>
      <c r="EQ67" s="203"/>
      <c r="ER67" s="203"/>
      <c r="ES67" s="176"/>
      <c r="ET67" s="176"/>
      <c r="EU67" s="176"/>
      <c r="EV67" s="177" t="b">
        <v>0</v>
      </c>
      <c r="EW67" s="177" t="b">
        <v>0</v>
      </c>
      <c r="EX67" s="176" t="e">
        <f>(ES67-EJ67)/EJ67</f>
        <v>#DIV/0!</v>
      </c>
      <c r="EY67" s="176" t="e">
        <f>(ER67-EG67)/EG67</f>
        <v>#DIV/0!</v>
      </c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801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</row>
    <row r="68" spans="2:221" ht="15">
      <c r="B68" s="175"/>
      <c r="C68" s="800" t="s">
        <v>337</v>
      </c>
      <c r="D68" s="357">
        <v>1450022</v>
      </c>
      <c r="E68" s="357">
        <v>191</v>
      </c>
      <c r="F68" s="357" t="s">
        <v>338</v>
      </c>
      <c r="G68" s="426" t="s">
        <v>339</v>
      </c>
      <c r="H68" s="148" t="s">
        <v>169</v>
      </c>
      <c r="I68" s="448" t="s">
        <v>170</v>
      </c>
      <c r="J68" s="357"/>
      <c r="K68" s="357"/>
      <c r="L68" s="357"/>
      <c r="M68" s="358"/>
      <c r="N68" s="359">
        <v>107</v>
      </c>
      <c r="O68" s="358"/>
      <c r="P68" s="402">
        <v>10.84</v>
      </c>
      <c r="Q68" s="402"/>
      <c r="R68" s="402">
        <v>214.98</v>
      </c>
      <c r="S68" s="358">
        <v>14</v>
      </c>
      <c r="T68" s="188" t="s">
        <v>171</v>
      </c>
      <c r="U68" s="358"/>
      <c r="V68" s="358"/>
      <c r="W68" s="358"/>
      <c r="X68" s="402">
        <f t="shared" si="4"/>
        <v>133.38999999999999</v>
      </c>
      <c r="Y68" s="402">
        <v>-6.4</v>
      </c>
      <c r="Z68" s="402">
        <v>0</v>
      </c>
      <c r="AA68" s="402">
        <v>126.99</v>
      </c>
      <c r="AB68" s="450">
        <v>8</v>
      </c>
      <c r="AC68" s="173" t="s">
        <v>172</v>
      </c>
      <c r="AD68" s="173" t="s">
        <v>173</v>
      </c>
      <c r="AE68" s="164" t="b">
        <v>1</v>
      </c>
      <c r="AF68" s="164" t="b">
        <v>1</v>
      </c>
      <c r="AG68" s="409">
        <f>(AB68-S68)/S68</f>
        <v>-0.42857142857142855</v>
      </c>
      <c r="AH68" s="409">
        <f>(AA68-R68)/R68</f>
        <v>-0.40929388780351661</v>
      </c>
      <c r="AI68" s="402">
        <f t="shared" si="2"/>
        <v>130.73999999999998</v>
      </c>
      <c r="AJ68" s="364">
        <v>-6.28</v>
      </c>
      <c r="AK68" s="364">
        <v>0</v>
      </c>
      <c r="AL68" s="364">
        <v>124.46</v>
      </c>
      <c r="AM68" s="1069">
        <v>7</v>
      </c>
      <c r="AN68" s="407">
        <v>46122</v>
      </c>
      <c r="AO68" s="148" t="s">
        <v>174</v>
      </c>
      <c r="AP68" s="860" t="b">
        <v>1</v>
      </c>
      <c r="AQ68" s="860" t="b">
        <v>1</v>
      </c>
      <c r="AR68" s="409">
        <f t="shared" si="5"/>
        <v>-0.125</v>
      </c>
      <c r="AS68" s="409">
        <f>(AL68-AA68)/AA68</f>
        <v>-1.9922828569178687E-2</v>
      </c>
      <c r="AT68" s="402">
        <f t="shared" si="3"/>
        <v>0</v>
      </c>
      <c r="AU68" s="402"/>
      <c r="AV68" s="402"/>
      <c r="AW68" s="402"/>
      <c r="AX68" s="358"/>
      <c r="AY68" s="358"/>
      <c r="AZ68" s="358"/>
      <c r="BA68" s="164" t="b">
        <v>0</v>
      </c>
      <c r="BB68" s="164" t="b">
        <v>0</v>
      </c>
      <c r="BC68" s="358">
        <f>(AX68-AM68)/AM68</f>
        <v>-1</v>
      </c>
      <c r="BD68" s="358">
        <f>(AW68-AL68)/AL68</f>
        <v>-1</v>
      </c>
      <c r="BE68" s="402">
        <f>BH68 + ABS(BF68) + ABS(BG68)</f>
        <v>0</v>
      </c>
      <c r="BF68" s="402"/>
      <c r="BG68" s="402"/>
      <c r="BH68" s="402"/>
      <c r="BI68" s="358"/>
      <c r="BJ68" s="358"/>
      <c r="BK68" s="358"/>
      <c r="BL68" s="164" t="b">
        <v>0</v>
      </c>
      <c r="BM68" s="164" t="b">
        <v>0</v>
      </c>
      <c r="BN68" s="358" t="e">
        <f>(BI68-AZ68)/AZ68</f>
        <v>#DIV/0!</v>
      </c>
      <c r="BO68" s="358" t="e">
        <f>(BH68-AW68)/AW68</f>
        <v>#DIV/0!</v>
      </c>
      <c r="BP68" s="402">
        <f>BS68 + ABS(BQ68) + ABS(BR68)</f>
        <v>0</v>
      </c>
      <c r="BQ68" s="402"/>
      <c r="BR68" s="402"/>
      <c r="BS68" s="402"/>
      <c r="BT68" s="358"/>
      <c r="BU68" s="358"/>
      <c r="BV68" s="358"/>
      <c r="BW68" s="164" t="b">
        <v>0</v>
      </c>
      <c r="BX68" s="164" t="b">
        <v>0</v>
      </c>
      <c r="BY68" s="358" t="e">
        <f>(BT68-BI68)/BI68</f>
        <v>#DIV/0!</v>
      </c>
      <c r="BZ68" s="358" t="e">
        <f>(BS68-BH68)/BH68</f>
        <v>#DIV/0!</v>
      </c>
      <c r="CA68" s="402">
        <f>CD68 + ABS(CB68) + ABS(CC68)</f>
        <v>0</v>
      </c>
      <c r="CB68" s="402"/>
      <c r="CC68" s="402"/>
      <c r="CD68" s="402"/>
      <c r="CE68" s="358"/>
      <c r="CF68" s="358"/>
      <c r="CG68" s="358"/>
      <c r="CH68" s="164" t="b">
        <v>0</v>
      </c>
      <c r="CI68" s="164" t="b">
        <v>0</v>
      </c>
      <c r="CJ68" s="358" t="e">
        <f>(CE68-BV68)/BV68</f>
        <v>#DIV/0!</v>
      </c>
      <c r="CK68" s="358" t="e">
        <f>(CD68-BS68)/BS68</f>
        <v>#DIV/0!</v>
      </c>
      <c r="CL68" s="402">
        <f>CO68 + ABS(CM68) + ABS(CN68)</f>
        <v>0</v>
      </c>
      <c r="CM68" s="402"/>
      <c r="CN68" s="402"/>
      <c r="CO68" s="402"/>
      <c r="CP68" s="358"/>
      <c r="CQ68" s="358"/>
      <c r="CR68" s="358"/>
      <c r="CS68" s="164" t="b">
        <v>0</v>
      </c>
      <c r="CT68" s="164" t="b">
        <v>0</v>
      </c>
      <c r="CU68" s="358" t="e">
        <f>(CP68-CE68)/CE68</f>
        <v>#DIV/0!</v>
      </c>
      <c r="CV68" s="358" t="e">
        <f>(CO68-CD68)/CD68</f>
        <v>#DIV/0!</v>
      </c>
      <c r="CW68" s="402">
        <f>CZ68 + ABS(CX68) + ABS(CY68)</f>
        <v>0</v>
      </c>
      <c r="CX68" s="402"/>
      <c r="CY68" s="402"/>
      <c r="CZ68" s="402"/>
      <c r="DA68" s="358"/>
      <c r="DB68" s="358"/>
      <c r="DC68" s="358"/>
      <c r="DD68" s="164" t="b">
        <v>0</v>
      </c>
      <c r="DE68" s="164" t="b">
        <v>0</v>
      </c>
      <c r="DF68" s="358" t="e">
        <f>(DA68-CR68)/CR68</f>
        <v>#DIV/0!</v>
      </c>
      <c r="DG68" s="358" t="e">
        <f>(CZ68-CO68)/CO68</f>
        <v>#DIV/0!</v>
      </c>
      <c r="DH68" s="402">
        <f>DK68 + ABS(DI68) + ABS(DJ68)</f>
        <v>0</v>
      </c>
      <c r="DI68" s="402"/>
      <c r="DJ68" s="402"/>
      <c r="DK68" s="402"/>
      <c r="DL68" s="358"/>
      <c r="DM68" s="358"/>
      <c r="DN68" s="358"/>
      <c r="DO68" s="164" t="b">
        <v>0</v>
      </c>
      <c r="DP68" s="164" t="b">
        <v>0</v>
      </c>
      <c r="DQ68" s="358" t="e">
        <f>(DL68-DA68)/DA68</f>
        <v>#DIV/0!</v>
      </c>
      <c r="DR68" s="358" t="e">
        <f>(DK68-CZ68)/CZ68</f>
        <v>#DIV/0!</v>
      </c>
      <c r="DS68" s="402">
        <f>DV68 + ABS(DT68) + ABS(DU68)</f>
        <v>0</v>
      </c>
      <c r="DT68" s="402"/>
      <c r="DU68" s="402"/>
      <c r="DV68" s="402"/>
      <c r="DW68" s="358"/>
      <c r="DX68" s="358"/>
      <c r="DY68" s="358"/>
      <c r="DZ68" s="164" t="b">
        <v>0</v>
      </c>
      <c r="EA68" s="164" t="b">
        <v>0</v>
      </c>
      <c r="EB68" s="358" t="e">
        <f>(DW68-DN68)/DN68</f>
        <v>#DIV/0!</v>
      </c>
      <c r="EC68" s="358" t="e">
        <f>(DV68-DK68)/DK68</f>
        <v>#DIV/0!</v>
      </c>
      <c r="ED68" s="402">
        <f>EG68 + ABS(EE68) + ABS(EF68)</f>
        <v>0</v>
      </c>
      <c r="EE68" s="402"/>
      <c r="EF68" s="402"/>
      <c r="EG68" s="402"/>
      <c r="EH68" s="358"/>
      <c r="EI68" s="358"/>
      <c r="EJ68" s="358"/>
      <c r="EK68" s="164" t="b">
        <v>0</v>
      </c>
      <c r="EL68" s="164" t="b">
        <v>0</v>
      </c>
      <c r="EM68" s="358" t="e">
        <f>(EH68-DW68)/DW68</f>
        <v>#DIV/0!</v>
      </c>
      <c r="EN68" s="358" t="e">
        <f>(EG68-DV68)/DV68</f>
        <v>#DIV/0!</v>
      </c>
      <c r="EO68" s="402">
        <f>ER68 + ABS(EP68) + ABS(EQ68)</f>
        <v>0</v>
      </c>
      <c r="EP68" s="402"/>
      <c r="EQ68" s="402"/>
      <c r="ER68" s="402"/>
      <c r="ES68" s="358"/>
      <c r="ET68" s="358"/>
      <c r="EU68" s="358"/>
      <c r="EV68" s="164" t="b">
        <v>0</v>
      </c>
      <c r="EW68" s="164" t="b">
        <v>0</v>
      </c>
      <c r="EX68" s="358" t="e">
        <f>(ES68-EJ68)/EJ68</f>
        <v>#DIV/0!</v>
      </c>
      <c r="EY68" s="358" t="e">
        <f>(ER68-EG68)/EG68</f>
        <v>#DIV/0!</v>
      </c>
      <c r="EZ68" s="449"/>
      <c r="FA68" s="449"/>
      <c r="FB68" s="449"/>
      <c r="FC68" s="449"/>
      <c r="FD68" s="449"/>
      <c r="FE68" s="449"/>
      <c r="FF68" s="449"/>
      <c r="FG68" s="449"/>
      <c r="FH68" s="449"/>
      <c r="FI68" s="449"/>
      <c r="FJ68" s="449"/>
      <c r="FK68" s="449"/>
      <c r="FL68" s="449"/>
      <c r="FM68" s="449"/>
      <c r="FN68" s="449"/>
      <c r="FO68" s="449"/>
      <c r="FP68" s="175"/>
      <c r="FQ68" s="801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</row>
    <row r="69" spans="2:221" ht="15">
      <c r="B69" s="175"/>
      <c r="C69" s="802" t="s">
        <v>340</v>
      </c>
      <c r="D69" s="154">
        <v>1450022</v>
      </c>
      <c r="E69" s="154">
        <v>248</v>
      </c>
      <c r="F69" s="154" t="s">
        <v>341</v>
      </c>
      <c r="G69" s="255" t="s">
        <v>342</v>
      </c>
      <c r="H69" s="171" t="s">
        <v>169</v>
      </c>
      <c r="I69" s="445" t="s">
        <v>170</v>
      </c>
      <c r="J69" s="154"/>
      <c r="K69" s="154"/>
      <c r="L69" s="154"/>
      <c r="M69" s="176"/>
      <c r="N69" s="418">
        <v>107</v>
      </c>
      <c r="O69" s="176"/>
      <c r="P69" s="203">
        <v>1017.89</v>
      </c>
      <c r="Q69" s="203"/>
      <c r="R69" s="203">
        <v>20188.060000000001</v>
      </c>
      <c r="S69" s="176">
        <v>740</v>
      </c>
      <c r="T69" s="188" t="s">
        <v>171</v>
      </c>
      <c r="U69" s="176"/>
      <c r="V69" s="176"/>
      <c r="W69" s="176"/>
      <c r="X69" s="203">
        <f t="shared" ref="X69:X100" si="6">AA69 + ABS(Y69) + ABS(Z69)</f>
        <v>22385.89</v>
      </c>
      <c r="Y69" s="203">
        <v>-1074.52</v>
      </c>
      <c r="Z69" s="203">
        <v>0</v>
      </c>
      <c r="AA69" s="203">
        <v>21311.37</v>
      </c>
      <c r="AB69" s="446">
        <v>779</v>
      </c>
      <c r="AC69" s="255" t="s">
        <v>172</v>
      </c>
      <c r="AD69" s="255" t="s">
        <v>173</v>
      </c>
      <c r="AE69" s="177" t="b">
        <v>1</v>
      </c>
      <c r="AF69" s="177" t="b">
        <v>1</v>
      </c>
      <c r="AG69" s="392">
        <f>(AB69-S69)/S69</f>
        <v>5.2702702702702706E-2</v>
      </c>
      <c r="AH69" s="392">
        <f>(AA69-R69)/R69</f>
        <v>5.5642295495456108E-2</v>
      </c>
      <c r="AI69" s="203">
        <f t="shared" si="2"/>
        <v>20243.12</v>
      </c>
      <c r="AJ69" s="368">
        <v>-971.67</v>
      </c>
      <c r="AK69" s="368">
        <v>0</v>
      </c>
      <c r="AL69" s="368">
        <v>19271.45</v>
      </c>
      <c r="AM69" s="1068">
        <v>685</v>
      </c>
      <c r="AN69" s="172">
        <v>46122</v>
      </c>
      <c r="AO69" s="171" t="s">
        <v>174</v>
      </c>
      <c r="AP69" s="861" t="b">
        <v>1</v>
      </c>
      <c r="AQ69" s="861" t="b">
        <v>1</v>
      </c>
      <c r="AR69" s="392">
        <f t="shared" ref="AR69:AR100" si="7">(AM69-AB69)/AB69</f>
        <v>-0.12066752246469833</v>
      </c>
      <c r="AS69" s="392">
        <f>(AL69-AA69)/AA69</f>
        <v>-9.5719796521762712E-2</v>
      </c>
      <c r="AT69" s="203">
        <f t="shared" si="3"/>
        <v>0</v>
      </c>
      <c r="AU69" s="203"/>
      <c r="AV69" s="203"/>
      <c r="AW69" s="203"/>
      <c r="AX69" s="176"/>
      <c r="AY69" s="176"/>
      <c r="AZ69" s="176"/>
      <c r="BA69" s="177" t="b">
        <v>0</v>
      </c>
      <c r="BB69" s="177" t="b">
        <v>0</v>
      </c>
      <c r="BC69" s="176">
        <f>(AX69-AM69)/AM69</f>
        <v>-1</v>
      </c>
      <c r="BD69" s="176">
        <f>(AW69-AL69)/AL69</f>
        <v>-1</v>
      </c>
      <c r="BE69" s="203">
        <f>BH69 + ABS(BF69) + ABS(BG69)</f>
        <v>0</v>
      </c>
      <c r="BF69" s="203"/>
      <c r="BG69" s="203"/>
      <c r="BH69" s="203"/>
      <c r="BI69" s="176"/>
      <c r="BJ69" s="176"/>
      <c r="BK69" s="176"/>
      <c r="BL69" s="177" t="b">
        <v>0</v>
      </c>
      <c r="BM69" s="177" t="b">
        <v>0</v>
      </c>
      <c r="BN69" s="176" t="e">
        <f>(BI69-AZ69)/AZ69</f>
        <v>#DIV/0!</v>
      </c>
      <c r="BO69" s="176" t="e">
        <f>(BH69-AW69)/AW69</f>
        <v>#DIV/0!</v>
      </c>
      <c r="BP69" s="203">
        <f>BS69 + ABS(BQ69) + ABS(BR69)</f>
        <v>0</v>
      </c>
      <c r="BQ69" s="203"/>
      <c r="BR69" s="203"/>
      <c r="BS69" s="203"/>
      <c r="BT69" s="176"/>
      <c r="BU69" s="176"/>
      <c r="BV69" s="176"/>
      <c r="BW69" s="177" t="b">
        <v>0</v>
      </c>
      <c r="BX69" s="177" t="b">
        <v>0</v>
      </c>
      <c r="BY69" s="176" t="e">
        <f>(BT69-BI69)/BI69</f>
        <v>#DIV/0!</v>
      </c>
      <c r="BZ69" s="176" t="e">
        <f>(BS69-BH69)/BH69</f>
        <v>#DIV/0!</v>
      </c>
      <c r="CA69" s="203">
        <f>CD69 + ABS(CB69) + ABS(CC69)</f>
        <v>0</v>
      </c>
      <c r="CB69" s="203"/>
      <c r="CC69" s="203"/>
      <c r="CD69" s="203"/>
      <c r="CE69" s="176"/>
      <c r="CF69" s="176"/>
      <c r="CG69" s="176"/>
      <c r="CH69" s="177" t="b">
        <v>0</v>
      </c>
      <c r="CI69" s="177" t="b">
        <v>0</v>
      </c>
      <c r="CJ69" s="176" t="e">
        <f>(CE69-BV69)/BV69</f>
        <v>#DIV/0!</v>
      </c>
      <c r="CK69" s="176" t="e">
        <f>(CD69-BS69)/BS69</f>
        <v>#DIV/0!</v>
      </c>
      <c r="CL69" s="203">
        <f>CO69 + ABS(CM69) + ABS(CN69)</f>
        <v>0</v>
      </c>
      <c r="CM69" s="203"/>
      <c r="CN69" s="203"/>
      <c r="CO69" s="203"/>
      <c r="CP69" s="176"/>
      <c r="CQ69" s="176"/>
      <c r="CR69" s="176"/>
      <c r="CS69" s="177" t="b">
        <v>0</v>
      </c>
      <c r="CT69" s="177" t="b">
        <v>0</v>
      </c>
      <c r="CU69" s="176" t="e">
        <f>(CP69-CE69)/CE69</f>
        <v>#DIV/0!</v>
      </c>
      <c r="CV69" s="176" t="e">
        <f>(CO69-CD69)/CD69</f>
        <v>#DIV/0!</v>
      </c>
      <c r="CW69" s="203">
        <f>CZ69 + ABS(CX69) + ABS(CY69)</f>
        <v>0</v>
      </c>
      <c r="CX69" s="203"/>
      <c r="CY69" s="203"/>
      <c r="CZ69" s="203"/>
      <c r="DA69" s="176"/>
      <c r="DB69" s="176"/>
      <c r="DC69" s="176"/>
      <c r="DD69" s="177" t="b">
        <v>0</v>
      </c>
      <c r="DE69" s="177" t="b">
        <v>0</v>
      </c>
      <c r="DF69" s="176" t="e">
        <f>(DA69-CR69)/CR69</f>
        <v>#DIV/0!</v>
      </c>
      <c r="DG69" s="176" t="e">
        <f>(CZ69-CO69)/CO69</f>
        <v>#DIV/0!</v>
      </c>
      <c r="DH69" s="203">
        <f>DK69 + ABS(DI69) + ABS(DJ69)</f>
        <v>0</v>
      </c>
      <c r="DI69" s="203"/>
      <c r="DJ69" s="203"/>
      <c r="DK69" s="203"/>
      <c r="DL69" s="176"/>
      <c r="DM69" s="176"/>
      <c r="DN69" s="176"/>
      <c r="DO69" s="177" t="b">
        <v>0</v>
      </c>
      <c r="DP69" s="177" t="b">
        <v>0</v>
      </c>
      <c r="DQ69" s="176" t="e">
        <f>(DL69-DA69)/DA69</f>
        <v>#DIV/0!</v>
      </c>
      <c r="DR69" s="176" t="e">
        <f>(DK69-CZ69)/CZ69</f>
        <v>#DIV/0!</v>
      </c>
      <c r="DS69" s="203">
        <f>DV69 + ABS(DT69) + ABS(DU69)</f>
        <v>0</v>
      </c>
      <c r="DT69" s="203"/>
      <c r="DU69" s="203"/>
      <c r="DV69" s="203"/>
      <c r="DW69" s="176"/>
      <c r="DX69" s="176"/>
      <c r="DY69" s="176"/>
      <c r="DZ69" s="177" t="b">
        <v>0</v>
      </c>
      <c r="EA69" s="177" t="b">
        <v>0</v>
      </c>
      <c r="EB69" s="176" t="e">
        <f>(DW69-DN69)/DN69</f>
        <v>#DIV/0!</v>
      </c>
      <c r="EC69" s="176" t="e">
        <f>(DV69-DK69)/DK69</f>
        <v>#DIV/0!</v>
      </c>
      <c r="ED69" s="203">
        <f>EG69 + ABS(EE69) + ABS(EF69)</f>
        <v>0</v>
      </c>
      <c r="EE69" s="203"/>
      <c r="EF69" s="203"/>
      <c r="EG69" s="203"/>
      <c r="EH69" s="176"/>
      <c r="EI69" s="176"/>
      <c r="EJ69" s="176"/>
      <c r="EK69" s="177" t="b">
        <v>0</v>
      </c>
      <c r="EL69" s="177" t="b">
        <v>0</v>
      </c>
      <c r="EM69" s="176" t="e">
        <f>(EH69-DW69)/DW69</f>
        <v>#DIV/0!</v>
      </c>
      <c r="EN69" s="176" t="e">
        <f>(EG69-DV69)/DV69</f>
        <v>#DIV/0!</v>
      </c>
      <c r="EO69" s="203">
        <f>ER69 + ABS(EP69) + ABS(EQ69)</f>
        <v>0</v>
      </c>
      <c r="EP69" s="203"/>
      <c r="EQ69" s="203"/>
      <c r="ER69" s="203"/>
      <c r="ES69" s="176"/>
      <c r="ET69" s="176"/>
      <c r="EU69" s="176"/>
      <c r="EV69" s="177" t="b">
        <v>0</v>
      </c>
      <c r="EW69" s="177" t="b">
        <v>0</v>
      </c>
      <c r="EX69" s="176" t="e">
        <f>(ES69-EJ69)/EJ69</f>
        <v>#DIV/0!</v>
      </c>
      <c r="EY69" s="176" t="e">
        <f>(ER69-EG69)/EG69</f>
        <v>#DIV/0!</v>
      </c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801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</row>
    <row r="70" spans="2:221" ht="15">
      <c r="B70" s="175"/>
      <c r="C70" s="802" t="s">
        <v>340</v>
      </c>
      <c r="D70" s="154">
        <v>1450022</v>
      </c>
      <c r="E70" s="154">
        <v>248</v>
      </c>
      <c r="F70" s="154" t="s">
        <v>343</v>
      </c>
      <c r="G70" s="255" t="s">
        <v>344</v>
      </c>
      <c r="H70" s="171" t="s">
        <v>169</v>
      </c>
      <c r="I70" s="445" t="s">
        <v>170</v>
      </c>
      <c r="J70" s="154"/>
      <c r="K70" s="154"/>
      <c r="L70" s="154"/>
      <c r="M70" s="176"/>
      <c r="N70" s="193">
        <v>107</v>
      </c>
      <c r="O70" s="176"/>
      <c r="P70" s="203">
        <v>688.23</v>
      </c>
      <c r="Q70" s="203"/>
      <c r="R70" s="203">
        <v>13649.83</v>
      </c>
      <c r="S70" s="176">
        <v>513</v>
      </c>
      <c r="T70" s="188" t="s">
        <v>171</v>
      </c>
      <c r="U70" s="176"/>
      <c r="V70" s="176"/>
      <c r="W70" s="176"/>
      <c r="X70" s="203">
        <f t="shared" si="6"/>
        <v>12825.310000000001</v>
      </c>
      <c r="Y70" s="203">
        <v>-615.61</v>
      </c>
      <c r="Z70" s="203">
        <v>0</v>
      </c>
      <c r="AA70" s="203">
        <v>12209.7</v>
      </c>
      <c r="AB70" s="446">
        <v>463</v>
      </c>
      <c r="AC70" s="444" t="s">
        <v>172</v>
      </c>
      <c r="AD70" s="444" t="s">
        <v>173</v>
      </c>
      <c r="AE70" s="177" t="b">
        <v>1</v>
      </c>
      <c r="AF70" s="177" t="b">
        <v>1</v>
      </c>
      <c r="AG70" s="392">
        <f>(AB70-S70)/S70</f>
        <v>-9.7465886939571145E-2</v>
      </c>
      <c r="AH70" s="392">
        <f>(AA70-R70)/R70</f>
        <v>-0.10550534328998963</v>
      </c>
      <c r="AI70" s="203">
        <f t="shared" ref="AI70:AI133" si="8">AL70 + ABS(AJ70) + ABS(AK70)</f>
        <v>19585.150000000001</v>
      </c>
      <c r="AJ70" s="368">
        <v>-940.09</v>
      </c>
      <c r="AK70" s="368">
        <v>0</v>
      </c>
      <c r="AL70" s="368">
        <v>18645.060000000001</v>
      </c>
      <c r="AM70" s="1068">
        <v>664</v>
      </c>
      <c r="AN70" s="172">
        <v>46122</v>
      </c>
      <c r="AO70" s="171" t="s">
        <v>174</v>
      </c>
      <c r="AP70" s="861" t="b">
        <v>1</v>
      </c>
      <c r="AQ70" s="861" t="b">
        <v>1</v>
      </c>
      <c r="AR70" s="392">
        <f t="shared" si="7"/>
        <v>0.43412526997840173</v>
      </c>
      <c r="AS70" s="392">
        <f>(AL70-AA70)/AA70</f>
        <v>0.52706946116612208</v>
      </c>
      <c r="AT70" s="203">
        <f t="shared" ref="AT70:AT133" si="9">AW70 + ABS(AU70) + ABS(AV70)</f>
        <v>0</v>
      </c>
      <c r="AU70" s="203"/>
      <c r="AV70" s="203"/>
      <c r="AW70" s="203"/>
      <c r="AX70" s="176"/>
      <c r="AY70" s="176"/>
      <c r="AZ70" s="176"/>
      <c r="BA70" s="177" t="b">
        <v>0</v>
      </c>
      <c r="BB70" s="177" t="b">
        <v>0</v>
      </c>
      <c r="BC70" s="176">
        <f>(AX70-AM70)/AM70</f>
        <v>-1</v>
      </c>
      <c r="BD70" s="176">
        <f>(AW70-AL70)/AL70</f>
        <v>-1</v>
      </c>
      <c r="BE70" s="203">
        <f>BH70 + ABS(BF70) + ABS(BG70)</f>
        <v>0</v>
      </c>
      <c r="BF70" s="203"/>
      <c r="BG70" s="203"/>
      <c r="BH70" s="203"/>
      <c r="BI70" s="176"/>
      <c r="BJ70" s="176"/>
      <c r="BK70" s="176"/>
      <c r="BL70" s="177" t="b">
        <v>0</v>
      </c>
      <c r="BM70" s="177" t="b">
        <v>0</v>
      </c>
      <c r="BN70" s="176" t="e">
        <f>(BI70-AZ70)/AZ70</f>
        <v>#DIV/0!</v>
      </c>
      <c r="BO70" s="176" t="e">
        <f>(BH70-AW70)/AW70</f>
        <v>#DIV/0!</v>
      </c>
      <c r="BP70" s="203">
        <f>BS70 + ABS(BQ70) + ABS(BR70)</f>
        <v>0</v>
      </c>
      <c r="BQ70" s="203"/>
      <c r="BR70" s="203"/>
      <c r="BS70" s="203"/>
      <c r="BT70" s="176"/>
      <c r="BU70" s="176"/>
      <c r="BV70" s="176"/>
      <c r="BW70" s="177" t="b">
        <v>0</v>
      </c>
      <c r="BX70" s="177" t="b">
        <v>0</v>
      </c>
      <c r="BY70" s="176" t="e">
        <f>(BT70-BI70)/BI70</f>
        <v>#DIV/0!</v>
      </c>
      <c r="BZ70" s="176" t="e">
        <f>(BS70-BH70)/BH70</f>
        <v>#DIV/0!</v>
      </c>
      <c r="CA70" s="203">
        <f>CD70 + ABS(CB70) + ABS(CC70)</f>
        <v>0</v>
      </c>
      <c r="CB70" s="203"/>
      <c r="CC70" s="203"/>
      <c r="CD70" s="203"/>
      <c r="CE70" s="176"/>
      <c r="CF70" s="176"/>
      <c r="CG70" s="176"/>
      <c r="CH70" s="177" t="b">
        <v>0</v>
      </c>
      <c r="CI70" s="177" t="b">
        <v>0</v>
      </c>
      <c r="CJ70" s="176" t="e">
        <f>(CE70-BV70)/BV70</f>
        <v>#DIV/0!</v>
      </c>
      <c r="CK70" s="176" t="e">
        <f>(CD70-BS70)/BS70</f>
        <v>#DIV/0!</v>
      </c>
      <c r="CL70" s="203">
        <f>CO70 + ABS(CM70) + ABS(CN70)</f>
        <v>0</v>
      </c>
      <c r="CM70" s="203"/>
      <c r="CN70" s="203"/>
      <c r="CO70" s="203"/>
      <c r="CP70" s="176"/>
      <c r="CQ70" s="176"/>
      <c r="CR70" s="176"/>
      <c r="CS70" s="177" t="b">
        <v>0</v>
      </c>
      <c r="CT70" s="177" t="b">
        <v>0</v>
      </c>
      <c r="CU70" s="176" t="e">
        <f>(CP70-CE70)/CE70</f>
        <v>#DIV/0!</v>
      </c>
      <c r="CV70" s="176" t="e">
        <f>(CO70-CD70)/CD70</f>
        <v>#DIV/0!</v>
      </c>
      <c r="CW70" s="203">
        <f>CZ70 + ABS(CX70) + ABS(CY70)</f>
        <v>0</v>
      </c>
      <c r="CX70" s="203"/>
      <c r="CY70" s="203"/>
      <c r="CZ70" s="203"/>
      <c r="DA70" s="176"/>
      <c r="DB70" s="176"/>
      <c r="DC70" s="176"/>
      <c r="DD70" s="177" t="b">
        <v>0</v>
      </c>
      <c r="DE70" s="177" t="b">
        <v>0</v>
      </c>
      <c r="DF70" s="176" t="e">
        <f>(DA70-CR70)/CR70</f>
        <v>#DIV/0!</v>
      </c>
      <c r="DG70" s="176" t="e">
        <f>(CZ70-CO70)/CO70</f>
        <v>#DIV/0!</v>
      </c>
      <c r="DH70" s="203">
        <f>DK70 + ABS(DI70) + ABS(DJ70)</f>
        <v>0</v>
      </c>
      <c r="DI70" s="203"/>
      <c r="DJ70" s="203"/>
      <c r="DK70" s="203"/>
      <c r="DL70" s="176"/>
      <c r="DM70" s="176"/>
      <c r="DN70" s="176"/>
      <c r="DO70" s="177" t="b">
        <v>0</v>
      </c>
      <c r="DP70" s="177" t="b">
        <v>0</v>
      </c>
      <c r="DQ70" s="176" t="e">
        <f>(DL70-DA70)/DA70</f>
        <v>#DIV/0!</v>
      </c>
      <c r="DR70" s="176" t="e">
        <f>(DK70-CZ70)/CZ70</f>
        <v>#DIV/0!</v>
      </c>
      <c r="DS70" s="203">
        <f>DV70 + ABS(DT70) + ABS(DU70)</f>
        <v>0</v>
      </c>
      <c r="DT70" s="203"/>
      <c r="DU70" s="203"/>
      <c r="DV70" s="203"/>
      <c r="DW70" s="176"/>
      <c r="DX70" s="176"/>
      <c r="DY70" s="176"/>
      <c r="DZ70" s="177" t="b">
        <v>0</v>
      </c>
      <c r="EA70" s="177" t="b">
        <v>0</v>
      </c>
      <c r="EB70" s="176" t="e">
        <f>(DW70-DN70)/DN70</f>
        <v>#DIV/0!</v>
      </c>
      <c r="EC70" s="176" t="e">
        <f>(DV70-DK70)/DK70</f>
        <v>#DIV/0!</v>
      </c>
      <c r="ED70" s="203">
        <f>EG70 + ABS(EE70) + ABS(EF70)</f>
        <v>0</v>
      </c>
      <c r="EE70" s="203"/>
      <c r="EF70" s="203"/>
      <c r="EG70" s="203"/>
      <c r="EH70" s="176"/>
      <c r="EI70" s="176"/>
      <c r="EJ70" s="176"/>
      <c r="EK70" s="177" t="b">
        <v>0</v>
      </c>
      <c r="EL70" s="177" t="b">
        <v>0</v>
      </c>
      <c r="EM70" s="176" t="e">
        <f>(EH70-DW70)/DW70</f>
        <v>#DIV/0!</v>
      </c>
      <c r="EN70" s="176" t="e">
        <f>(EG70-DV70)/DV70</f>
        <v>#DIV/0!</v>
      </c>
      <c r="EO70" s="203">
        <f>ER70 + ABS(EP70) + ABS(EQ70)</f>
        <v>0</v>
      </c>
      <c r="EP70" s="203"/>
      <c r="EQ70" s="203"/>
      <c r="ER70" s="203"/>
      <c r="ES70" s="176"/>
      <c r="ET70" s="176"/>
      <c r="EU70" s="176"/>
      <c r="EV70" s="177" t="b">
        <v>0</v>
      </c>
      <c r="EW70" s="177" t="b">
        <v>0</v>
      </c>
      <c r="EX70" s="176" t="e">
        <f>(ES70-EJ70)/EJ70</f>
        <v>#DIV/0!</v>
      </c>
      <c r="EY70" s="176" t="e">
        <f>(ER70-EG70)/EG70</f>
        <v>#DIV/0!</v>
      </c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801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</row>
    <row r="71" spans="2:221" ht="15">
      <c r="B71" s="175"/>
      <c r="C71" s="800" t="s">
        <v>345</v>
      </c>
      <c r="D71" s="357">
        <v>1450022</v>
      </c>
      <c r="E71" s="357">
        <v>372</v>
      </c>
      <c r="F71" s="357" t="s">
        <v>346</v>
      </c>
      <c r="G71" s="426" t="s">
        <v>347</v>
      </c>
      <c r="H71" s="148" t="s">
        <v>169</v>
      </c>
      <c r="I71" s="448" t="s">
        <v>170</v>
      </c>
      <c r="J71" s="357"/>
      <c r="K71" s="357"/>
      <c r="L71" s="357"/>
      <c r="M71" s="358"/>
      <c r="N71" s="361">
        <v>107</v>
      </c>
      <c r="O71" s="358"/>
      <c r="P71" s="402">
        <v>2.1800000000000002</v>
      </c>
      <c r="Q71" s="402"/>
      <c r="R71" s="402">
        <v>43.32</v>
      </c>
      <c r="S71" s="358">
        <v>3</v>
      </c>
      <c r="T71" s="188" t="s">
        <v>171</v>
      </c>
      <c r="U71" s="358"/>
      <c r="V71" s="358"/>
      <c r="W71" s="358"/>
      <c r="X71" s="402">
        <f t="shared" si="6"/>
        <v>46.43</v>
      </c>
      <c r="Y71" s="402">
        <v>-2.23</v>
      </c>
      <c r="Z71" s="402">
        <v>0</v>
      </c>
      <c r="AA71" s="402">
        <v>44.2</v>
      </c>
      <c r="AB71" s="450">
        <v>3</v>
      </c>
      <c r="AC71" s="426" t="s">
        <v>172</v>
      </c>
      <c r="AD71" s="426" t="s">
        <v>173</v>
      </c>
      <c r="AE71" s="164" t="b">
        <v>1</v>
      </c>
      <c r="AF71" s="164" t="b">
        <v>1</v>
      </c>
      <c r="AG71" s="409">
        <f>(AB71-S71)/S71</f>
        <v>0</v>
      </c>
      <c r="AH71" s="409">
        <f>(AA71-R71)/R71</f>
        <v>2.0313942751615941E-2</v>
      </c>
      <c r="AI71" s="402">
        <f t="shared" si="8"/>
        <v>51.61</v>
      </c>
      <c r="AJ71" s="364">
        <v>-2.48</v>
      </c>
      <c r="AK71" s="364">
        <v>0</v>
      </c>
      <c r="AL71" s="364">
        <v>49.13</v>
      </c>
      <c r="AM71" s="1069">
        <v>3</v>
      </c>
      <c r="AN71" s="407">
        <v>46122</v>
      </c>
      <c r="AO71" s="148" t="s">
        <v>174</v>
      </c>
      <c r="AP71" s="860" t="b">
        <v>1</v>
      </c>
      <c r="AQ71" s="860" t="b">
        <v>1</v>
      </c>
      <c r="AR71" s="409">
        <f t="shared" si="7"/>
        <v>0</v>
      </c>
      <c r="AS71" s="409">
        <f>(AL71-AA71)/AA71</f>
        <v>0.11153846153846153</v>
      </c>
      <c r="AT71" s="402">
        <f t="shared" si="9"/>
        <v>0</v>
      </c>
      <c r="AU71" s="402"/>
      <c r="AV71" s="402"/>
      <c r="AW71" s="402"/>
      <c r="AX71" s="358"/>
      <c r="AY71" s="358"/>
      <c r="AZ71" s="358"/>
      <c r="BA71" s="164" t="b">
        <v>0</v>
      </c>
      <c r="BB71" s="164" t="b">
        <v>0</v>
      </c>
      <c r="BC71" s="358">
        <f>(AX71-AM71)/AM71</f>
        <v>-1</v>
      </c>
      <c r="BD71" s="358">
        <f>(AW71-AL71)/AL71</f>
        <v>-1</v>
      </c>
      <c r="BE71" s="402">
        <f>BH71 + ABS(BF71) + ABS(BG71)</f>
        <v>0</v>
      </c>
      <c r="BF71" s="402"/>
      <c r="BG71" s="402"/>
      <c r="BH71" s="402"/>
      <c r="BI71" s="358"/>
      <c r="BJ71" s="358"/>
      <c r="BK71" s="358"/>
      <c r="BL71" s="164" t="b">
        <v>0</v>
      </c>
      <c r="BM71" s="164" t="b">
        <v>0</v>
      </c>
      <c r="BN71" s="358" t="e">
        <f>(BI71-AZ71)/AZ71</f>
        <v>#DIV/0!</v>
      </c>
      <c r="BO71" s="358" t="e">
        <f>(BH71-AW71)/AW71</f>
        <v>#DIV/0!</v>
      </c>
      <c r="BP71" s="402">
        <f>BS71 + ABS(BQ71) + ABS(BR71)</f>
        <v>0</v>
      </c>
      <c r="BQ71" s="402"/>
      <c r="BR71" s="402"/>
      <c r="BS71" s="402"/>
      <c r="BT71" s="358"/>
      <c r="BU71" s="358"/>
      <c r="BV71" s="358"/>
      <c r="BW71" s="164" t="b">
        <v>0</v>
      </c>
      <c r="BX71" s="164" t="b">
        <v>0</v>
      </c>
      <c r="BY71" s="358" t="e">
        <f>(BT71-BI71)/BI71</f>
        <v>#DIV/0!</v>
      </c>
      <c r="BZ71" s="358" t="e">
        <f>(BS71-BH71)/BH71</f>
        <v>#DIV/0!</v>
      </c>
      <c r="CA71" s="402">
        <f>CD71 + ABS(CB71) + ABS(CC71)</f>
        <v>0</v>
      </c>
      <c r="CB71" s="402"/>
      <c r="CC71" s="402"/>
      <c r="CD71" s="402"/>
      <c r="CE71" s="358"/>
      <c r="CF71" s="358"/>
      <c r="CG71" s="358"/>
      <c r="CH71" s="164" t="b">
        <v>0</v>
      </c>
      <c r="CI71" s="164" t="b">
        <v>0</v>
      </c>
      <c r="CJ71" s="358" t="e">
        <f>(CE71-BV71)/BV71</f>
        <v>#DIV/0!</v>
      </c>
      <c r="CK71" s="358" t="e">
        <f>(CD71-BS71)/BS71</f>
        <v>#DIV/0!</v>
      </c>
      <c r="CL71" s="402">
        <f>CO71 + ABS(CM71) + ABS(CN71)</f>
        <v>0</v>
      </c>
      <c r="CM71" s="402"/>
      <c r="CN71" s="402"/>
      <c r="CO71" s="402"/>
      <c r="CP71" s="358"/>
      <c r="CQ71" s="358"/>
      <c r="CR71" s="358"/>
      <c r="CS71" s="164" t="b">
        <v>0</v>
      </c>
      <c r="CT71" s="164" t="b">
        <v>0</v>
      </c>
      <c r="CU71" s="358" t="e">
        <f>(CP71-CE71)/CE71</f>
        <v>#DIV/0!</v>
      </c>
      <c r="CV71" s="358" t="e">
        <f>(CO71-CD71)/CD71</f>
        <v>#DIV/0!</v>
      </c>
      <c r="CW71" s="402">
        <f>CZ71 + ABS(CX71) + ABS(CY71)</f>
        <v>0</v>
      </c>
      <c r="CX71" s="402"/>
      <c r="CY71" s="402"/>
      <c r="CZ71" s="402"/>
      <c r="DA71" s="358"/>
      <c r="DB71" s="358"/>
      <c r="DC71" s="358"/>
      <c r="DD71" s="164" t="b">
        <v>0</v>
      </c>
      <c r="DE71" s="164" t="b">
        <v>0</v>
      </c>
      <c r="DF71" s="358" t="e">
        <f>(DA71-CR71)/CR71</f>
        <v>#DIV/0!</v>
      </c>
      <c r="DG71" s="358" t="e">
        <f>(CZ71-CO71)/CO71</f>
        <v>#DIV/0!</v>
      </c>
      <c r="DH71" s="402">
        <f>DK71 + ABS(DI71) + ABS(DJ71)</f>
        <v>0</v>
      </c>
      <c r="DI71" s="402"/>
      <c r="DJ71" s="402"/>
      <c r="DK71" s="402"/>
      <c r="DL71" s="358"/>
      <c r="DM71" s="358"/>
      <c r="DN71" s="358"/>
      <c r="DO71" s="164" t="b">
        <v>0</v>
      </c>
      <c r="DP71" s="164" t="b">
        <v>0</v>
      </c>
      <c r="DQ71" s="358" t="e">
        <f>(DL71-DA71)/DA71</f>
        <v>#DIV/0!</v>
      </c>
      <c r="DR71" s="358" t="e">
        <f>(DK71-CZ71)/CZ71</f>
        <v>#DIV/0!</v>
      </c>
      <c r="DS71" s="402">
        <f>DV71 + ABS(DT71) + ABS(DU71)</f>
        <v>0</v>
      </c>
      <c r="DT71" s="402"/>
      <c r="DU71" s="402"/>
      <c r="DV71" s="402"/>
      <c r="DW71" s="358"/>
      <c r="DX71" s="358"/>
      <c r="DY71" s="358"/>
      <c r="DZ71" s="164" t="b">
        <v>0</v>
      </c>
      <c r="EA71" s="164" t="b">
        <v>0</v>
      </c>
      <c r="EB71" s="358" t="e">
        <f>(DW71-DN71)/DN71</f>
        <v>#DIV/0!</v>
      </c>
      <c r="EC71" s="358" t="e">
        <f>(DV71-DK71)/DK71</f>
        <v>#DIV/0!</v>
      </c>
      <c r="ED71" s="402">
        <f>EG71 + ABS(EE71) + ABS(EF71)</f>
        <v>0</v>
      </c>
      <c r="EE71" s="402"/>
      <c r="EF71" s="402"/>
      <c r="EG71" s="402"/>
      <c r="EH71" s="358"/>
      <c r="EI71" s="358"/>
      <c r="EJ71" s="358"/>
      <c r="EK71" s="164" t="b">
        <v>0</v>
      </c>
      <c r="EL71" s="164" t="b">
        <v>0</v>
      </c>
      <c r="EM71" s="358" t="e">
        <f>(EH71-DW71)/DW71</f>
        <v>#DIV/0!</v>
      </c>
      <c r="EN71" s="358" t="e">
        <f>(EG71-DV71)/DV71</f>
        <v>#DIV/0!</v>
      </c>
      <c r="EO71" s="402">
        <f>ER71 + ABS(EP71) + ABS(EQ71)</f>
        <v>0</v>
      </c>
      <c r="EP71" s="402"/>
      <c r="EQ71" s="402"/>
      <c r="ER71" s="402"/>
      <c r="ES71" s="358"/>
      <c r="ET71" s="358"/>
      <c r="EU71" s="358"/>
      <c r="EV71" s="164" t="b">
        <v>0</v>
      </c>
      <c r="EW71" s="164" t="b">
        <v>0</v>
      </c>
      <c r="EX71" s="358" t="e">
        <f>(ES71-EJ71)/EJ71</f>
        <v>#DIV/0!</v>
      </c>
      <c r="EY71" s="358" t="e">
        <f>(ER71-EG71)/EG71</f>
        <v>#DIV/0!</v>
      </c>
      <c r="EZ71" s="449"/>
      <c r="FA71" s="449"/>
      <c r="FB71" s="449"/>
      <c r="FC71" s="449"/>
      <c r="FD71" s="449"/>
      <c r="FE71" s="449"/>
      <c r="FF71" s="449"/>
      <c r="FG71" s="449"/>
      <c r="FH71" s="449"/>
      <c r="FI71" s="449"/>
      <c r="FJ71" s="449"/>
      <c r="FK71" s="449"/>
      <c r="FL71" s="449"/>
      <c r="FM71" s="449"/>
      <c r="FN71" s="449"/>
      <c r="FO71" s="175"/>
      <c r="FP71" s="175"/>
      <c r="FQ71" s="801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</row>
    <row r="72" spans="2:221" ht="15">
      <c r="B72" s="175"/>
      <c r="C72" s="802" t="s">
        <v>348</v>
      </c>
      <c r="D72" s="154">
        <v>1450022</v>
      </c>
      <c r="E72" s="154">
        <v>334</v>
      </c>
      <c r="F72" s="154" t="s">
        <v>349</v>
      </c>
      <c r="G72" s="255" t="s">
        <v>350</v>
      </c>
      <c r="H72" s="171" t="s">
        <v>169</v>
      </c>
      <c r="I72" s="445" t="s">
        <v>170</v>
      </c>
      <c r="J72" s="154"/>
      <c r="K72" s="154"/>
      <c r="L72" s="154"/>
      <c r="M72" s="176"/>
      <c r="N72" s="193">
        <v>107</v>
      </c>
      <c r="O72" s="176"/>
      <c r="P72" s="203">
        <v>483.15</v>
      </c>
      <c r="Q72" s="203"/>
      <c r="R72" s="203">
        <v>9582.44</v>
      </c>
      <c r="S72" s="176">
        <v>618</v>
      </c>
      <c r="T72" s="188" t="s">
        <v>171</v>
      </c>
      <c r="U72" s="176"/>
      <c r="V72" s="176"/>
      <c r="W72" s="176"/>
      <c r="X72" s="203">
        <f t="shared" si="6"/>
        <v>11717.35</v>
      </c>
      <c r="Y72" s="203">
        <v>-562.42999999999995</v>
      </c>
      <c r="Z72" s="203">
        <v>0</v>
      </c>
      <c r="AA72" s="203">
        <v>11154.92</v>
      </c>
      <c r="AB72" s="446">
        <v>713</v>
      </c>
      <c r="AC72" s="444" t="s">
        <v>172</v>
      </c>
      <c r="AD72" s="444" t="s">
        <v>173</v>
      </c>
      <c r="AE72" s="177" t="b">
        <v>1</v>
      </c>
      <c r="AF72" s="177" t="b">
        <v>1</v>
      </c>
      <c r="AG72" s="392">
        <f>(AB72-S72)/S72</f>
        <v>0.15372168284789645</v>
      </c>
      <c r="AH72" s="392">
        <f>(AA72-R72)/R72</f>
        <v>0.16410016655465617</v>
      </c>
      <c r="AI72" s="203">
        <f t="shared" si="8"/>
        <v>10249.41</v>
      </c>
      <c r="AJ72" s="368">
        <v>-491.97</v>
      </c>
      <c r="AK72" s="368">
        <v>0</v>
      </c>
      <c r="AL72" s="368">
        <v>9757.44</v>
      </c>
      <c r="AM72" s="1068">
        <v>605</v>
      </c>
      <c r="AN72" s="172">
        <v>46122</v>
      </c>
      <c r="AO72" s="171" t="s">
        <v>174</v>
      </c>
      <c r="AP72" s="861" t="b">
        <v>1</v>
      </c>
      <c r="AQ72" s="861" t="b">
        <v>1</v>
      </c>
      <c r="AR72" s="392">
        <f t="shared" si="7"/>
        <v>-0.1514726507713885</v>
      </c>
      <c r="AS72" s="392">
        <f>(AL72-AA72)/AA72</f>
        <v>-0.12527924897713291</v>
      </c>
      <c r="AT72" s="203">
        <f t="shared" si="9"/>
        <v>0</v>
      </c>
      <c r="AU72" s="203"/>
      <c r="AV72" s="203"/>
      <c r="AW72" s="203"/>
      <c r="AX72" s="176"/>
      <c r="AY72" s="176"/>
      <c r="AZ72" s="176"/>
      <c r="BA72" s="177" t="b">
        <v>0</v>
      </c>
      <c r="BB72" s="177" t="b">
        <v>0</v>
      </c>
      <c r="BC72" s="176">
        <f>(AX72-AM72)/AM72</f>
        <v>-1</v>
      </c>
      <c r="BD72" s="176">
        <f>(AW72-AL72)/AL72</f>
        <v>-1</v>
      </c>
      <c r="BE72" s="203">
        <f>BH72 + ABS(BF72) + ABS(BG72)</f>
        <v>0</v>
      </c>
      <c r="BF72" s="203"/>
      <c r="BG72" s="203"/>
      <c r="BH72" s="203"/>
      <c r="BI72" s="176"/>
      <c r="BJ72" s="176"/>
      <c r="BK72" s="176"/>
      <c r="BL72" s="177" t="b">
        <v>0</v>
      </c>
      <c r="BM72" s="177" t="b">
        <v>0</v>
      </c>
      <c r="BN72" s="176" t="e">
        <f>(BI72-AZ72)/AZ72</f>
        <v>#DIV/0!</v>
      </c>
      <c r="BO72" s="176" t="e">
        <f>(BH72-AW72)/AW72</f>
        <v>#DIV/0!</v>
      </c>
      <c r="BP72" s="203">
        <f>BS72 + ABS(BQ72) + ABS(BR72)</f>
        <v>0</v>
      </c>
      <c r="BQ72" s="203"/>
      <c r="BR72" s="203"/>
      <c r="BS72" s="203"/>
      <c r="BT72" s="176"/>
      <c r="BU72" s="176"/>
      <c r="BV72" s="176"/>
      <c r="BW72" s="177" t="b">
        <v>0</v>
      </c>
      <c r="BX72" s="177" t="b">
        <v>0</v>
      </c>
      <c r="BY72" s="176" t="e">
        <f>(BT72-BI72)/BI72</f>
        <v>#DIV/0!</v>
      </c>
      <c r="BZ72" s="176" t="e">
        <f>(BS72-BH72)/BH72</f>
        <v>#DIV/0!</v>
      </c>
      <c r="CA72" s="203">
        <f>CD72 + ABS(CB72) + ABS(CC72)</f>
        <v>0</v>
      </c>
      <c r="CB72" s="203"/>
      <c r="CC72" s="203"/>
      <c r="CD72" s="203"/>
      <c r="CE72" s="176"/>
      <c r="CF72" s="176"/>
      <c r="CG72" s="176"/>
      <c r="CH72" s="177" t="b">
        <v>0</v>
      </c>
      <c r="CI72" s="177" t="b">
        <v>0</v>
      </c>
      <c r="CJ72" s="176" t="e">
        <f>(CE72-BV72)/BV72</f>
        <v>#DIV/0!</v>
      </c>
      <c r="CK72" s="176" t="e">
        <f>(CD72-BS72)/BS72</f>
        <v>#DIV/0!</v>
      </c>
      <c r="CL72" s="203">
        <f>CO72 + ABS(CM72) + ABS(CN72)</f>
        <v>0</v>
      </c>
      <c r="CM72" s="203"/>
      <c r="CN72" s="203"/>
      <c r="CO72" s="203"/>
      <c r="CP72" s="176"/>
      <c r="CQ72" s="176"/>
      <c r="CR72" s="176"/>
      <c r="CS72" s="177" t="b">
        <v>0</v>
      </c>
      <c r="CT72" s="177" t="b">
        <v>0</v>
      </c>
      <c r="CU72" s="176" t="e">
        <f>(CP72-CE72)/CE72</f>
        <v>#DIV/0!</v>
      </c>
      <c r="CV72" s="176" t="e">
        <f>(CO72-CD72)/CD72</f>
        <v>#DIV/0!</v>
      </c>
      <c r="CW72" s="203">
        <f>CZ72 + ABS(CX72) + ABS(CY72)</f>
        <v>0</v>
      </c>
      <c r="CX72" s="203"/>
      <c r="CY72" s="203"/>
      <c r="CZ72" s="203"/>
      <c r="DA72" s="176"/>
      <c r="DB72" s="176"/>
      <c r="DC72" s="176"/>
      <c r="DD72" s="177" t="b">
        <v>0</v>
      </c>
      <c r="DE72" s="177" t="b">
        <v>0</v>
      </c>
      <c r="DF72" s="176" t="e">
        <f>(DA72-CR72)/CR72</f>
        <v>#DIV/0!</v>
      </c>
      <c r="DG72" s="176" t="e">
        <f>(CZ72-CO72)/CO72</f>
        <v>#DIV/0!</v>
      </c>
      <c r="DH72" s="203">
        <f>DK72 + ABS(DI72) + ABS(DJ72)</f>
        <v>0</v>
      </c>
      <c r="DI72" s="203"/>
      <c r="DJ72" s="203"/>
      <c r="DK72" s="203"/>
      <c r="DL72" s="176"/>
      <c r="DM72" s="176"/>
      <c r="DN72" s="176"/>
      <c r="DO72" s="177" t="b">
        <v>0</v>
      </c>
      <c r="DP72" s="177" t="b">
        <v>0</v>
      </c>
      <c r="DQ72" s="176" t="e">
        <f>(DL72-DA72)/DA72</f>
        <v>#DIV/0!</v>
      </c>
      <c r="DR72" s="176" t="e">
        <f>(DK72-CZ72)/CZ72</f>
        <v>#DIV/0!</v>
      </c>
      <c r="DS72" s="203">
        <f>DV72 + ABS(DT72) + ABS(DU72)</f>
        <v>0</v>
      </c>
      <c r="DT72" s="203"/>
      <c r="DU72" s="203"/>
      <c r="DV72" s="203"/>
      <c r="DW72" s="176"/>
      <c r="DX72" s="176"/>
      <c r="DY72" s="176"/>
      <c r="DZ72" s="177" t="b">
        <v>0</v>
      </c>
      <c r="EA72" s="177" t="b">
        <v>0</v>
      </c>
      <c r="EB72" s="176" t="e">
        <f>(DW72-DN72)/DN72</f>
        <v>#DIV/0!</v>
      </c>
      <c r="EC72" s="176" t="e">
        <f>(DV72-DK72)/DK72</f>
        <v>#DIV/0!</v>
      </c>
      <c r="ED72" s="203">
        <f>EG72 + ABS(EE72) + ABS(EF72)</f>
        <v>0</v>
      </c>
      <c r="EE72" s="203"/>
      <c r="EF72" s="203"/>
      <c r="EG72" s="203"/>
      <c r="EH72" s="176"/>
      <c r="EI72" s="176"/>
      <c r="EJ72" s="176"/>
      <c r="EK72" s="177" t="b">
        <v>0</v>
      </c>
      <c r="EL72" s="177" t="b">
        <v>0</v>
      </c>
      <c r="EM72" s="176" t="e">
        <f>(EH72-DW72)/DW72</f>
        <v>#DIV/0!</v>
      </c>
      <c r="EN72" s="176" t="e">
        <f>(EG72-DV72)/DV72</f>
        <v>#DIV/0!</v>
      </c>
      <c r="EO72" s="203">
        <f>ER72 + ABS(EP72) + ABS(EQ72)</f>
        <v>0</v>
      </c>
      <c r="EP72" s="203"/>
      <c r="EQ72" s="203"/>
      <c r="ER72" s="203"/>
      <c r="ES72" s="176"/>
      <c r="ET72" s="176"/>
      <c r="EU72" s="176"/>
      <c r="EV72" s="177" t="b">
        <v>0</v>
      </c>
      <c r="EW72" s="177" t="b">
        <v>0</v>
      </c>
      <c r="EX72" s="176" t="e">
        <f>(ES72-EJ72)/EJ72</f>
        <v>#DIV/0!</v>
      </c>
      <c r="EY72" s="176" t="e">
        <f>(ER72-EG72)/EG72</f>
        <v>#DIV/0!</v>
      </c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801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</row>
    <row r="73" spans="2:221" ht="15">
      <c r="B73" s="175"/>
      <c r="C73" s="800" t="s">
        <v>351</v>
      </c>
      <c r="D73" s="357">
        <v>1450022</v>
      </c>
      <c r="E73" s="357">
        <v>160</v>
      </c>
      <c r="F73" s="357" t="s">
        <v>352</v>
      </c>
      <c r="G73" s="426" t="s">
        <v>353</v>
      </c>
      <c r="H73" s="148" t="s">
        <v>169</v>
      </c>
      <c r="I73" s="448" t="s">
        <v>170</v>
      </c>
      <c r="J73" s="357"/>
      <c r="K73" s="357"/>
      <c r="L73" s="357"/>
      <c r="M73" s="358"/>
      <c r="N73" s="361">
        <v>107</v>
      </c>
      <c r="O73" s="358"/>
      <c r="P73" s="402">
        <v>3.8</v>
      </c>
      <c r="Q73" s="402"/>
      <c r="R73" s="402">
        <v>75.34</v>
      </c>
      <c r="S73" s="358">
        <v>3</v>
      </c>
      <c r="T73" s="188" t="s">
        <v>171</v>
      </c>
      <c r="U73" s="358"/>
      <c r="V73" s="358"/>
      <c r="W73" s="358"/>
      <c r="X73" s="402">
        <f t="shared" si="6"/>
        <v>87.48</v>
      </c>
      <c r="Y73" s="402">
        <v>-4.2</v>
      </c>
      <c r="Z73" s="402">
        <v>0</v>
      </c>
      <c r="AA73" s="402">
        <v>83.28</v>
      </c>
      <c r="AB73" s="450">
        <v>4</v>
      </c>
      <c r="AC73" s="426" t="s">
        <v>172</v>
      </c>
      <c r="AD73" s="426" t="s">
        <v>173</v>
      </c>
      <c r="AE73" s="164" t="b">
        <v>1</v>
      </c>
      <c r="AF73" s="164" t="b">
        <v>1</v>
      </c>
      <c r="AG73" s="409">
        <f>(AB73-S73)/S73</f>
        <v>0.33333333333333331</v>
      </c>
      <c r="AH73" s="409">
        <f>(AA73-R73)/R73</f>
        <v>0.10538890363684626</v>
      </c>
      <c r="AI73" s="402">
        <f t="shared" si="8"/>
        <v>78.539999999999992</v>
      </c>
      <c r="AJ73" s="364">
        <v>-3.77</v>
      </c>
      <c r="AK73" s="364">
        <v>0</v>
      </c>
      <c r="AL73" s="364">
        <v>74.77</v>
      </c>
      <c r="AM73" s="1069">
        <v>2</v>
      </c>
      <c r="AN73" s="407">
        <v>46122</v>
      </c>
      <c r="AO73" s="148" t="s">
        <v>174</v>
      </c>
      <c r="AP73" s="860" t="b">
        <v>1</v>
      </c>
      <c r="AQ73" s="860" t="b">
        <v>1</v>
      </c>
      <c r="AR73" s="409">
        <f t="shared" si="7"/>
        <v>-0.5</v>
      </c>
      <c r="AS73" s="409">
        <f>(AL73-AA73)/AA73</f>
        <v>-0.10218539865513934</v>
      </c>
      <c r="AT73" s="402">
        <f t="shared" si="9"/>
        <v>0</v>
      </c>
      <c r="AU73" s="402"/>
      <c r="AV73" s="402"/>
      <c r="AW73" s="402"/>
      <c r="AX73" s="358"/>
      <c r="AY73" s="358"/>
      <c r="AZ73" s="358"/>
      <c r="BA73" s="164" t="b">
        <v>0</v>
      </c>
      <c r="BB73" s="164" t="b">
        <v>0</v>
      </c>
      <c r="BC73" s="358">
        <f>(AX73-AM73)/AM73</f>
        <v>-1</v>
      </c>
      <c r="BD73" s="358">
        <f>(AW73-AL73)/AL73</f>
        <v>-1</v>
      </c>
      <c r="BE73" s="402">
        <f>BH73 + ABS(BF73) + ABS(BG73)</f>
        <v>0</v>
      </c>
      <c r="BF73" s="402"/>
      <c r="BG73" s="402"/>
      <c r="BH73" s="402"/>
      <c r="BI73" s="358"/>
      <c r="BJ73" s="358"/>
      <c r="BK73" s="358"/>
      <c r="BL73" s="164" t="b">
        <v>0</v>
      </c>
      <c r="BM73" s="164" t="b">
        <v>0</v>
      </c>
      <c r="BN73" s="358" t="e">
        <f>(BI73-AZ73)/AZ73</f>
        <v>#DIV/0!</v>
      </c>
      <c r="BO73" s="358" t="e">
        <f>(BH73-AW73)/AW73</f>
        <v>#DIV/0!</v>
      </c>
      <c r="BP73" s="402">
        <f>BS73 + ABS(BQ73) + ABS(BR73)</f>
        <v>0</v>
      </c>
      <c r="BQ73" s="402"/>
      <c r="BR73" s="402"/>
      <c r="BS73" s="402"/>
      <c r="BT73" s="358"/>
      <c r="BU73" s="358"/>
      <c r="BV73" s="358"/>
      <c r="BW73" s="164" t="b">
        <v>0</v>
      </c>
      <c r="BX73" s="164" t="b">
        <v>0</v>
      </c>
      <c r="BY73" s="358" t="e">
        <f>(BT73-BI73)/BI73</f>
        <v>#DIV/0!</v>
      </c>
      <c r="BZ73" s="358" t="e">
        <f>(BS73-BH73)/BH73</f>
        <v>#DIV/0!</v>
      </c>
      <c r="CA73" s="402">
        <f>CD73 + ABS(CB73) + ABS(CC73)</f>
        <v>0</v>
      </c>
      <c r="CB73" s="402"/>
      <c r="CC73" s="402"/>
      <c r="CD73" s="402"/>
      <c r="CE73" s="358"/>
      <c r="CF73" s="358"/>
      <c r="CG73" s="358"/>
      <c r="CH73" s="164" t="b">
        <v>0</v>
      </c>
      <c r="CI73" s="164" t="b">
        <v>0</v>
      </c>
      <c r="CJ73" s="358" t="e">
        <f>(CE73-BV73)/BV73</f>
        <v>#DIV/0!</v>
      </c>
      <c r="CK73" s="358" t="e">
        <f>(CD73-BS73)/BS73</f>
        <v>#DIV/0!</v>
      </c>
      <c r="CL73" s="402">
        <f>CO73 + ABS(CM73) + ABS(CN73)</f>
        <v>0</v>
      </c>
      <c r="CM73" s="402"/>
      <c r="CN73" s="402"/>
      <c r="CO73" s="402"/>
      <c r="CP73" s="358"/>
      <c r="CQ73" s="358"/>
      <c r="CR73" s="358"/>
      <c r="CS73" s="164" t="b">
        <v>0</v>
      </c>
      <c r="CT73" s="164" t="b">
        <v>0</v>
      </c>
      <c r="CU73" s="358" t="e">
        <f>(CP73-CE73)/CE73</f>
        <v>#DIV/0!</v>
      </c>
      <c r="CV73" s="358" t="e">
        <f>(CO73-CD73)/CD73</f>
        <v>#DIV/0!</v>
      </c>
      <c r="CW73" s="402">
        <f>CZ73 + ABS(CX73) + ABS(CY73)</f>
        <v>0</v>
      </c>
      <c r="CX73" s="402"/>
      <c r="CY73" s="402"/>
      <c r="CZ73" s="402"/>
      <c r="DA73" s="358"/>
      <c r="DB73" s="358"/>
      <c r="DC73" s="358"/>
      <c r="DD73" s="164" t="b">
        <v>0</v>
      </c>
      <c r="DE73" s="164" t="b">
        <v>0</v>
      </c>
      <c r="DF73" s="358" t="e">
        <f>(DA73-CR73)/CR73</f>
        <v>#DIV/0!</v>
      </c>
      <c r="DG73" s="358" t="e">
        <f>(CZ73-CO73)/CO73</f>
        <v>#DIV/0!</v>
      </c>
      <c r="DH73" s="402">
        <f>DK73 + ABS(DI73) + ABS(DJ73)</f>
        <v>0</v>
      </c>
      <c r="DI73" s="402"/>
      <c r="DJ73" s="402"/>
      <c r="DK73" s="402"/>
      <c r="DL73" s="358"/>
      <c r="DM73" s="358"/>
      <c r="DN73" s="358"/>
      <c r="DO73" s="164" t="b">
        <v>0</v>
      </c>
      <c r="DP73" s="164" t="b">
        <v>0</v>
      </c>
      <c r="DQ73" s="358" t="e">
        <f>(DL73-DA73)/DA73</f>
        <v>#DIV/0!</v>
      </c>
      <c r="DR73" s="358" t="e">
        <f>(DK73-CZ73)/CZ73</f>
        <v>#DIV/0!</v>
      </c>
      <c r="DS73" s="402">
        <f>DV73 + ABS(DT73) + ABS(DU73)</f>
        <v>0</v>
      </c>
      <c r="DT73" s="402"/>
      <c r="DU73" s="402"/>
      <c r="DV73" s="402"/>
      <c r="DW73" s="358"/>
      <c r="DX73" s="358"/>
      <c r="DY73" s="358"/>
      <c r="DZ73" s="164" t="b">
        <v>0</v>
      </c>
      <c r="EA73" s="164" t="b">
        <v>0</v>
      </c>
      <c r="EB73" s="358" t="e">
        <f>(DW73-DN73)/DN73</f>
        <v>#DIV/0!</v>
      </c>
      <c r="EC73" s="358" t="e">
        <f>(DV73-DK73)/DK73</f>
        <v>#DIV/0!</v>
      </c>
      <c r="ED73" s="402">
        <f>EG73 + ABS(EE73) + ABS(EF73)</f>
        <v>0</v>
      </c>
      <c r="EE73" s="402"/>
      <c r="EF73" s="402"/>
      <c r="EG73" s="402"/>
      <c r="EH73" s="358"/>
      <c r="EI73" s="358"/>
      <c r="EJ73" s="358"/>
      <c r="EK73" s="164" t="b">
        <v>0</v>
      </c>
      <c r="EL73" s="164" t="b">
        <v>0</v>
      </c>
      <c r="EM73" s="358" t="e">
        <f>(EH73-DW73)/DW73</f>
        <v>#DIV/0!</v>
      </c>
      <c r="EN73" s="358" t="e">
        <f>(EG73-DV73)/DV73</f>
        <v>#DIV/0!</v>
      </c>
      <c r="EO73" s="402">
        <f>ER73 + ABS(EP73) + ABS(EQ73)</f>
        <v>0</v>
      </c>
      <c r="EP73" s="402"/>
      <c r="EQ73" s="402"/>
      <c r="ER73" s="402"/>
      <c r="ES73" s="358"/>
      <c r="ET73" s="358"/>
      <c r="EU73" s="358"/>
      <c r="EV73" s="164" t="b">
        <v>0</v>
      </c>
      <c r="EW73" s="164" t="b">
        <v>0</v>
      </c>
      <c r="EX73" s="358" t="e">
        <f>(ES73-EJ73)/EJ73</f>
        <v>#DIV/0!</v>
      </c>
      <c r="EY73" s="358" t="e">
        <f>(ER73-EG73)/EG73</f>
        <v>#DIV/0!</v>
      </c>
      <c r="EZ73" s="449"/>
      <c r="FA73" s="449"/>
      <c r="FB73" s="449"/>
      <c r="FC73" s="449"/>
      <c r="FD73" s="449"/>
      <c r="FE73" s="449"/>
      <c r="FF73" s="449"/>
      <c r="FG73" s="449"/>
      <c r="FH73" s="449"/>
      <c r="FI73" s="449"/>
      <c r="FJ73" s="449"/>
      <c r="FK73" s="449"/>
      <c r="FL73" s="449"/>
      <c r="FM73" s="449"/>
      <c r="FN73" s="449"/>
      <c r="FO73" s="175"/>
      <c r="FP73" s="175"/>
      <c r="FQ73" s="801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</row>
    <row r="74" spans="2:221" ht="15">
      <c r="B74" s="175"/>
      <c r="C74" s="800" t="s">
        <v>351</v>
      </c>
      <c r="D74" s="357">
        <v>1450022</v>
      </c>
      <c r="E74" s="357">
        <v>162</v>
      </c>
      <c r="F74" s="357" t="s">
        <v>354</v>
      </c>
      <c r="G74" s="426" t="s">
        <v>355</v>
      </c>
      <c r="H74" s="148" t="s">
        <v>169</v>
      </c>
      <c r="I74" s="448" t="s">
        <v>170</v>
      </c>
      <c r="J74" s="357"/>
      <c r="K74" s="357"/>
      <c r="L74" s="357"/>
      <c r="M74" s="358"/>
      <c r="N74" s="359">
        <v>107</v>
      </c>
      <c r="O74" s="358"/>
      <c r="P74" s="402">
        <v>856.69</v>
      </c>
      <c r="Q74" s="402"/>
      <c r="R74" s="402">
        <v>16990.95</v>
      </c>
      <c r="S74" s="358">
        <v>629</v>
      </c>
      <c r="T74" s="188" t="s">
        <v>171</v>
      </c>
      <c r="U74" s="358"/>
      <c r="V74" s="358"/>
      <c r="W74" s="358"/>
      <c r="X74" s="402">
        <f t="shared" si="6"/>
        <v>19723.46</v>
      </c>
      <c r="Y74" s="402">
        <v>-946.73</v>
      </c>
      <c r="Z74" s="402">
        <v>0</v>
      </c>
      <c r="AA74" s="402">
        <v>18776.73</v>
      </c>
      <c r="AB74" s="450">
        <v>691</v>
      </c>
      <c r="AC74" s="173" t="s">
        <v>172</v>
      </c>
      <c r="AD74" s="173" t="s">
        <v>173</v>
      </c>
      <c r="AE74" s="164" t="b">
        <v>1</v>
      </c>
      <c r="AF74" s="164" t="b">
        <v>1</v>
      </c>
      <c r="AG74" s="409">
        <f>(AB74-S74)/S74</f>
        <v>9.8569157392686804E-2</v>
      </c>
      <c r="AH74" s="409">
        <f>(AA74-R74)/R74</f>
        <v>0.10510183362319345</v>
      </c>
      <c r="AI74" s="402">
        <f t="shared" si="8"/>
        <v>17608.95</v>
      </c>
      <c r="AJ74" s="364">
        <v>-845.23</v>
      </c>
      <c r="AK74" s="364">
        <v>0</v>
      </c>
      <c r="AL74" s="364">
        <v>16763.72</v>
      </c>
      <c r="AM74" s="1069">
        <v>600</v>
      </c>
      <c r="AN74" s="407">
        <v>46122</v>
      </c>
      <c r="AO74" s="148" t="s">
        <v>174</v>
      </c>
      <c r="AP74" s="860" t="b">
        <v>1</v>
      </c>
      <c r="AQ74" s="860" t="b">
        <v>1</v>
      </c>
      <c r="AR74" s="409">
        <f t="shared" si="7"/>
        <v>-0.13169319826338641</v>
      </c>
      <c r="AS74" s="409">
        <f>(AL74-AA74)/AA74</f>
        <v>-0.10720769803900884</v>
      </c>
      <c r="AT74" s="402">
        <f t="shared" si="9"/>
        <v>0</v>
      </c>
      <c r="AU74" s="402"/>
      <c r="AV74" s="402"/>
      <c r="AW74" s="402"/>
      <c r="AX74" s="358"/>
      <c r="AY74" s="358"/>
      <c r="AZ74" s="358"/>
      <c r="BA74" s="164" t="b">
        <v>0</v>
      </c>
      <c r="BB74" s="164" t="b">
        <v>0</v>
      </c>
      <c r="BC74" s="358">
        <f>(AX74-AM74)/AM74</f>
        <v>-1</v>
      </c>
      <c r="BD74" s="358">
        <f>(AW74-AL74)/AL74</f>
        <v>-1</v>
      </c>
      <c r="BE74" s="402">
        <f>BH74 + ABS(BF74) + ABS(BG74)</f>
        <v>0</v>
      </c>
      <c r="BF74" s="402"/>
      <c r="BG74" s="402"/>
      <c r="BH74" s="402"/>
      <c r="BI74" s="358"/>
      <c r="BJ74" s="358"/>
      <c r="BK74" s="358"/>
      <c r="BL74" s="164" t="b">
        <v>0</v>
      </c>
      <c r="BM74" s="164" t="b">
        <v>0</v>
      </c>
      <c r="BN74" s="358" t="e">
        <f>(BI74-AZ74)/AZ74</f>
        <v>#DIV/0!</v>
      </c>
      <c r="BO74" s="358" t="e">
        <f>(BH74-AW74)/AW74</f>
        <v>#DIV/0!</v>
      </c>
      <c r="BP74" s="402">
        <f>BS74 + ABS(BQ74) + ABS(BR74)</f>
        <v>0</v>
      </c>
      <c r="BQ74" s="402"/>
      <c r="BR74" s="402"/>
      <c r="BS74" s="402"/>
      <c r="BT74" s="358"/>
      <c r="BU74" s="358"/>
      <c r="BV74" s="358"/>
      <c r="BW74" s="164" t="b">
        <v>0</v>
      </c>
      <c r="BX74" s="164" t="b">
        <v>0</v>
      </c>
      <c r="BY74" s="358" t="e">
        <f>(BT74-BI74)/BI74</f>
        <v>#DIV/0!</v>
      </c>
      <c r="BZ74" s="358" t="e">
        <f>(BS74-BH74)/BH74</f>
        <v>#DIV/0!</v>
      </c>
      <c r="CA74" s="402">
        <f>CD74 + ABS(CB74) + ABS(CC74)</f>
        <v>0</v>
      </c>
      <c r="CB74" s="402"/>
      <c r="CC74" s="402"/>
      <c r="CD74" s="402"/>
      <c r="CE74" s="358"/>
      <c r="CF74" s="358"/>
      <c r="CG74" s="358"/>
      <c r="CH74" s="164" t="b">
        <v>0</v>
      </c>
      <c r="CI74" s="164" t="b">
        <v>0</v>
      </c>
      <c r="CJ74" s="358" t="e">
        <f>(CE74-BV74)/BV74</f>
        <v>#DIV/0!</v>
      </c>
      <c r="CK74" s="358" t="e">
        <f>(CD74-BS74)/BS74</f>
        <v>#DIV/0!</v>
      </c>
      <c r="CL74" s="402">
        <f>CO74 + ABS(CM74) + ABS(CN74)</f>
        <v>0</v>
      </c>
      <c r="CM74" s="402"/>
      <c r="CN74" s="402"/>
      <c r="CO74" s="402"/>
      <c r="CP74" s="358"/>
      <c r="CQ74" s="358"/>
      <c r="CR74" s="358"/>
      <c r="CS74" s="164" t="b">
        <v>0</v>
      </c>
      <c r="CT74" s="164" t="b">
        <v>0</v>
      </c>
      <c r="CU74" s="358" t="e">
        <f>(CP74-CE74)/CE74</f>
        <v>#DIV/0!</v>
      </c>
      <c r="CV74" s="358" t="e">
        <f>(CO74-CD74)/CD74</f>
        <v>#DIV/0!</v>
      </c>
      <c r="CW74" s="402">
        <f>CZ74 + ABS(CX74) + ABS(CY74)</f>
        <v>0</v>
      </c>
      <c r="CX74" s="402"/>
      <c r="CY74" s="402"/>
      <c r="CZ74" s="402"/>
      <c r="DA74" s="358"/>
      <c r="DB74" s="358"/>
      <c r="DC74" s="358"/>
      <c r="DD74" s="164" t="b">
        <v>0</v>
      </c>
      <c r="DE74" s="164" t="b">
        <v>0</v>
      </c>
      <c r="DF74" s="358" t="e">
        <f>(DA74-CR74)/CR74</f>
        <v>#DIV/0!</v>
      </c>
      <c r="DG74" s="358" t="e">
        <f>(CZ74-CO74)/CO74</f>
        <v>#DIV/0!</v>
      </c>
      <c r="DH74" s="402">
        <f>DK74 + ABS(DI74) + ABS(DJ74)</f>
        <v>0</v>
      </c>
      <c r="DI74" s="402"/>
      <c r="DJ74" s="402"/>
      <c r="DK74" s="402"/>
      <c r="DL74" s="358"/>
      <c r="DM74" s="358"/>
      <c r="DN74" s="358"/>
      <c r="DO74" s="164" t="b">
        <v>0</v>
      </c>
      <c r="DP74" s="164" t="b">
        <v>0</v>
      </c>
      <c r="DQ74" s="358" t="e">
        <f>(DL74-DA74)/DA74</f>
        <v>#DIV/0!</v>
      </c>
      <c r="DR74" s="358" t="e">
        <f>(DK74-CZ74)/CZ74</f>
        <v>#DIV/0!</v>
      </c>
      <c r="DS74" s="402">
        <f>DV74 + ABS(DT74) + ABS(DU74)</f>
        <v>0</v>
      </c>
      <c r="DT74" s="402"/>
      <c r="DU74" s="402"/>
      <c r="DV74" s="402"/>
      <c r="DW74" s="358"/>
      <c r="DX74" s="358"/>
      <c r="DY74" s="358"/>
      <c r="DZ74" s="164" t="b">
        <v>0</v>
      </c>
      <c r="EA74" s="164" t="b">
        <v>0</v>
      </c>
      <c r="EB74" s="358" t="e">
        <f>(DW74-DN74)/DN74</f>
        <v>#DIV/0!</v>
      </c>
      <c r="EC74" s="358" t="e">
        <f>(DV74-DK74)/DK74</f>
        <v>#DIV/0!</v>
      </c>
      <c r="ED74" s="402">
        <f>EG74 + ABS(EE74) + ABS(EF74)</f>
        <v>0</v>
      </c>
      <c r="EE74" s="402"/>
      <c r="EF74" s="402"/>
      <c r="EG74" s="402"/>
      <c r="EH74" s="358"/>
      <c r="EI74" s="358"/>
      <c r="EJ74" s="358"/>
      <c r="EK74" s="164" t="b">
        <v>0</v>
      </c>
      <c r="EL74" s="164" t="b">
        <v>0</v>
      </c>
      <c r="EM74" s="358" t="e">
        <f>(EH74-DW74)/DW74</f>
        <v>#DIV/0!</v>
      </c>
      <c r="EN74" s="358" t="e">
        <f>(EG74-DV74)/DV74</f>
        <v>#DIV/0!</v>
      </c>
      <c r="EO74" s="402">
        <f>ER74 + ABS(EP74) + ABS(EQ74)</f>
        <v>0</v>
      </c>
      <c r="EP74" s="402"/>
      <c r="EQ74" s="402"/>
      <c r="ER74" s="402"/>
      <c r="ES74" s="358"/>
      <c r="ET74" s="358"/>
      <c r="EU74" s="358"/>
      <c r="EV74" s="164" t="b">
        <v>0</v>
      </c>
      <c r="EW74" s="164" t="b">
        <v>0</v>
      </c>
      <c r="EX74" s="358" t="e">
        <f>(ES74-EJ74)/EJ74</f>
        <v>#DIV/0!</v>
      </c>
      <c r="EY74" s="358" t="e">
        <f>(ER74-EG74)/EG74</f>
        <v>#DIV/0!</v>
      </c>
      <c r="EZ74" s="449"/>
      <c r="FA74" s="449"/>
      <c r="FB74" s="449"/>
      <c r="FC74" s="449"/>
      <c r="FD74" s="449"/>
      <c r="FE74" s="449"/>
      <c r="FF74" s="449"/>
      <c r="FG74" s="449"/>
      <c r="FH74" s="449"/>
      <c r="FI74" s="449"/>
      <c r="FJ74" s="449"/>
      <c r="FK74" s="449"/>
      <c r="FL74" s="449"/>
      <c r="FM74" s="449"/>
      <c r="FN74" s="449"/>
      <c r="FO74" s="175"/>
      <c r="FP74" s="175"/>
      <c r="FQ74" s="801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</row>
    <row r="75" spans="2:221" ht="15">
      <c r="B75" s="175"/>
      <c r="C75" s="802" t="s">
        <v>356</v>
      </c>
      <c r="D75" s="154">
        <v>1450022</v>
      </c>
      <c r="E75" s="154">
        <v>366</v>
      </c>
      <c r="F75" s="154" t="s">
        <v>357</v>
      </c>
      <c r="G75" s="255" t="s">
        <v>358</v>
      </c>
      <c r="H75" s="171" t="s">
        <v>169</v>
      </c>
      <c r="I75" s="445" t="s">
        <v>170</v>
      </c>
      <c r="J75" s="154"/>
      <c r="K75" s="154"/>
      <c r="L75" s="154"/>
      <c r="M75" s="176"/>
      <c r="N75" s="418">
        <v>107</v>
      </c>
      <c r="O75" s="176"/>
      <c r="P75" s="203">
        <v>3.34</v>
      </c>
      <c r="Q75" s="203"/>
      <c r="R75" s="203">
        <v>66.16</v>
      </c>
      <c r="S75" s="176">
        <v>7</v>
      </c>
      <c r="T75" s="188" t="s">
        <v>171</v>
      </c>
      <c r="U75" s="176"/>
      <c r="V75" s="176"/>
      <c r="W75" s="176"/>
      <c r="X75" s="203">
        <f t="shared" si="6"/>
        <v>69.5</v>
      </c>
      <c r="Y75" s="203">
        <v>-3.34</v>
      </c>
      <c r="Z75" s="203">
        <v>0</v>
      </c>
      <c r="AA75" s="203">
        <v>66.16</v>
      </c>
      <c r="AB75" s="446">
        <v>7</v>
      </c>
      <c r="AC75" s="255" t="s">
        <v>172</v>
      </c>
      <c r="AD75" s="255" t="s">
        <v>173</v>
      </c>
      <c r="AE75" s="177" t="b">
        <v>1</v>
      </c>
      <c r="AF75" s="177" t="b">
        <v>1</v>
      </c>
      <c r="AG75" s="392">
        <f>(AB75-S75)/S75</f>
        <v>0</v>
      </c>
      <c r="AH75" s="392">
        <f>(AA75-R75)/R75</f>
        <v>0</v>
      </c>
      <c r="AI75" s="203">
        <f t="shared" si="8"/>
        <v>65.45</v>
      </c>
      <c r="AJ75" s="368">
        <v>-3.14</v>
      </c>
      <c r="AK75" s="368">
        <v>0</v>
      </c>
      <c r="AL75" s="368">
        <v>62.31</v>
      </c>
      <c r="AM75" s="1068">
        <v>6</v>
      </c>
      <c r="AN75" s="172">
        <v>46122</v>
      </c>
      <c r="AO75" s="171" t="s">
        <v>174</v>
      </c>
      <c r="AP75" s="861" t="b">
        <v>1</v>
      </c>
      <c r="AQ75" s="861" t="b">
        <v>1</v>
      </c>
      <c r="AR75" s="392">
        <f t="shared" si="7"/>
        <v>-0.14285714285714285</v>
      </c>
      <c r="AS75" s="392">
        <f>(AL75-AA75)/AA75</f>
        <v>-5.8192261185005964E-2</v>
      </c>
      <c r="AT75" s="203">
        <f t="shared" si="9"/>
        <v>0</v>
      </c>
      <c r="AU75" s="203"/>
      <c r="AV75" s="203"/>
      <c r="AW75" s="203"/>
      <c r="AX75" s="176"/>
      <c r="AY75" s="176"/>
      <c r="AZ75" s="176"/>
      <c r="BA75" s="177" t="b">
        <v>0</v>
      </c>
      <c r="BB75" s="177" t="b">
        <v>0</v>
      </c>
      <c r="BC75" s="176">
        <f>(AX75-AM75)/AM75</f>
        <v>-1</v>
      </c>
      <c r="BD75" s="176">
        <f>(AW75-AL75)/AL75</f>
        <v>-1</v>
      </c>
      <c r="BE75" s="203">
        <f>BH75 + ABS(BF75) + ABS(BG75)</f>
        <v>0</v>
      </c>
      <c r="BF75" s="203"/>
      <c r="BG75" s="203"/>
      <c r="BH75" s="203"/>
      <c r="BI75" s="176"/>
      <c r="BJ75" s="176"/>
      <c r="BK75" s="176"/>
      <c r="BL75" s="177" t="b">
        <v>0</v>
      </c>
      <c r="BM75" s="177" t="b">
        <v>0</v>
      </c>
      <c r="BN75" s="176" t="e">
        <f>(BI75-AZ75)/AZ75</f>
        <v>#DIV/0!</v>
      </c>
      <c r="BO75" s="176" t="e">
        <f>(BH75-AW75)/AW75</f>
        <v>#DIV/0!</v>
      </c>
      <c r="BP75" s="203">
        <f>BS75 + ABS(BQ75) + ABS(BR75)</f>
        <v>0</v>
      </c>
      <c r="BQ75" s="203"/>
      <c r="BR75" s="203"/>
      <c r="BS75" s="203"/>
      <c r="BT75" s="176"/>
      <c r="BU75" s="176"/>
      <c r="BV75" s="176"/>
      <c r="BW75" s="177" t="b">
        <v>0</v>
      </c>
      <c r="BX75" s="177" t="b">
        <v>0</v>
      </c>
      <c r="BY75" s="176" t="e">
        <f>(BT75-BI75)/BI75</f>
        <v>#DIV/0!</v>
      </c>
      <c r="BZ75" s="176" t="e">
        <f>(BS75-BH75)/BH75</f>
        <v>#DIV/0!</v>
      </c>
      <c r="CA75" s="203">
        <f>CD75 + ABS(CB75) + ABS(CC75)</f>
        <v>0</v>
      </c>
      <c r="CB75" s="203"/>
      <c r="CC75" s="203"/>
      <c r="CD75" s="203"/>
      <c r="CE75" s="176"/>
      <c r="CF75" s="176"/>
      <c r="CG75" s="176"/>
      <c r="CH75" s="177" t="b">
        <v>0</v>
      </c>
      <c r="CI75" s="177" t="b">
        <v>0</v>
      </c>
      <c r="CJ75" s="176" t="e">
        <f>(CE75-BV75)/BV75</f>
        <v>#DIV/0!</v>
      </c>
      <c r="CK75" s="176" t="e">
        <f>(CD75-BS75)/BS75</f>
        <v>#DIV/0!</v>
      </c>
      <c r="CL75" s="203">
        <f>CO75 + ABS(CM75) + ABS(CN75)</f>
        <v>0</v>
      </c>
      <c r="CM75" s="203"/>
      <c r="CN75" s="203"/>
      <c r="CO75" s="203"/>
      <c r="CP75" s="176"/>
      <c r="CQ75" s="176"/>
      <c r="CR75" s="176"/>
      <c r="CS75" s="177" t="b">
        <v>0</v>
      </c>
      <c r="CT75" s="177" t="b">
        <v>0</v>
      </c>
      <c r="CU75" s="176" t="e">
        <f>(CP75-CE75)/CE75</f>
        <v>#DIV/0!</v>
      </c>
      <c r="CV75" s="176" t="e">
        <f>(CO75-CD75)/CD75</f>
        <v>#DIV/0!</v>
      </c>
      <c r="CW75" s="203">
        <f>CZ75 + ABS(CX75) + ABS(CY75)</f>
        <v>0</v>
      </c>
      <c r="CX75" s="203"/>
      <c r="CY75" s="203"/>
      <c r="CZ75" s="203"/>
      <c r="DA75" s="176"/>
      <c r="DB75" s="176"/>
      <c r="DC75" s="176"/>
      <c r="DD75" s="177" t="b">
        <v>0</v>
      </c>
      <c r="DE75" s="177" t="b">
        <v>0</v>
      </c>
      <c r="DF75" s="176" t="e">
        <f>(DA75-CR75)/CR75</f>
        <v>#DIV/0!</v>
      </c>
      <c r="DG75" s="176" t="e">
        <f>(CZ75-CO75)/CO75</f>
        <v>#DIV/0!</v>
      </c>
      <c r="DH75" s="203">
        <f>DK75 + ABS(DI75) + ABS(DJ75)</f>
        <v>0</v>
      </c>
      <c r="DI75" s="203"/>
      <c r="DJ75" s="203"/>
      <c r="DK75" s="203"/>
      <c r="DL75" s="176"/>
      <c r="DM75" s="176"/>
      <c r="DN75" s="176"/>
      <c r="DO75" s="177" t="b">
        <v>0</v>
      </c>
      <c r="DP75" s="177" t="b">
        <v>0</v>
      </c>
      <c r="DQ75" s="176" t="e">
        <f>(DL75-DA75)/DA75</f>
        <v>#DIV/0!</v>
      </c>
      <c r="DR75" s="176" t="e">
        <f>(DK75-CZ75)/CZ75</f>
        <v>#DIV/0!</v>
      </c>
      <c r="DS75" s="203">
        <f>DV75 + ABS(DT75) + ABS(DU75)</f>
        <v>0</v>
      </c>
      <c r="DT75" s="203"/>
      <c r="DU75" s="203"/>
      <c r="DV75" s="203"/>
      <c r="DW75" s="176"/>
      <c r="DX75" s="176"/>
      <c r="DY75" s="176"/>
      <c r="DZ75" s="177" t="b">
        <v>0</v>
      </c>
      <c r="EA75" s="177" t="b">
        <v>0</v>
      </c>
      <c r="EB75" s="176" t="e">
        <f>(DW75-DN75)/DN75</f>
        <v>#DIV/0!</v>
      </c>
      <c r="EC75" s="176" t="e">
        <f>(DV75-DK75)/DK75</f>
        <v>#DIV/0!</v>
      </c>
      <c r="ED75" s="203">
        <f>EG75 + ABS(EE75) + ABS(EF75)</f>
        <v>0</v>
      </c>
      <c r="EE75" s="203"/>
      <c r="EF75" s="203"/>
      <c r="EG75" s="203"/>
      <c r="EH75" s="176"/>
      <c r="EI75" s="176"/>
      <c r="EJ75" s="176"/>
      <c r="EK75" s="177" t="b">
        <v>0</v>
      </c>
      <c r="EL75" s="177" t="b">
        <v>0</v>
      </c>
      <c r="EM75" s="176" t="e">
        <f>(EH75-DW75)/DW75</f>
        <v>#DIV/0!</v>
      </c>
      <c r="EN75" s="176" t="e">
        <f>(EG75-DV75)/DV75</f>
        <v>#DIV/0!</v>
      </c>
      <c r="EO75" s="203">
        <f>ER75 + ABS(EP75) + ABS(EQ75)</f>
        <v>0</v>
      </c>
      <c r="EP75" s="203"/>
      <c r="EQ75" s="203"/>
      <c r="ER75" s="203"/>
      <c r="ES75" s="176"/>
      <c r="ET75" s="176"/>
      <c r="EU75" s="176"/>
      <c r="EV75" s="177" t="b">
        <v>0</v>
      </c>
      <c r="EW75" s="177" t="b">
        <v>0</v>
      </c>
      <c r="EX75" s="176" t="e">
        <f>(ES75-EJ75)/EJ75</f>
        <v>#DIV/0!</v>
      </c>
      <c r="EY75" s="176" t="e">
        <f>(ER75-EG75)/EG75</f>
        <v>#DIV/0!</v>
      </c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801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</row>
    <row r="76" spans="2:221" ht="15">
      <c r="B76" s="175"/>
      <c r="C76" s="800" t="s">
        <v>359</v>
      </c>
      <c r="D76" s="357">
        <v>1450022</v>
      </c>
      <c r="E76" s="357">
        <v>359</v>
      </c>
      <c r="F76" s="357" t="s">
        <v>360</v>
      </c>
      <c r="G76" s="426" t="s">
        <v>361</v>
      </c>
      <c r="H76" s="148" t="s">
        <v>169</v>
      </c>
      <c r="I76" s="448" t="s">
        <v>170</v>
      </c>
      <c r="J76" s="357"/>
      <c r="K76" s="357"/>
      <c r="L76" s="357"/>
      <c r="M76" s="358"/>
      <c r="N76" s="359">
        <v>107</v>
      </c>
      <c r="O76" s="358"/>
      <c r="P76" s="402">
        <v>971.41</v>
      </c>
      <c r="Q76" s="402"/>
      <c r="R76" s="402">
        <v>19266.38</v>
      </c>
      <c r="S76" s="358">
        <v>708</v>
      </c>
      <c r="T76" s="188" t="s">
        <v>171</v>
      </c>
      <c r="U76" s="358"/>
      <c r="V76" s="358"/>
      <c r="W76" s="358"/>
      <c r="X76" s="402">
        <f t="shared" si="6"/>
        <v>19511.670000000002</v>
      </c>
      <c r="Y76" s="402">
        <v>-936.56</v>
      </c>
      <c r="Z76" s="402">
        <v>0</v>
      </c>
      <c r="AA76" s="402">
        <v>18575.11</v>
      </c>
      <c r="AB76" s="450">
        <v>684</v>
      </c>
      <c r="AC76" s="173" t="s">
        <v>172</v>
      </c>
      <c r="AD76" s="173" t="s">
        <v>173</v>
      </c>
      <c r="AE76" s="164" t="b">
        <v>1</v>
      </c>
      <c r="AF76" s="164" t="b">
        <v>1</v>
      </c>
      <c r="AG76" s="409">
        <f>(AB76-S76)/S76</f>
        <v>-3.3898305084745763E-2</v>
      </c>
      <c r="AH76" s="409">
        <f>(AA76-R76)/R76</f>
        <v>-3.5879599592658316E-2</v>
      </c>
      <c r="AI76" s="402">
        <f t="shared" si="8"/>
        <v>21803.17</v>
      </c>
      <c r="AJ76" s="364">
        <v>-1046.55</v>
      </c>
      <c r="AK76" s="364">
        <v>0</v>
      </c>
      <c r="AL76" s="364">
        <v>20756.62</v>
      </c>
      <c r="AM76" s="1069">
        <v>731</v>
      </c>
      <c r="AN76" s="407">
        <v>46122</v>
      </c>
      <c r="AO76" s="148" t="s">
        <v>174</v>
      </c>
      <c r="AP76" s="860" t="b">
        <v>1</v>
      </c>
      <c r="AQ76" s="860" t="b">
        <v>1</v>
      </c>
      <c r="AR76" s="409">
        <f t="shared" si="7"/>
        <v>6.8713450292397657E-2</v>
      </c>
      <c r="AS76" s="409">
        <f>(AL76-AA76)/AA76</f>
        <v>0.1174426423315931</v>
      </c>
      <c r="AT76" s="402">
        <f t="shared" si="9"/>
        <v>0</v>
      </c>
      <c r="AU76" s="402"/>
      <c r="AV76" s="402"/>
      <c r="AW76" s="402"/>
      <c r="AX76" s="358"/>
      <c r="AY76" s="358"/>
      <c r="AZ76" s="358"/>
      <c r="BA76" s="164" t="b">
        <v>0</v>
      </c>
      <c r="BB76" s="164" t="b">
        <v>0</v>
      </c>
      <c r="BC76" s="358">
        <f>(AX76-AM76)/AM76</f>
        <v>-1</v>
      </c>
      <c r="BD76" s="358">
        <f>(AW76-AL76)/AL76</f>
        <v>-1</v>
      </c>
      <c r="BE76" s="402">
        <f>BH76 + ABS(BF76) + ABS(BG76)</f>
        <v>0</v>
      </c>
      <c r="BF76" s="402"/>
      <c r="BG76" s="402"/>
      <c r="BH76" s="402"/>
      <c r="BI76" s="358"/>
      <c r="BJ76" s="358"/>
      <c r="BK76" s="358"/>
      <c r="BL76" s="164" t="b">
        <v>0</v>
      </c>
      <c r="BM76" s="164" t="b">
        <v>0</v>
      </c>
      <c r="BN76" s="358" t="e">
        <f>(BI76-AZ76)/AZ76</f>
        <v>#DIV/0!</v>
      </c>
      <c r="BO76" s="358" t="e">
        <f>(BH76-AW76)/AW76</f>
        <v>#DIV/0!</v>
      </c>
      <c r="BP76" s="402">
        <f>BS76 + ABS(BQ76) + ABS(BR76)</f>
        <v>0</v>
      </c>
      <c r="BQ76" s="402"/>
      <c r="BR76" s="402"/>
      <c r="BS76" s="402"/>
      <c r="BT76" s="358"/>
      <c r="BU76" s="358"/>
      <c r="BV76" s="358"/>
      <c r="BW76" s="164" t="b">
        <v>0</v>
      </c>
      <c r="BX76" s="164" t="b">
        <v>0</v>
      </c>
      <c r="BY76" s="358" t="e">
        <f>(BT76-BI76)/BI76</f>
        <v>#DIV/0!</v>
      </c>
      <c r="BZ76" s="358" t="e">
        <f>(BS76-BH76)/BH76</f>
        <v>#DIV/0!</v>
      </c>
      <c r="CA76" s="402">
        <f>CD76 + ABS(CB76) + ABS(CC76)</f>
        <v>0</v>
      </c>
      <c r="CB76" s="402"/>
      <c r="CC76" s="402"/>
      <c r="CD76" s="402"/>
      <c r="CE76" s="358"/>
      <c r="CF76" s="358"/>
      <c r="CG76" s="358"/>
      <c r="CH76" s="164" t="b">
        <v>0</v>
      </c>
      <c r="CI76" s="164" t="b">
        <v>0</v>
      </c>
      <c r="CJ76" s="358" t="e">
        <f>(CE76-BV76)/BV76</f>
        <v>#DIV/0!</v>
      </c>
      <c r="CK76" s="358" t="e">
        <f>(CD76-BS76)/BS76</f>
        <v>#DIV/0!</v>
      </c>
      <c r="CL76" s="402">
        <f>CO76 + ABS(CM76) + ABS(CN76)</f>
        <v>0</v>
      </c>
      <c r="CM76" s="402"/>
      <c r="CN76" s="402"/>
      <c r="CO76" s="402"/>
      <c r="CP76" s="358"/>
      <c r="CQ76" s="358"/>
      <c r="CR76" s="358"/>
      <c r="CS76" s="164" t="b">
        <v>0</v>
      </c>
      <c r="CT76" s="164" t="b">
        <v>0</v>
      </c>
      <c r="CU76" s="358" t="e">
        <f>(CP76-CE76)/CE76</f>
        <v>#DIV/0!</v>
      </c>
      <c r="CV76" s="358" t="e">
        <f>(CO76-CD76)/CD76</f>
        <v>#DIV/0!</v>
      </c>
      <c r="CW76" s="402">
        <f>CZ76 + ABS(CX76) + ABS(CY76)</f>
        <v>0</v>
      </c>
      <c r="CX76" s="402"/>
      <c r="CY76" s="402"/>
      <c r="CZ76" s="402"/>
      <c r="DA76" s="358"/>
      <c r="DB76" s="358"/>
      <c r="DC76" s="358"/>
      <c r="DD76" s="164" t="b">
        <v>0</v>
      </c>
      <c r="DE76" s="164" t="b">
        <v>0</v>
      </c>
      <c r="DF76" s="358" t="e">
        <f>(DA76-CR76)/CR76</f>
        <v>#DIV/0!</v>
      </c>
      <c r="DG76" s="358" t="e">
        <f>(CZ76-CO76)/CO76</f>
        <v>#DIV/0!</v>
      </c>
      <c r="DH76" s="402">
        <f>DK76 + ABS(DI76) + ABS(DJ76)</f>
        <v>0</v>
      </c>
      <c r="DI76" s="402"/>
      <c r="DJ76" s="402"/>
      <c r="DK76" s="402"/>
      <c r="DL76" s="358"/>
      <c r="DM76" s="358"/>
      <c r="DN76" s="358"/>
      <c r="DO76" s="164" t="b">
        <v>0</v>
      </c>
      <c r="DP76" s="164" t="b">
        <v>0</v>
      </c>
      <c r="DQ76" s="358" t="e">
        <f>(DL76-DA76)/DA76</f>
        <v>#DIV/0!</v>
      </c>
      <c r="DR76" s="358" t="e">
        <f>(DK76-CZ76)/CZ76</f>
        <v>#DIV/0!</v>
      </c>
      <c r="DS76" s="402">
        <f>DV76 + ABS(DT76) + ABS(DU76)</f>
        <v>0</v>
      </c>
      <c r="DT76" s="402"/>
      <c r="DU76" s="402"/>
      <c r="DV76" s="402"/>
      <c r="DW76" s="358"/>
      <c r="DX76" s="358"/>
      <c r="DY76" s="358"/>
      <c r="DZ76" s="164" t="b">
        <v>0</v>
      </c>
      <c r="EA76" s="164" t="b">
        <v>0</v>
      </c>
      <c r="EB76" s="358" t="e">
        <f>(DW76-DN76)/DN76</f>
        <v>#DIV/0!</v>
      </c>
      <c r="EC76" s="358" t="e">
        <f>(DV76-DK76)/DK76</f>
        <v>#DIV/0!</v>
      </c>
      <c r="ED76" s="402">
        <f>EG76 + ABS(EE76) + ABS(EF76)</f>
        <v>0</v>
      </c>
      <c r="EE76" s="402"/>
      <c r="EF76" s="402"/>
      <c r="EG76" s="402"/>
      <c r="EH76" s="358"/>
      <c r="EI76" s="358"/>
      <c r="EJ76" s="358"/>
      <c r="EK76" s="164" t="b">
        <v>0</v>
      </c>
      <c r="EL76" s="164" t="b">
        <v>0</v>
      </c>
      <c r="EM76" s="358" t="e">
        <f>(EH76-DW76)/DW76</f>
        <v>#DIV/0!</v>
      </c>
      <c r="EN76" s="358" t="e">
        <f>(EG76-DV76)/DV76</f>
        <v>#DIV/0!</v>
      </c>
      <c r="EO76" s="402">
        <f>ER76 + ABS(EP76) + ABS(EQ76)</f>
        <v>0</v>
      </c>
      <c r="EP76" s="402"/>
      <c r="EQ76" s="402"/>
      <c r="ER76" s="402"/>
      <c r="ES76" s="358"/>
      <c r="ET76" s="358"/>
      <c r="EU76" s="358"/>
      <c r="EV76" s="164" t="b">
        <v>0</v>
      </c>
      <c r="EW76" s="164" t="b">
        <v>0</v>
      </c>
      <c r="EX76" s="358" t="e">
        <f>(ES76-EJ76)/EJ76</f>
        <v>#DIV/0!</v>
      </c>
      <c r="EY76" s="358" t="e">
        <f>(ER76-EG76)/EG76</f>
        <v>#DIV/0!</v>
      </c>
      <c r="EZ76" s="449"/>
      <c r="FA76" s="449"/>
      <c r="FB76" s="449"/>
      <c r="FC76" s="449"/>
      <c r="FD76" s="449"/>
      <c r="FE76" s="449"/>
      <c r="FF76" s="449"/>
      <c r="FG76" s="449"/>
      <c r="FH76" s="449"/>
      <c r="FI76" s="449"/>
      <c r="FJ76" s="449"/>
      <c r="FK76" s="449"/>
      <c r="FL76" s="449"/>
      <c r="FM76" s="449"/>
      <c r="FN76" s="449"/>
      <c r="FO76" s="175"/>
      <c r="FP76" s="175"/>
      <c r="FQ76" s="801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</row>
    <row r="77" spans="2:221" ht="15">
      <c r="B77" s="175"/>
      <c r="C77" s="802" t="s">
        <v>362</v>
      </c>
      <c r="D77" s="154">
        <v>1450022</v>
      </c>
      <c r="E77" s="154">
        <v>351</v>
      </c>
      <c r="F77" s="154" t="s">
        <v>363</v>
      </c>
      <c r="G77" s="255" t="s">
        <v>364</v>
      </c>
      <c r="H77" s="171" t="s">
        <v>169</v>
      </c>
      <c r="I77" s="445" t="s">
        <v>170</v>
      </c>
      <c r="J77" s="154"/>
      <c r="K77" s="154"/>
      <c r="L77" s="154"/>
      <c r="M77" s="176"/>
      <c r="N77" s="418">
        <v>107</v>
      </c>
      <c r="O77" s="176"/>
      <c r="P77" s="203">
        <v>2.6</v>
      </c>
      <c r="Q77" s="203"/>
      <c r="R77" s="203">
        <v>51.52</v>
      </c>
      <c r="S77" s="354"/>
      <c r="T77" s="188" t="s">
        <v>171</v>
      </c>
      <c r="U77" s="176"/>
      <c r="V77" s="176"/>
      <c r="W77" s="176"/>
      <c r="X77" s="203">
        <f t="shared" si="6"/>
        <v>54.120000000000005</v>
      </c>
      <c r="Y77" s="203">
        <v>-2.6</v>
      </c>
      <c r="Z77" s="203">
        <v>0</v>
      </c>
      <c r="AA77" s="203">
        <v>51.52</v>
      </c>
      <c r="AB77" s="446">
        <v>0</v>
      </c>
      <c r="AC77" s="255" t="s">
        <v>172</v>
      </c>
      <c r="AD77" s="255" t="s">
        <v>173</v>
      </c>
      <c r="AE77" s="177" t="b">
        <v>1</v>
      </c>
      <c r="AF77" s="177" t="b">
        <v>1</v>
      </c>
      <c r="AG77" s="392">
        <v>0</v>
      </c>
      <c r="AH77" s="392">
        <f>(AA77-R77)/R77</f>
        <v>0</v>
      </c>
      <c r="AI77" s="203">
        <f t="shared" si="8"/>
        <v>62.75</v>
      </c>
      <c r="AJ77" s="368">
        <v>-3.01</v>
      </c>
      <c r="AK77" s="368">
        <v>0</v>
      </c>
      <c r="AL77" s="368">
        <v>59.74</v>
      </c>
      <c r="AM77" s="1068">
        <v>0</v>
      </c>
      <c r="AN77" s="172">
        <v>46122</v>
      </c>
      <c r="AO77" s="171" t="s">
        <v>174</v>
      </c>
      <c r="AP77" s="861" t="b">
        <v>1</v>
      </c>
      <c r="AQ77" s="861" t="b">
        <v>1</v>
      </c>
      <c r="AR77" s="392">
        <v>0</v>
      </c>
      <c r="AS77" s="392">
        <f>(AL77-AA77)/AA77</f>
        <v>0.15954968944099376</v>
      </c>
      <c r="AT77" s="203">
        <f t="shared" si="9"/>
        <v>0</v>
      </c>
      <c r="AU77" s="203"/>
      <c r="AV77" s="203"/>
      <c r="AW77" s="203"/>
      <c r="AX77" s="176"/>
      <c r="AY77" s="176"/>
      <c r="AZ77" s="176"/>
      <c r="BA77" s="177" t="b">
        <v>0</v>
      </c>
      <c r="BB77" s="177" t="b">
        <v>0</v>
      </c>
      <c r="BC77" s="176" t="e">
        <f>(AX77-AM77)/AM77</f>
        <v>#DIV/0!</v>
      </c>
      <c r="BD77" s="176">
        <f>(AW77-AL77)/AL77</f>
        <v>-1</v>
      </c>
      <c r="BE77" s="203">
        <f>BH77 + ABS(BF77) + ABS(BG77)</f>
        <v>0</v>
      </c>
      <c r="BF77" s="203"/>
      <c r="BG77" s="203"/>
      <c r="BH77" s="203"/>
      <c r="BI77" s="176"/>
      <c r="BJ77" s="176"/>
      <c r="BK77" s="176"/>
      <c r="BL77" s="177" t="b">
        <v>0</v>
      </c>
      <c r="BM77" s="177" t="b">
        <v>0</v>
      </c>
      <c r="BN77" s="176" t="e">
        <f>(BI77-AZ77)/AZ77</f>
        <v>#DIV/0!</v>
      </c>
      <c r="BO77" s="176" t="e">
        <f>(BH77-AW77)/AW77</f>
        <v>#DIV/0!</v>
      </c>
      <c r="BP77" s="203">
        <f>BS77 + ABS(BQ77) + ABS(BR77)</f>
        <v>0</v>
      </c>
      <c r="BQ77" s="203"/>
      <c r="BR77" s="203"/>
      <c r="BS77" s="203"/>
      <c r="BT77" s="176"/>
      <c r="BU77" s="176"/>
      <c r="BV77" s="176"/>
      <c r="BW77" s="177" t="b">
        <v>0</v>
      </c>
      <c r="BX77" s="177" t="b">
        <v>0</v>
      </c>
      <c r="BY77" s="176" t="e">
        <f>(BT77-BI77)/BI77</f>
        <v>#DIV/0!</v>
      </c>
      <c r="BZ77" s="176" t="e">
        <f>(BS77-BH77)/BH77</f>
        <v>#DIV/0!</v>
      </c>
      <c r="CA77" s="203">
        <f>CD77 + ABS(CB77) + ABS(CC77)</f>
        <v>0</v>
      </c>
      <c r="CB77" s="203"/>
      <c r="CC77" s="203"/>
      <c r="CD77" s="203"/>
      <c r="CE77" s="176"/>
      <c r="CF77" s="176"/>
      <c r="CG77" s="176"/>
      <c r="CH77" s="177" t="b">
        <v>0</v>
      </c>
      <c r="CI77" s="177" t="b">
        <v>0</v>
      </c>
      <c r="CJ77" s="176" t="e">
        <f>(CE77-BV77)/BV77</f>
        <v>#DIV/0!</v>
      </c>
      <c r="CK77" s="176" t="e">
        <f>(CD77-BS77)/BS77</f>
        <v>#DIV/0!</v>
      </c>
      <c r="CL77" s="203">
        <f>CO77 + ABS(CM77) + ABS(CN77)</f>
        <v>0</v>
      </c>
      <c r="CM77" s="203"/>
      <c r="CN77" s="203"/>
      <c r="CO77" s="203"/>
      <c r="CP77" s="176"/>
      <c r="CQ77" s="176"/>
      <c r="CR77" s="176"/>
      <c r="CS77" s="177" t="b">
        <v>0</v>
      </c>
      <c r="CT77" s="177" t="b">
        <v>0</v>
      </c>
      <c r="CU77" s="176" t="e">
        <f>(CP77-CE77)/CE77</f>
        <v>#DIV/0!</v>
      </c>
      <c r="CV77" s="176" t="e">
        <f>(CO77-CD77)/CD77</f>
        <v>#DIV/0!</v>
      </c>
      <c r="CW77" s="203">
        <f>CZ77 + ABS(CX77) + ABS(CY77)</f>
        <v>0</v>
      </c>
      <c r="CX77" s="203"/>
      <c r="CY77" s="203"/>
      <c r="CZ77" s="203"/>
      <c r="DA77" s="176"/>
      <c r="DB77" s="176"/>
      <c r="DC77" s="176"/>
      <c r="DD77" s="177" t="b">
        <v>0</v>
      </c>
      <c r="DE77" s="177" t="b">
        <v>0</v>
      </c>
      <c r="DF77" s="176" t="e">
        <f>(DA77-CR77)/CR77</f>
        <v>#DIV/0!</v>
      </c>
      <c r="DG77" s="176" t="e">
        <f>(CZ77-CO77)/CO77</f>
        <v>#DIV/0!</v>
      </c>
      <c r="DH77" s="203">
        <f>DK77 + ABS(DI77) + ABS(DJ77)</f>
        <v>0</v>
      </c>
      <c r="DI77" s="203"/>
      <c r="DJ77" s="203"/>
      <c r="DK77" s="203"/>
      <c r="DL77" s="176"/>
      <c r="DM77" s="176"/>
      <c r="DN77" s="176"/>
      <c r="DO77" s="177" t="b">
        <v>0</v>
      </c>
      <c r="DP77" s="177" t="b">
        <v>0</v>
      </c>
      <c r="DQ77" s="176" t="e">
        <f>(DL77-DA77)/DA77</f>
        <v>#DIV/0!</v>
      </c>
      <c r="DR77" s="176" t="e">
        <f>(DK77-CZ77)/CZ77</f>
        <v>#DIV/0!</v>
      </c>
      <c r="DS77" s="203">
        <f>DV77 + ABS(DT77) + ABS(DU77)</f>
        <v>0</v>
      </c>
      <c r="DT77" s="203"/>
      <c r="DU77" s="203"/>
      <c r="DV77" s="203"/>
      <c r="DW77" s="176"/>
      <c r="DX77" s="176"/>
      <c r="DY77" s="176"/>
      <c r="DZ77" s="177" t="b">
        <v>0</v>
      </c>
      <c r="EA77" s="177" t="b">
        <v>0</v>
      </c>
      <c r="EB77" s="176" t="e">
        <f>(DW77-DN77)/DN77</f>
        <v>#DIV/0!</v>
      </c>
      <c r="EC77" s="176" t="e">
        <f>(DV77-DK77)/DK77</f>
        <v>#DIV/0!</v>
      </c>
      <c r="ED77" s="203">
        <f>EG77 + ABS(EE77) + ABS(EF77)</f>
        <v>0</v>
      </c>
      <c r="EE77" s="203"/>
      <c r="EF77" s="203"/>
      <c r="EG77" s="203"/>
      <c r="EH77" s="176"/>
      <c r="EI77" s="176"/>
      <c r="EJ77" s="176"/>
      <c r="EK77" s="177" t="b">
        <v>0</v>
      </c>
      <c r="EL77" s="177" t="b">
        <v>0</v>
      </c>
      <c r="EM77" s="176" t="e">
        <f>(EH77-DW77)/DW77</f>
        <v>#DIV/0!</v>
      </c>
      <c r="EN77" s="176" t="e">
        <f>(EG77-DV77)/DV77</f>
        <v>#DIV/0!</v>
      </c>
      <c r="EO77" s="203">
        <f>ER77 + ABS(EP77) + ABS(EQ77)</f>
        <v>0</v>
      </c>
      <c r="EP77" s="203"/>
      <c r="EQ77" s="203"/>
      <c r="ER77" s="203"/>
      <c r="ES77" s="176"/>
      <c r="ET77" s="176"/>
      <c r="EU77" s="176"/>
      <c r="EV77" s="177" t="b">
        <v>0</v>
      </c>
      <c r="EW77" s="177" t="b">
        <v>0</v>
      </c>
      <c r="EX77" s="176" t="e">
        <f>(ES77-EJ77)/EJ77</f>
        <v>#DIV/0!</v>
      </c>
      <c r="EY77" s="176" t="e">
        <f>(ER77-EG77)/EG77</f>
        <v>#DIV/0!</v>
      </c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801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</row>
    <row r="78" spans="2:221" ht="15">
      <c r="B78" s="175"/>
      <c r="C78" s="800" t="s">
        <v>365</v>
      </c>
      <c r="D78" s="357">
        <v>1450022</v>
      </c>
      <c r="E78" s="357">
        <v>151</v>
      </c>
      <c r="F78" s="357" t="s">
        <v>366</v>
      </c>
      <c r="G78" s="426" t="s">
        <v>367</v>
      </c>
      <c r="H78" s="148" t="s">
        <v>169</v>
      </c>
      <c r="I78" s="448" t="s">
        <v>170</v>
      </c>
      <c r="J78" s="357"/>
      <c r="K78" s="357"/>
      <c r="L78" s="357"/>
      <c r="M78" s="358"/>
      <c r="N78" s="359">
        <v>107</v>
      </c>
      <c r="O78" s="358"/>
      <c r="P78" s="402">
        <v>4160.53</v>
      </c>
      <c r="Q78" s="402"/>
      <c r="R78" s="402">
        <v>82517.240000000005</v>
      </c>
      <c r="S78" s="358">
        <v>2904</v>
      </c>
      <c r="T78" s="188" t="s">
        <v>171</v>
      </c>
      <c r="U78" s="358"/>
      <c r="V78" s="358"/>
      <c r="W78" s="358"/>
      <c r="X78" s="402">
        <f t="shared" si="6"/>
        <v>101472.45999999999</v>
      </c>
      <c r="Y78" s="402">
        <v>-4870.68</v>
      </c>
      <c r="Z78" s="402">
        <v>0</v>
      </c>
      <c r="AA78" s="402">
        <v>96601.78</v>
      </c>
      <c r="AB78" s="450">
        <v>3393</v>
      </c>
      <c r="AC78" s="173" t="s">
        <v>172</v>
      </c>
      <c r="AD78" s="173" t="s">
        <v>173</v>
      </c>
      <c r="AE78" s="164" t="b">
        <v>1</v>
      </c>
      <c r="AF78" s="164" t="b">
        <v>1</v>
      </c>
      <c r="AG78" s="409">
        <f>(AB78-S78)/S78</f>
        <v>0.16838842975206611</v>
      </c>
      <c r="AH78" s="409">
        <f>(AA78-R78)/R78</f>
        <v>0.17068602876198952</v>
      </c>
      <c r="AI78" s="402">
        <f t="shared" si="8"/>
        <v>79663.23</v>
      </c>
      <c r="AJ78" s="364">
        <v>-3823.84</v>
      </c>
      <c r="AK78" s="364">
        <v>0</v>
      </c>
      <c r="AL78" s="364">
        <v>75839.39</v>
      </c>
      <c r="AM78" s="1069">
        <v>2611</v>
      </c>
      <c r="AN78" s="407">
        <v>46122</v>
      </c>
      <c r="AO78" s="148" t="s">
        <v>174</v>
      </c>
      <c r="AP78" s="860" t="b">
        <v>1</v>
      </c>
      <c r="AQ78" s="860" t="b">
        <v>1</v>
      </c>
      <c r="AR78" s="409">
        <f t="shared" si="7"/>
        <v>-0.23047450633657529</v>
      </c>
      <c r="AS78" s="409">
        <f>(AL78-AA78)/AA78</f>
        <v>-0.21492761313507888</v>
      </c>
      <c r="AT78" s="402">
        <f t="shared" si="9"/>
        <v>0</v>
      </c>
      <c r="AU78" s="402"/>
      <c r="AV78" s="402"/>
      <c r="AW78" s="402"/>
      <c r="AX78" s="358"/>
      <c r="AY78" s="358"/>
      <c r="AZ78" s="358"/>
      <c r="BA78" s="164" t="b">
        <v>0</v>
      </c>
      <c r="BB78" s="164" t="b">
        <v>0</v>
      </c>
      <c r="BC78" s="358">
        <f>(AX78-AM78)/AM78</f>
        <v>-1</v>
      </c>
      <c r="BD78" s="358">
        <f>(AW78-AL78)/AL78</f>
        <v>-1</v>
      </c>
      <c r="BE78" s="402">
        <f>BH78 + ABS(BF78) + ABS(BG78)</f>
        <v>0</v>
      </c>
      <c r="BF78" s="402"/>
      <c r="BG78" s="402"/>
      <c r="BH78" s="402"/>
      <c r="BI78" s="358"/>
      <c r="BJ78" s="358"/>
      <c r="BK78" s="358"/>
      <c r="BL78" s="164" t="b">
        <v>0</v>
      </c>
      <c r="BM78" s="164" t="b">
        <v>0</v>
      </c>
      <c r="BN78" s="358" t="e">
        <f>(BI78-AZ78)/AZ78</f>
        <v>#DIV/0!</v>
      </c>
      <c r="BO78" s="358" t="e">
        <f>(BH78-AW78)/AW78</f>
        <v>#DIV/0!</v>
      </c>
      <c r="BP78" s="402">
        <f>BS78 + ABS(BQ78) + ABS(BR78)</f>
        <v>0</v>
      </c>
      <c r="BQ78" s="402"/>
      <c r="BR78" s="402"/>
      <c r="BS78" s="402"/>
      <c r="BT78" s="358"/>
      <c r="BU78" s="358"/>
      <c r="BV78" s="358"/>
      <c r="BW78" s="164" t="b">
        <v>0</v>
      </c>
      <c r="BX78" s="164" t="b">
        <v>0</v>
      </c>
      <c r="BY78" s="358" t="e">
        <f>(BT78-BI78)/BI78</f>
        <v>#DIV/0!</v>
      </c>
      <c r="BZ78" s="358" t="e">
        <f>(BS78-BH78)/BH78</f>
        <v>#DIV/0!</v>
      </c>
      <c r="CA78" s="402">
        <f>CD78 + ABS(CB78) + ABS(CC78)</f>
        <v>0</v>
      </c>
      <c r="CB78" s="402"/>
      <c r="CC78" s="402"/>
      <c r="CD78" s="402"/>
      <c r="CE78" s="358"/>
      <c r="CF78" s="358"/>
      <c r="CG78" s="358"/>
      <c r="CH78" s="164" t="b">
        <v>0</v>
      </c>
      <c r="CI78" s="164" t="b">
        <v>0</v>
      </c>
      <c r="CJ78" s="358" t="e">
        <f>(CE78-BV78)/BV78</f>
        <v>#DIV/0!</v>
      </c>
      <c r="CK78" s="358" t="e">
        <f>(CD78-BS78)/BS78</f>
        <v>#DIV/0!</v>
      </c>
      <c r="CL78" s="402">
        <f>CO78 + ABS(CM78) + ABS(CN78)</f>
        <v>0</v>
      </c>
      <c r="CM78" s="402"/>
      <c r="CN78" s="402"/>
      <c r="CO78" s="402"/>
      <c r="CP78" s="358"/>
      <c r="CQ78" s="358"/>
      <c r="CR78" s="358"/>
      <c r="CS78" s="164" t="b">
        <v>0</v>
      </c>
      <c r="CT78" s="164" t="b">
        <v>0</v>
      </c>
      <c r="CU78" s="358" t="e">
        <f>(CP78-CE78)/CE78</f>
        <v>#DIV/0!</v>
      </c>
      <c r="CV78" s="358" t="e">
        <f>(CO78-CD78)/CD78</f>
        <v>#DIV/0!</v>
      </c>
      <c r="CW78" s="402">
        <f>CZ78 + ABS(CX78) + ABS(CY78)</f>
        <v>0</v>
      </c>
      <c r="CX78" s="402"/>
      <c r="CY78" s="402"/>
      <c r="CZ78" s="402"/>
      <c r="DA78" s="358"/>
      <c r="DB78" s="358"/>
      <c r="DC78" s="358"/>
      <c r="DD78" s="164" t="b">
        <v>0</v>
      </c>
      <c r="DE78" s="164" t="b">
        <v>0</v>
      </c>
      <c r="DF78" s="358" t="e">
        <f>(DA78-CR78)/CR78</f>
        <v>#DIV/0!</v>
      </c>
      <c r="DG78" s="358" t="e">
        <f>(CZ78-CO78)/CO78</f>
        <v>#DIV/0!</v>
      </c>
      <c r="DH78" s="402">
        <f>DK78 + ABS(DI78) + ABS(DJ78)</f>
        <v>0</v>
      </c>
      <c r="DI78" s="402"/>
      <c r="DJ78" s="402"/>
      <c r="DK78" s="402"/>
      <c r="DL78" s="358"/>
      <c r="DM78" s="358"/>
      <c r="DN78" s="358"/>
      <c r="DO78" s="164" t="b">
        <v>0</v>
      </c>
      <c r="DP78" s="164" t="b">
        <v>0</v>
      </c>
      <c r="DQ78" s="358" t="e">
        <f>(DL78-DA78)/DA78</f>
        <v>#DIV/0!</v>
      </c>
      <c r="DR78" s="358" t="e">
        <f>(DK78-CZ78)/CZ78</f>
        <v>#DIV/0!</v>
      </c>
      <c r="DS78" s="402">
        <f>DV78 + ABS(DT78) + ABS(DU78)</f>
        <v>0</v>
      </c>
      <c r="DT78" s="402"/>
      <c r="DU78" s="402"/>
      <c r="DV78" s="402"/>
      <c r="DW78" s="358"/>
      <c r="DX78" s="358"/>
      <c r="DY78" s="358"/>
      <c r="DZ78" s="164" t="b">
        <v>0</v>
      </c>
      <c r="EA78" s="164" t="b">
        <v>0</v>
      </c>
      <c r="EB78" s="358" t="e">
        <f>(DW78-DN78)/DN78</f>
        <v>#DIV/0!</v>
      </c>
      <c r="EC78" s="358" t="e">
        <f>(DV78-DK78)/DK78</f>
        <v>#DIV/0!</v>
      </c>
      <c r="ED78" s="402">
        <f>EG78 + ABS(EE78) + ABS(EF78)</f>
        <v>0</v>
      </c>
      <c r="EE78" s="402"/>
      <c r="EF78" s="402"/>
      <c r="EG78" s="402"/>
      <c r="EH78" s="358"/>
      <c r="EI78" s="358"/>
      <c r="EJ78" s="358"/>
      <c r="EK78" s="164" t="b">
        <v>0</v>
      </c>
      <c r="EL78" s="164" t="b">
        <v>0</v>
      </c>
      <c r="EM78" s="358" t="e">
        <f>(EH78-DW78)/DW78</f>
        <v>#DIV/0!</v>
      </c>
      <c r="EN78" s="358" t="e">
        <f>(EG78-DV78)/DV78</f>
        <v>#DIV/0!</v>
      </c>
      <c r="EO78" s="402">
        <f>ER78 + ABS(EP78) + ABS(EQ78)</f>
        <v>0</v>
      </c>
      <c r="EP78" s="402"/>
      <c r="EQ78" s="402"/>
      <c r="ER78" s="402"/>
      <c r="ES78" s="358"/>
      <c r="ET78" s="358"/>
      <c r="EU78" s="358"/>
      <c r="EV78" s="164" t="b">
        <v>0</v>
      </c>
      <c r="EW78" s="164" t="b">
        <v>0</v>
      </c>
      <c r="EX78" s="358" t="e">
        <f>(ES78-EJ78)/EJ78</f>
        <v>#DIV/0!</v>
      </c>
      <c r="EY78" s="358" t="e">
        <f>(ER78-EG78)/EG78</f>
        <v>#DIV/0!</v>
      </c>
      <c r="EZ78" s="449"/>
      <c r="FA78" s="449"/>
      <c r="FB78" s="449"/>
      <c r="FC78" s="449"/>
      <c r="FD78" s="449"/>
      <c r="FE78" s="449"/>
      <c r="FF78" s="449"/>
      <c r="FG78" s="449"/>
      <c r="FH78" s="449"/>
      <c r="FI78" s="449"/>
      <c r="FJ78" s="449"/>
      <c r="FK78" s="449"/>
      <c r="FL78" s="449"/>
      <c r="FM78" s="449"/>
      <c r="FN78" s="449"/>
      <c r="FO78" s="175"/>
      <c r="FP78" s="175"/>
      <c r="FQ78" s="801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</row>
    <row r="79" spans="2:221" ht="15">
      <c r="B79" s="175"/>
      <c r="C79" s="802" t="s">
        <v>368</v>
      </c>
      <c r="D79" s="154">
        <v>1450022</v>
      </c>
      <c r="E79" s="154">
        <v>306</v>
      </c>
      <c r="F79" s="154" t="s">
        <v>369</v>
      </c>
      <c r="G79" s="255" t="s">
        <v>370</v>
      </c>
      <c r="H79" s="171" t="s">
        <v>169</v>
      </c>
      <c r="I79" s="445" t="s">
        <v>170</v>
      </c>
      <c r="J79" s="154"/>
      <c r="K79" s="154"/>
      <c r="L79" s="154"/>
      <c r="M79" s="176"/>
      <c r="N79" s="418">
        <v>107</v>
      </c>
      <c r="O79" s="176"/>
      <c r="P79" s="203">
        <v>3305.16</v>
      </c>
      <c r="Q79" s="203"/>
      <c r="R79" s="203">
        <v>65552.42</v>
      </c>
      <c r="S79" s="176">
        <v>2315</v>
      </c>
      <c r="T79" s="188" t="s">
        <v>171</v>
      </c>
      <c r="U79" s="176"/>
      <c r="V79" s="176"/>
      <c r="W79" s="176"/>
      <c r="X79" s="203">
        <f t="shared" si="6"/>
        <v>77207.959999999992</v>
      </c>
      <c r="Y79" s="203">
        <v>-3705.98</v>
      </c>
      <c r="Z79" s="203">
        <v>0</v>
      </c>
      <c r="AA79" s="203">
        <v>73501.98</v>
      </c>
      <c r="AB79" s="446">
        <v>2591</v>
      </c>
      <c r="AC79" s="255" t="s">
        <v>172</v>
      </c>
      <c r="AD79" s="255" t="s">
        <v>173</v>
      </c>
      <c r="AE79" s="177" t="b">
        <v>1</v>
      </c>
      <c r="AF79" s="177" t="b">
        <v>1</v>
      </c>
      <c r="AG79" s="392">
        <f>(AB79-S79)/S79</f>
        <v>0.11922246220302375</v>
      </c>
      <c r="AH79" s="392">
        <f>(AA79-R79)/R79</f>
        <v>0.12127027499518703</v>
      </c>
      <c r="AI79" s="203">
        <f t="shared" si="8"/>
        <v>63532.32</v>
      </c>
      <c r="AJ79" s="368">
        <v>-3049.55</v>
      </c>
      <c r="AK79" s="368">
        <v>0</v>
      </c>
      <c r="AL79" s="368">
        <v>60482.77</v>
      </c>
      <c r="AM79" s="1068">
        <v>2060</v>
      </c>
      <c r="AN79" s="172">
        <v>46122</v>
      </c>
      <c r="AO79" s="171" t="s">
        <v>174</v>
      </c>
      <c r="AP79" s="861" t="b">
        <v>1</v>
      </c>
      <c r="AQ79" s="861" t="b">
        <v>1</v>
      </c>
      <c r="AR79" s="392">
        <f t="shared" si="7"/>
        <v>-0.20494017753763025</v>
      </c>
      <c r="AS79" s="392">
        <f>(AL79-AA79)/AA79</f>
        <v>-0.17712733724996252</v>
      </c>
      <c r="AT79" s="203">
        <f t="shared" si="9"/>
        <v>0</v>
      </c>
      <c r="AU79" s="203"/>
      <c r="AV79" s="203"/>
      <c r="AW79" s="203"/>
      <c r="AX79" s="176"/>
      <c r="AY79" s="176"/>
      <c r="AZ79" s="176"/>
      <c r="BA79" s="177" t="b">
        <v>0</v>
      </c>
      <c r="BB79" s="177" t="b">
        <v>0</v>
      </c>
      <c r="BC79" s="176">
        <f>(AX79-AM79)/AM79</f>
        <v>-1</v>
      </c>
      <c r="BD79" s="176">
        <f>(AW79-AL79)/AL79</f>
        <v>-1</v>
      </c>
      <c r="BE79" s="203">
        <f>BH79 + ABS(BF79) + ABS(BG79)</f>
        <v>0</v>
      </c>
      <c r="BF79" s="203"/>
      <c r="BG79" s="203"/>
      <c r="BH79" s="203"/>
      <c r="BI79" s="176"/>
      <c r="BJ79" s="176"/>
      <c r="BK79" s="176"/>
      <c r="BL79" s="177" t="b">
        <v>0</v>
      </c>
      <c r="BM79" s="177" t="b">
        <v>0</v>
      </c>
      <c r="BN79" s="176" t="e">
        <f>(BI79-AZ79)/AZ79</f>
        <v>#DIV/0!</v>
      </c>
      <c r="BO79" s="176" t="e">
        <f>(BH79-AW79)/AW79</f>
        <v>#DIV/0!</v>
      </c>
      <c r="BP79" s="203">
        <f>BS79 + ABS(BQ79) + ABS(BR79)</f>
        <v>0</v>
      </c>
      <c r="BQ79" s="203"/>
      <c r="BR79" s="203"/>
      <c r="BS79" s="203"/>
      <c r="BT79" s="176"/>
      <c r="BU79" s="176"/>
      <c r="BV79" s="176"/>
      <c r="BW79" s="177" t="b">
        <v>0</v>
      </c>
      <c r="BX79" s="177" t="b">
        <v>0</v>
      </c>
      <c r="BY79" s="176" t="e">
        <f>(BT79-BI79)/BI79</f>
        <v>#DIV/0!</v>
      </c>
      <c r="BZ79" s="176" t="e">
        <f>(BS79-BH79)/BH79</f>
        <v>#DIV/0!</v>
      </c>
      <c r="CA79" s="203">
        <f>CD79 + ABS(CB79) + ABS(CC79)</f>
        <v>0</v>
      </c>
      <c r="CB79" s="203"/>
      <c r="CC79" s="203"/>
      <c r="CD79" s="203"/>
      <c r="CE79" s="176"/>
      <c r="CF79" s="176"/>
      <c r="CG79" s="176"/>
      <c r="CH79" s="177" t="b">
        <v>0</v>
      </c>
      <c r="CI79" s="177" t="b">
        <v>0</v>
      </c>
      <c r="CJ79" s="176" t="e">
        <f>(CE79-BV79)/BV79</f>
        <v>#DIV/0!</v>
      </c>
      <c r="CK79" s="176" t="e">
        <f>(CD79-BS79)/BS79</f>
        <v>#DIV/0!</v>
      </c>
      <c r="CL79" s="203">
        <f>CO79 + ABS(CM79) + ABS(CN79)</f>
        <v>0</v>
      </c>
      <c r="CM79" s="203"/>
      <c r="CN79" s="203"/>
      <c r="CO79" s="203"/>
      <c r="CP79" s="176"/>
      <c r="CQ79" s="176"/>
      <c r="CR79" s="176"/>
      <c r="CS79" s="177" t="b">
        <v>0</v>
      </c>
      <c r="CT79" s="177" t="b">
        <v>0</v>
      </c>
      <c r="CU79" s="176" t="e">
        <f>(CP79-CE79)/CE79</f>
        <v>#DIV/0!</v>
      </c>
      <c r="CV79" s="176" t="e">
        <f>(CO79-CD79)/CD79</f>
        <v>#DIV/0!</v>
      </c>
      <c r="CW79" s="203">
        <f>CZ79 + ABS(CX79) + ABS(CY79)</f>
        <v>0</v>
      </c>
      <c r="CX79" s="203"/>
      <c r="CY79" s="203"/>
      <c r="CZ79" s="203"/>
      <c r="DA79" s="176"/>
      <c r="DB79" s="176"/>
      <c r="DC79" s="176"/>
      <c r="DD79" s="177" t="b">
        <v>0</v>
      </c>
      <c r="DE79" s="177" t="b">
        <v>0</v>
      </c>
      <c r="DF79" s="176" t="e">
        <f>(DA79-CR79)/CR79</f>
        <v>#DIV/0!</v>
      </c>
      <c r="DG79" s="176" t="e">
        <f>(CZ79-CO79)/CO79</f>
        <v>#DIV/0!</v>
      </c>
      <c r="DH79" s="203">
        <f>DK79 + ABS(DI79) + ABS(DJ79)</f>
        <v>0</v>
      </c>
      <c r="DI79" s="203"/>
      <c r="DJ79" s="203"/>
      <c r="DK79" s="203"/>
      <c r="DL79" s="176"/>
      <c r="DM79" s="176"/>
      <c r="DN79" s="176"/>
      <c r="DO79" s="177" t="b">
        <v>0</v>
      </c>
      <c r="DP79" s="177" t="b">
        <v>0</v>
      </c>
      <c r="DQ79" s="176" t="e">
        <f>(DL79-DA79)/DA79</f>
        <v>#DIV/0!</v>
      </c>
      <c r="DR79" s="176" t="e">
        <f>(DK79-CZ79)/CZ79</f>
        <v>#DIV/0!</v>
      </c>
      <c r="DS79" s="203">
        <f>DV79 + ABS(DT79) + ABS(DU79)</f>
        <v>0</v>
      </c>
      <c r="DT79" s="203"/>
      <c r="DU79" s="203"/>
      <c r="DV79" s="203"/>
      <c r="DW79" s="176"/>
      <c r="DX79" s="176"/>
      <c r="DY79" s="176"/>
      <c r="DZ79" s="177" t="b">
        <v>0</v>
      </c>
      <c r="EA79" s="177" t="b">
        <v>0</v>
      </c>
      <c r="EB79" s="176" t="e">
        <f>(DW79-DN79)/DN79</f>
        <v>#DIV/0!</v>
      </c>
      <c r="EC79" s="176" t="e">
        <f>(DV79-DK79)/DK79</f>
        <v>#DIV/0!</v>
      </c>
      <c r="ED79" s="203">
        <f>EG79 + ABS(EE79) + ABS(EF79)</f>
        <v>0</v>
      </c>
      <c r="EE79" s="203"/>
      <c r="EF79" s="203"/>
      <c r="EG79" s="203"/>
      <c r="EH79" s="176"/>
      <c r="EI79" s="176"/>
      <c r="EJ79" s="176"/>
      <c r="EK79" s="177" t="b">
        <v>0</v>
      </c>
      <c r="EL79" s="177" t="b">
        <v>0</v>
      </c>
      <c r="EM79" s="176" t="e">
        <f>(EH79-DW79)/DW79</f>
        <v>#DIV/0!</v>
      </c>
      <c r="EN79" s="176" t="e">
        <f>(EG79-DV79)/DV79</f>
        <v>#DIV/0!</v>
      </c>
      <c r="EO79" s="203">
        <f>ER79 + ABS(EP79) + ABS(EQ79)</f>
        <v>0</v>
      </c>
      <c r="EP79" s="203"/>
      <c r="EQ79" s="203"/>
      <c r="ER79" s="203"/>
      <c r="ES79" s="176"/>
      <c r="ET79" s="176"/>
      <c r="EU79" s="176"/>
      <c r="EV79" s="177" t="b">
        <v>0</v>
      </c>
      <c r="EW79" s="177" t="b">
        <v>0</v>
      </c>
      <c r="EX79" s="176" t="e">
        <f>(ES79-EJ79)/EJ79</f>
        <v>#DIV/0!</v>
      </c>
      <c r="EY79" s="176" t="e">
        <f>(ER79-EG79)/EG79</f>
        <v>#DIV/0!</v>
      </c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801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</row>
    <row r="80" spans="2:221" ht="15">
      <c r="B80" s="175"/>
      <c r="C80" s="800" t="s">
        <v>371</v>
      </c>
      <c r="D80" s="357">
        <v>1450022</v>
      </c>
      <c r="E80" s="357">
        <v>116</v>
      </c>
      <c r="F80" s="357" t="s">
        <v>372</v>
      </c>
      <c r="G80" s="426" t="s">
        <v>373</v>
      </c>
      <c r="H80" s="148" t="s">
        <v>169</v>
      </c>
      <c r="I80" s="448" t="s">
        <v>170</v>
      </c>
      <c r="J80" s="357"/>
      <c r="K80" s="357"/>
      <c r="L80" s="357"/>
      <c r="M80" s="358"/>
      <c r="N80" s="359">
        <v>107</v>
      </c>
      <c r="O80" s="358"/>
      <c r="P80" s="402">
        <v>2204.37</v>
      </c>
      <c r="Q80" s="402"/>
      <c r="R80" s="402">
        <v>43719.92</v>
      </c>
      <c r="S80" s="358">
        <v>1557</v>
      </c>
      <c r="T80" s="188" t="s">
        <v>171</v>
      </c>
      <c r="U80" s="358"/>
      <c r="V80" s="358"/>
      <c r="W80" s="358"/>
      <c r="X80" s="402">
        <f t="shared" si="6"/>
        <v>48284.18</v>
      </c>
      <c r="Y80" s="402">
        <v>-2317.64</v>
      </c>
      <c r="Z80" s="402">
        <v>0</v>
      </c>
      <c r="AA80" s="402">
        <v>45966.54</v>
      </c>
      <c r="AB80" s="450">
        <v>1635</v>
      </c>
      <c r="AC80" s="173" t="s">
        <v>172</v>
      </c>
      <c r="AD80" s="173" t="s">
        <v>173</v>
      </c>
      <c r="AE80" s="164" t="b">
        <v>1</v>
      </c>
      <c r="AF80" s="164" t="b">
        <v>1</v>
      </c>
      <c r="AG80" s="409">
        <f>(AB80-S80)/S80</f>
        <v>5.0096339113680152E-2</v>
      </c>
      <c r="AH80" s="409">
        <f>(AA80-R80)/R80</f>
        <v>5.1386644806303457E-2</v>
      </c>
      <c r="AI80" s="402">
        <f t="shared" si="8"/>
        <v>38826</v>
      </c>
      <c r="AJ80" s="364">
        <v>-1863.65</v>
      </c>
      <c r="AK80" s="364">
        <v>0</v>
      </c>
      <c r="AL80" s="364">
        <v>36962.35</v>
      </c>
      <c r="AM80" s="1069">
        <v>1266</v>
      </c>
      <c r="AN80" s="407">
        <v>46122</v>
      </c>
      <c r="AO80" s="148" t="s">
        <v>174</v>
      </c>
      <c r="AP80" s="860" t="b">
        <v>1</v>
      </c>
      <c r="AQ80" s="860" t="b">
        <v>1</v>
      </c>
      <c r="AR80" s="409">
        <f t="shared" si="7"/>
        <v>-0.22568807339449543</v>
      </c>
      <c r="AS80" s="409">
        <f>(AL80-AA80)/AA80</f>
        <v>-0.19588574645818463</v>
      </c>
      <c r="AT80" s="402">
        <f t="shared" si="9"/>
        <v>0</v>
      </c>
      <c r="AU80" s="402"/>
      <c r="AV80" s="402"/>
      <c r="AW80" s="402"/>
      <c r="AX80" s="358"/>
      <c r="AY80" s="358"/>
      <c r="AZ80" s="358"/>
      <c r="BA80" s="164" t="b">
        <v>0</v>
      </c>
      <c r="BB80" s="164" t="b">
        <v>0</v>
      </c>
      <c r="BC80" s="358">
        <f>(AX80-AM80)/AM80</f>
        <v>-1</v>
      </c>
      <c r="BD80" s="358">
        <f>(AW80-AL80)/AL80</f>
        <v>-1</v>
      </c>
      <c r="BE80" s="402">
        <f>BH80 + ABS(BF80) + ABS(BG80)</f>
        <v>0</v>
      </c>
      <c r="BF80" s="402"/>
      <c r="BG80" s="402"/>
      <c r="BH80" s="402"/>
      <c r="BI80" s="358"/>
      <c r="BJ80" s="358"/>
      <c r="BK80" s="358"/>
      <c r="BL80" s="164" t="b">
        <v>0</v>
      </c>
      <c r="BM80" s="164" t="b">
        <v>0</v>
      </c>
      <c r="BN80" s="358" t="e">
        <f>(BI80-AZ80)/AZ80</f>
        <v>#DIV/0!</v>
      </c>
      <c r="BO80" s="358" t="e">
        <f>(BH80-AW80)/AW80</f>
        <v>#DIV/0!</v>
      </c>
      <c r="BP80" s="402">
        <f>BS80 + ABS(BQ80) + ABS(BR80)</f>
        <v>0</v>
      </c>
      <c r="BQ80" s="402"/>
      <c r="BR80" s="402"/>
      <c r="BS80" s="402"/>
      <c r="BT80" s="358"/>
      <c r="BU80" s="358"/>
      <c r="BV80" s="358"/>
      <c r="BW80" s="164" t="b">
        <v>0</v>
      </c>
      <c r="BX80" s="164" t="b">
        <v>0</v>
      </c>
      <c r="BY80" s="358" t="e">
        <f>(BT80-BI80)/BI80</f>
        <v>#DIV/0!</v>
      </c>
      <c r="BZ80" s="358" t="e">
        <f>(BS80-BH80)/BH80</f>
        <v>#DIV/0!</v>
      </c>
      <c r="CA80" s="402">
        <f>CD80 + ABS(CB80) + ABS(CC80)</f>
        <v>0</v>
      </c>
      <c r="CB80" s="402"/>
      <c r="CC80" s="402"/>
      <c r="CD80" s="402"/>
      <c r="CE80" s="358"/>
      <c r="CF80" s="358"/>
      <c r="CG80" s="358"/>
      <c r="CH80" s="164" t="b">
        <v>0</v>
      </c>
      <c r="CI80" s="164" t="b">
        <v>0</v>
      </c>
      <c r="CJ80" s="358" t="e">
        <f>(CE80-BV80)/BV80</f>
        <v>#DIV/0!</v>
      </c>
      <c r="CK80" s="358" t="e">
        <f>(CD80-BS80)/BS80</f>
        <v>#DIV/0!</v>
      </c>
      <c r="CL80" s="402">
        <f>CO80 + ABS(CM80) + ABS(CN80)</f>
        <v>0</v>
      </c>
      <c r="CM80" s="402"/>
      <c r="CN80" s="402"/>
      <c r="CO80" s="402"/>
      <c r="CP80" s="358"/>
      <c r="CQ80" s="358"/>
      <c r="CR80" s="358"/>
      <c r="CS80" s="164" t="b">
        <v>0</v>
      </c>
      <c r="CT80" s="164" t="b">
        <v>0</v>
      </c>
      <c r="CU80" s="358" t="e">
        <f>(CP80-CE80)/CE80</f>
        <v>#DIV/0!</v>
      </c>
      <c r="CV80" s="358" t="e">
        <f>(CO80-CD80)/CD80</f>
        <v>#DIV/0!</v>
      </c>
      <c r="CW80" s="402">
        <f>CZ80 + ABS(CX80) + ABS(CY80)</f>
        <v>0</v>
      </c>
      <c r="CX80" s="402"/>
      <c r="CY80" s="402"/>
      <c r="CZ80" s="402"/>
      <c r="DA80" s="358"/>
      <c r="DB80" s="358"/>
      <c r="DC80" s="358"/>
      <c r="DD80" s="164" t="b">
        <v>0</v>
      </c>
      <c r="DE80" s="164" t="b">
        <v>0</v>
      </c>
      <c r="DF80" s="358" t="e">
        <f>(DA80-CR80)/CR80</f>
        <v>#DIV/0!</v>
      </c>
      <c r="DG80" s="358" t="e">
        <f>(CZ80-CO80)/CO80</f>
        <v>#DIV/0!</v>
      </c>
      <c r="DH80" s="402">
        <f>DK80 + ABS(DI80) + ABS(DJ80)</f>
        <v>0</v>
      </c>
      <c r="DI80" s="402"/>
      <c r="DJ80" s="402"/>
      <c r="DK80" s="402"/>
      <c r="DL80" s="358"/>
      <c r="DM80" s="358"/>
      <c r="DN80" s="358"/>
      <c r="DO80" s="164" t="b">
        <v>0</v>
      </c>
      <c r="DP80" s="164" t="b">
        <v>0</v>
      </c>
      <c r="DQ80" s="358" t="e">
        <f>(DL80-DA80)/DA80</f>
        <v>#DIV/0!</v>
      </c>
      <c r="DR80" s="358" t="e">
        <f>(DK80-CZ80)/CZ80</f>
        <v>#DIV/0!</v>
      </c>
      <c r="DS80" s="402">
        <f>DV80 + ABS(DT80) + ABS(DU80)</f>
        <v>0</v>
      </c>
      <c r="DT80" s="402"/>
      <c r="DU80" s="402"/>
      <c r="DV80" s="402"/>
      <c r="DW80" s="358"/>
      <c r="DX80" s="358"/>
      <c r="DY80" s="358"/>
      <c r="DZ80" s="164" t="b">
        <v>0</v>
      </c>
      <c r="EA80" s="164" t="b">
        <v>0</v>
      </c>
      <c r="EB80" s="358" t="e">
        <f>(DW80-DN80)/DN80</f>
        <v>#DIV/0!</v>
      </c>
      <c r="EC80" s="358" t="e">
        <f>(DV80-DK80)/DK80</f>
        <v>#DIV/0!</v>
      </c>
      <c r="ED80" s="402">
        <f>EG80 + ABS(EE80) + ABS(EF80)</f>
        <v>0</v>
      </c>
      <c r="EE80" s="402"/>
      <c r="EF80" s="402"/>
      <c r="EG80" s="402"/>
      <c r="EH80" s="358"/>
      <c r="EI80" s="358"/>
      <c r="EJ80" s="358"/>
      <c r="EK80" s="164" t="b">
        <v>0</v>
      </c>
      <c r="EL80" s="164" t="b">
        <v>0</v>
      </c>
      <c r="EM80" s="358" t="e">
        <f>(EH80-DW80)/DW80</f>
        <v>#DIV/0!</v>
      </c>
      <c r="EN80" s="358" t="e">
        <f>(EG80-DV80)/DV80</f>
        <v>#DIV/0!</v>
      </c>
      <c r="EO80" s="402">
        <f>ER80 + ABS(EP80) + ABS(EQ80)</f>
        <v>0</v>
      </c>
      <c r="EP80" s="402"/>
      <c r="EQ80" s="402"/>
      <c r="ER80" s="402"/>
      <c r="ES80" s="358"/>
      <c r="ET80" s="358"/>
      <c r="EU80" s="358"/>
      <c r="EV80" s="164" t="b">
        <v>0</v>
      </c>
      <c r="EW80" s="164" t="b">
        <v>0</v>
      </c>
      <c r="EX80" s="358" t="e">
        <f>(ES80-EJ80)/EJ80</f>
        <v>#DIV/0!</v>
      </c>
      <c r="EY80" s="358" t="e">
        <f>(ER80-EG80)/EG80</f>
        <v>#DIV/0!</v>
      </c>
      <c r="EZ80" s="449"/>
      <c r="FA80" s="449"/>
      <c r="FB80" s="449"/>
      <c r="FC80" s="449"/>
      <c r="FD80" s="449"/>
      <c r="FE80" s="449"/>
      <c r="FF80" s="449"/>
      <c r="FG80" s="449"/>
      <c r="FH80" s="449"/>
      <c r="FI80" s="449"/>
      <c r="FJ80" s="449"/>
      <c r="FK80" s="449"/>
      <c r="FL80" s="449"/>
      <c r="FM80" s="449"/>
      <c r="FN80" s="449"/>
      <c r="FO80" s="449"/>
      <c r="FP80" s="175"/>
      <c r="FQ80" s="801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</row>
    <row r="81" spans="1:221" ht="15">
      <c r="B81" s="175"/>
      <c r="C81" s="802" t="s">
        <v>374</v>
      </c>
      <c r="D81" s="154">
        <v>1450022</v>
      </c>
      <c r="E81" s="154">
        <v>328</v>
      </c>
      <c r="F81" s="154" t="s">
        <v>375</v>
      </c>
      <c r="G81" s="255" t="s">
        <v>376</v>
      </c>
      <c r="H81" s="171" t="s">
        <v>169</v>
      </c>
      <c r="I81" s="445" t="s">
        <v>170</v>
      </c>
      <c r="J81" s="154"/>
      <c r="K81" s="154"/>
      <c r="L81" s="154"/>
      <c r="M81" s="176"/>
      <c r="N81" s="418">
        <v>107</v>
      </c>
      <c r="O81" s="176"/>
      <c r="P81" s="203">
        <v>1128.26</v>
      </c>
      <c r="Q81" s="203"/>
      <c r="R81" s="203">
        <v>22377.07</v>
      </c>
      <c r="S81" s="176">
        <v>816</v>
      </c>
      <c r="T81" s="188" t="s">
        <v>171</v>
      </c>
      <c r="U81" s="176"/>
      <c r="V81" s="176"/>
      <c r="W81" s="176"/>
      <c r="X81" s="203">
        <f t="shared" si="6"/>
        <v>25664.14</v>
      </c>
      <c r="Y81" s="203">
        <v>-1231.8800000000001</v>
      </c>
      <c r="Z81" s="203">
        <v>0</v>
      </c>
      <c r="AA81" s="203">
        <v>24432.26</v>
      </c>
      <c r="AB81" s="446">
        <v>886</v>
      </c>
      <c r="AC81" s="444" t="s">
        <v>172</v>
      </c>
      <c r="AD81" s="444" t="s">
        <v>173</v>
      </c>
      <c r="AE81" s="177" t="b">
        <v>1</v>
      </c>
      <c r="AF81" s="177" t="b">
        <v>1</v>
      </c>
      <c r="AG81" s="392">
        <f>(AB81-S81)/S81</f>
        <v>8.5784313725490197E-2</v>
      </c>
      <c r="AH81" s="392">
        <f>(AA81-R81)/R81</f>
        <v>9.184357022612874E-2</v>
      </c>
      <c r="AI81" s="203">
        <f t="shared" si="8"/>
        <v>26287.190000000002</v>
      </c>
      <c r="AJ81" s="368">
        <v>-1261.79</v>
      </c>
      <c r="AK81" s="368">
        <v>0</v>
      </c>
      <c r="AL81" s="368">
        <v>25025.4</v>
      </c>
      <c r="AM81" s="1068">
        <v>867</v>
      </c>
      <c r="AN81" s="172">
        <v>46122</v>
      </c>
      <c r="AO81" s="171" t="s">
        <v>174</v>
      </c>
      <c r="AP81" s="861" t="b">
        <v>1</v>
      </c>
      <c r="AQ81" s="861" t="b">
        <v>1</v>
      </c>
      <c r="AR81" s="392">
        <f t="shared" si="7"/>
        <v>-2.144469525959368E-2</v>
      </c>
      <c r="AS81" s="392">
        <f>(AL81-AA81)/AA81</f>
        <v>2.4276919122504553E-2</v>
      </c>
      <c r="AT81" s="203">
        <f t="shared" si="9"/>
        <v>0</v>
      </c>
      <c r="AU81" s="203"/>
      <c r="AV81" s="203"/>
      <c r="AW81" s="203"/>
      <c r="AX81" s="176"/>
      <c r="AY81" s="176"/>
      <c r="AZ81" s="176"/>
      <c r="BA81" s="177" t="b">
        <v>0</v>
      </c>
      <c r="BB81" s="177" t="b">
        <v>0</v>
      </c>
      <c r="BC81" s="176">
        <f>(AX81-AM81)/AM81</f>
        <v>-1</v>
      </c>
      <c r="BD81" s="176">
        <f>(AW81-AL81)/AL81</f>
        <v>-1</v>
      </c>
      <c r="BE81" s="203">
        <f>BH81 + ABS(BF81) + ABS(BG81)</f>
        <v>0</v>
      </c>
      <c r="BF81" s="203"/>
      <c r="BG81" s="203"/>
      <c r="BH81" s="203"/>
      <c r="BI81" s="176"/>
      <c r="BJ81" s="176"/>
      <c r="BK81" s="176"/>
      <c r="BL81" s="177" t="b">
        <v>0</v>
      </c>
      <c r="BM81" s="177" t="b">
        <v>0</v>
      </c>
      <c r="BN81" s="176" t="e">
        <f>(BI81-AZ81)/AZ81</f>
        <v>#DIV/0!</v>
      </c>
      <c r="BO81" s="176" t="e">
        <f>(BH81-AW81)/AW81</f>
        <v>#DIV/0!</v>
      </c>
      <c r="BP81" s="203">
        <f>BS81 + ABS(BQ81) + ABS(BR81)</f>
        <v>0</v>
      </c>
      <c r="BQ81" s="203"/>
      <c r="BR81" s="203"/>
      <c r="BS81" s="203"/>
      <c r="BT81" s="176"/>
      <c r="BU81" s="176"/>
      <c r="BV81" s="176"/>
      <c r="BW81" s="177" t="b">
        <v>0</v>
      </c>
      <c r="BX81" s="177" t="b">
        <v>0</v>
      </c>
      <c r="BY81" s="176" t="e">
        <f>(BT81-BI81)/BI81</f>
        <v>#DIV/0!</v>
      </c>
      <c r="BZ81" s="176" t="e">
        <f>(BS81-BH81)/BH81</f>
        <v>#DIV/0!</v>
      </c>
      <c r="CA81" s="203">
        <f>CD81 + ABS(CB81) + ABS(CC81)</f>
        <v>0</v>
      </c>
      <c r="CB81" s="203"/>
      <c r="CC81" s="203"/>
      <c r="CD81" s="203"/>
      <c r="CE81" s="176"/>
      <c r="CF81" s="176"/>
      <c r="CG81" s="176"/>
      <c r="CH81" s="177" t="b">
        <v>0</v>
      </c>
      <c r="CI81" s="177" t="b">
        <v>0</v>
      </c>
      <c r="CJ81" s="176" t="e">
        <f>(CE81-BV81)/BV81</f>
        <v>#DIV/0!</v>
      </c>
      <c r="CK81" s="176" t="e">
        <f>(CD81-BS81)/BS81</f>
        <v>#DIV/0!</v>
      </c>
      <c r="CL81" s="203">
        <f>CO81 + ABS(CM81) + ABS(CN81)</f>
        <v>0</v>
      </c>
      <c r="CM81" s="203"/>
      <c r="CN81" s="203"/>
      <c r="CO81" s="203"/>
      <c r="CP81" s="176"/>
      <c r="CQ81" s="176"/>
      <c r="CR81" s="176"/>
      <c r="CS81" s="177" t="b">
        <v>0</v>
      </c>
      <c r="CT81" s="177" t="b">
        <v>0</v>
      </c>
      <c r="CU81" s="176" t="e">
        <f>(CP81-CE81)/CE81</f>
        <v>#DIV/0!</v>
      </c>
      <c r="CV81" s="176" t="e">
        <f>(CO81-CD81)/CD81</f>
        <v>#DIV/0!</v>
      </c>
      <c r="CW81" s="203">
        <f>CZ81 + ABS(CX81) + ABS(CY81)</f>
        <v>0</v>
      </c>
      <c r="CX81" s="203"/>
      <c r="CY81" s="203"/>
      <c r="CZ81" s="203"/>
      <c r="DA81" s="176"/>
      <c r="DB81" s="176"/>
      <c r="DC81" s="176"/>
      <c r="DD81" s="177" t="b">
        <v>0</v>
      </c>
      <c r="DE81" s="177" t="b">
        <v>0</v>
      </c>
      <c r="DF81" s="176" t="e">
        <f>(DA81-CR81)/CR81</f>
        <v>#DIV/0!</v>
      </c>
      <c r="DG81" s="176" t="e">
        <f>(CZ81-CO81)/CO81</f>
        <v>#DIV/0!</v>
      </c>
      <c r="DH81" s="203">
        <f>DK81 + ABS(DI81) + ABS(DJ81)</f>
        <v>0</v>
      </c>
      <c r="DI81" s="203"/>
      <c r="DJ81" s="203"/>
      <c r="DK81" s="203"/>
      <c r="DL81" s="176"/>
      <c r="DM81" s="176"/>
      <c r="DN81" s="176"/>
      <c r="DO81" s="177" t="b">
        <v>0</v>
      </c>
      <c r="DP81" s="177" t="b">
        <v>0</v>
      </c>
      <c r="DQ81" s="176" t="e">
        <f>(DL81-DA81)/DA81</f>
        <v>#DIV/0!</v>
      </c>
      <c r="DR81" s="176" t="e">
        <f>(DK81-CZ81)/CZ81</f>
        <v>#DIV/0!</v>
      </c>
      <c r="DS81" s="203">
        <f>DV81 + ABS(DT81) + ABS(DU81)</f>
        <v>0</v>
      </c>
      <c r="DT81" s="203"/>
      <c r="DU81" s="203"/>
      <c r="DV81" s="203"/>
      <c r="DW81" s="176"/>
      <c r="DX81" s="176"/>
      <c r="DY81" s="176"/>
      <c r="DZ81" s="177" t="b">
        <v>0</v>
      </c>
      <c r="EA81" s="177" t="b">
        <v>0</v>
      </c>
      <c r="EB81" s="176" t="e">
        <f>(DW81-DN81)/DN81</f>
        <v>#DIV/0!</v>
      </c>
      <c r="EC81" s="176" t="e">
        <f>(DV81-DK81)/DK81</f>
        <v>#DIV/0!</v>
      </c>
      <c r="ED81" s="203">
        <f>EG81 + ABS(EE81) + ABS(EF81)</f>
        <v>0</v>
      </c>
      <c r="EE81" s="203"/>
      <c r="EF81" s="203"/>
      <c r="EG81" s="203"/>
      <c r="EH81" s="176"/>
      <c r="EI81" s="176"/>
      <c r="EJ81" s="176"/>
      <c r="EK81" s="177" t="b">
        <v>0</v>
      </c>
      <c r="EL81" s="177" t="b">
        <v>0</v>
      </c>
      <c r="EM81" s="176" t="e">
        <f>(EH81-DW81)/DW81</f>
        <v>#DIV/0!</v>
      </c>
      <c r="EN81" s="176" t="e">
        <f>(EG81-DV81)/DV81</f>
        <v>#DIV/0!</v>
      </c>
      <c r="EO81" s="203">
        <f>ER81 + ABS(EP81) + ABS(EQ81)</f>
        <v>0</v>
      </c>
      <c r="EP81" s="203"/>
      <c r="EQ81" s="203"/>
      <c r="ER81" s="203"/>
      <c r="ES81" s="176"/>
      <c r="ET81" s="176"/>
      <c r="EU81" s="176"/>
      <c r="EV81" s="177" t="b">
        <v>0</v>
      </c>
      <c r="EW81" s="177" t="b">
        <v>0</v>
      </c>
      <c r="EX81" s="176" t="e">
        <f>(ES81-EJ81)/EJ81</f>
        <v>#DIV/0!</v>
      </c>
      <c r="EY81" s="176" t="e">
        <f>(ER81-EG81)/EG81</f>
        <v>#DIV/0!</v>
      </c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801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</row>
    <row r="82" spans="1:221" ht="15">
      <c r="B82" s="175"/>
      <c r="C82" s="800" t="s">
        <v>377</v>
      </c>
      <c r="D82" s="357">
        <v>1450022</v>
      </c>
      <c r="E82" s="357">
        <v>100</v>
      </c>
      <c r="F82" s="357" t="s">
        <v>378</v>
      </c>
      <c r="G82" s="426" t="s">
        <v>379</v>
      </c>
      <c r="H82" s="148" t="s">
        <v>169</v>
      </c>
      <c r="I82" s="448" t="s">
        <v>170</v>
      </c>
      <c r="J82" s="357"/>
      <c r="K82" s="357"/>
      <c r="L82" s="357"/>
      <c r="M82" s="358"/>
      <c r="N82" s="359">
        <v>107</v>
      </c>
      <c r="O82" s="358"/>
      <c r="P82" s="402">
        <v>311.23</v>
      </c>
      <c r="Q82" s="402"/>
      <c r="R82" s="402">
        <v>6172.63</v>
      </c>
      <c r="S82" s="358">
        <v>412</v>
      </c>
      <c r="T82" s="188" t="s">
        <v>171</v>
      </c>
      <c r="U82" s="358"/>
      <c r="V82" s="358"/>
      <c r="W82" s="358"/>
      <c r="X82" s="402">
        <f t="shared" si="6"/>
        <v>5405.8700000000008</v>
      </c>
      <c r="Y82" s="402">
        <v>-259.48</v>
      </c>
      <c r="Z82" s="402">
        <v>0</v>
      </c>
      <c r="AA82" s="402">
        <v>5146.3900000000003</v>
      </c>
      <c r="AB82" s="450">
        <v>350</v>
      </c>
      <c r="AC82" s="173" t="s">
        <v>172</v>
      </c>
      <c r="AD82" s="173" t="s">
        <v>173</v>
      </c>
      <c r="AE82" s="164" t="b">
        <v>1</v>
      </c>
      <c r="AF82" s="164" t="b">
        <v>1</v>
      </c>
      <c r="AG82" s="409">
        <f>(AB82-S82)/S82</f>
        <v>-0.15048543689320387</v>
      </c>
      <c r="AH82" s="409">
        <f>(AA82-R82)/R82</f>
        <v>-0.16625652274638197</v>
      </c>
      <c r="AI82" s="402">
        <f t="shared" si="8"/>
        <v>7512.5</v>
      </c>
      <c r="AJ82" s="364">
        <v>-360.6</v>
      </c>
      <c r="AK82" s="364">
        <v>0</v>
      </c>
      <c r="AL82" s="364">
        <v>7151.9</v>
      </c>
      <c r="AM82" s="1069">
        <v>452</v>
      </c>
      <c r="AN82" s="407">
        <v>46122</v>
      </c>
      <c r="AO82" s="148" t="s">
        <v>174</v>
      </c>
      <c r="AP82" s="860" t="b">
        <v>1</v>
      </c>
      <c r="AQ82" s="860" t="b">
        <v>1</v>
      </c>
      <c r="AR82" s="409">
        <f t="shared" si="7"/>
        <v>0.29142857142857143</v>
      </c>
      <c r="AS82" s="409">
        <f>(AL82-AA82)/AA82</f>
        <v>0.38969258062447643</v>
      </c>
      <c r="AT82" s="402">
        <f t="shared" si="9"/>
        <v>0</v>
      </c>
      <c r="AU82" s="402"/>
      <c r="AV82" s="402"/>
      <c r="AW82" s="402"/>
      <c r="AX82" s="358"/>
      <c r="AY82" s="358"/>
      <c r="AZ82" s="358"/>
      <c r="BA82" s="164" t="b">
        <v>0</v>
      </c>
      <c r="BB82" s="164" t="b">
        <v>0</v>
      </c>
      <c r="BC82" s="358">
        <f>(AX82-AM82)/AM82</f>
        <v>-1</v>
      </c>
      <c r="BD82" s="358">
        <f>(AW82-AL82)/AL82</f>
        <v>-1</v>
      </c>
      <c r="BE82" s="402">
        <f>BH82 + ABS(BF82) + ABS(BG82)</f>
        <v>0</v>
      </c>
      <c r="BF82" s="402"/>
      <c r="BG82" s="402"/>
      <c r="BH82" s="402"/>
      <c r="BI82" s="358"/>
      <c r="BJ82" s="358"/>
      <c r="BK82" s="358"/>
      <c r="BL82" s="164" t="b">
        <v>0</v>
      </c>
      <c r="BM82" s="164" t="b">
        <v>0</v>
      </c>
      <c r="BN82" s="358" t="e">
        <f>(BI82-AZ82)/AZ82</f>
        <v>#DIV/0!</v>
      </c>
      <c r="BO82" s="358" t="e">
        <f>(BH82-AW82)/AW82</f>
        <v>#DIV/0!</v>
      </c>
      <c r="BP82" s="402">
        <f>BS82 + ABS(BQ82) + ABS(BR82)</f>
        <v>0</v>
      </c>
      <c r="BQ82" s="402"/>
      <c r="BR82" s="402"/>
      <c r="BS82" s="402"/>
      <c r="BT82" s="358"/>
      <c r="BU82" s="358"/>
      <c r="BV82" s="358"/>
      <c r="BW82" s="164" t="b">
        <v>0</v>
      </c>
      <c r="BX82" s="164" t="b">
        <v>0</v>
      </c>
      <c r="BY82" s="358" t="e">
        <f>(BT82-BI82)/BI82</f>
        <v>#DIV/0!</v>
      </c>
      <c r="BZ82" s="358" t="e">
        <f>(BS82-BH82)/BH82</f>
        <v>#DIV/0!</v>
      </c>
      <c r="CA82" s="402">
        <f>CD82 + ABS(CB82) + ABS(CC82)</f>
        <v>0</v>
      </c>
      <c r="CB82" s="402"/>
      <c r="CC82" s="402"/>
      <c r="CD82" s="402"/>
      <c r="CE82" s="358"/>
      <c r="CF82" s="358"/>
      <c r="CG82" s="358"/>
      <c r="CH82" s="164" t="b">
        <v>0</v>
      </c>
      <c r="CI82" s="164" t="b">
        <v>0</v>
      </c>
      <c r="CJ82" s="358" t="e">
        <f>(CE82-BV82)/BV82</f>
        <v>#DIV/0!</v>
      </c>
      <c r="CK82" s="358" t="e">
        <f>(CD82-BS82)/BS82</f>
        <v>#DIV/0!</v>
      </c>
      <c r="CL82" s="402">
        <f>CO82 + ABS(CM82) + ABS(CN82)</f>
        <v>0</v>
      </c>
      <c r="CM82" s="402"/>
      <c r="CN82" s="402"/>
      <c r="CO82" s="402"/>
      <c r="CP82" s="358"/>
      <c r="CQ82" s="358"/>
      <c r="CR82" s="358"/>
      <c r="CS82" s="164" t="b">
        <v>0</v>
      </c>
      <c r="CT82" s="164" t="b">
        <v>0</v>
      </c>
      <c r="CU82" s="358" t="e">
        <f>(CP82-CE82)/CE82</f>
        <v>#DIV/0!</v>
      </c>
      <c r="CV82" s="358" t="e">
        <f>(CO82-CD82)/CD82</f>
        <v>#DIV/0!</v>
      </c>
      <c r="CW82" s="402">
        <f>CZ82 + ABS(CX82) + ABS(CY82)</f>
        <v>0</v>
      </c>
      <c r="CX82" s="402"/>
      <c r="CY82" s="402"/>
      <c r="CZ82" s="402"/>
      <c r="DA82" s="358"/>
      <c r="DB82" s="358"/>
      <c r="DC82" s="358"/>
      <c r="DD82" s="164" t="b">
        <v>0</v>
      </c>
      <c r="DE82" s="164" t="b">
        <v>0</v>
      </c>
      <c r="DF82" s="358" t="e">
        <f>(DA82-CR82)/CR82</f>
        <v>#DIV/0!</v>
      </c>
      <c r="DG82" s="358" t="e">
        <f>(CZ82-CO82)/CO82</f>
        <v>#DIV/0!</v>
      </c>
      <c r="DH82" s="402">
        <f>DK82 + ABS(DI82) + ABS(DJ82)</f>
        <v>0</v>
      </c>
      <c r="DI82" s="402"/>
      <c r="DJ82" s="402"/>
      <c r="DK82" s="402"/>
      <c r="DL82" s="358"/>
      <c r="DM82" s="358"/>
      <c r="DN82" s="358"/>
      <c r="DO82" s="164" t="b">
        <v>0</v>
      </c>
      <c r="DP82" s="164" t="b">
        <v>0</v>
      </c>
      <c r="DQ82" s="358" t="e">
        <f>(DL82-DA82)/DA82</f>
        <v>#DIV/0!</v>
      </c>
      <c r="DR82" s="358" t="e">
        <f>(DK82-CZ82)/CZ82</f>
        <v>#DIV/0!</v>
      </c>
      <c r="DS82" s="402">
        <f>DV82 + ABS(DT82) + ABS(DU82)</f>
        <v>0</v>
      </c>
      <c r="DT82" s="402"/>
      <c r="DU82" s="402"/>
      <c r="DV82" s="402"/>
      <c r="DW82" s="358"/>
      <c r="DX82" s="358"/>
      <c r="DY82" s="358"/>
      <c r="DZ82" s="164" t="b">
        <v>0</v>
      </c>
      <c r="EA82" s="164" t="b">
        <v>0</v>
      </c>
      <c r="EB82" s="358" t="e">
        <f>(DW82-DN82)/DN82</f>
        <v>#DIV/0!</v>
      </c>
      <c r="EC82" s="358" t="e">
        <f>(DV82-DK82)/DK82</f>
        <v>#DIV/0!</v>
      </c>
      <c r="ED82" s="402">
        <f>EG82 + ABS(EE82) + ABS(EF82)</f>
        <v>0</v>
      </c>
      <c r="EE82" s="402"/>
      <c r="EF82" s="402"/>
      <c r="EG82" s="402"/>
      <c r="EH82" s="358"/>
      <c r="EI82" s="358"/>
      <c r="EJ82" s="358"/>
      <c r="EK82" s="164" t="b">
        <v>0</v>
      </c>
      <c r="EL82" s="164" t="b">
        <v>0</v>
      </c>
      <c r="EM82" s="358" t="e">
        <f>(EH82-DW82)/DW82</f>
        <v>#DIV/0!</v>
      </c>
      <c r="EN82" s="358" t="e">
        <f>(EG82-DV82)/DV82</f>
        <v>#DIV/0!</v>
      </c>
      <c r="EO82" s="402">
        <f>ER82 + ABS(EP82) + ABS(EQ82)</f>
        <v>0</v>
      </c>
      <c r="EP82" s="402"/>
      <c r="EQ82" s="402"/>
      <c r="ER82" s="402"/>
      <c r="ES82" s="358"/>
      <c r="ET82" s="358"/>
      <c r="EU82" s="358"/>
      <c r="EV82" s="164" t="b">
        <v>0</v>
      </c>
      <c r="EW82" s="164" t="b">
        <v>0</v>
      </c>
      <c r="EX82" s="358" t="e">
        <f>(ES82-EJ82)/EJ82</f>
        <v>#DIV/0!</v>
      </c>
      <c r="EY82" s="358" t="e">
        <f>(ER82-EG82)/EG82</f>
        <v>#DIV/0!</v>
      </c>
      <c r="EZ82" s="449"/>
      <c r="FA82" s="449"/>
      <c r="FB82" s="449"/>
      <c r="FC82" s="449"/>
      <c r="FD82" s="449"/>
      <c r="FE82" s="449"/>
      <c r="FF82" s="449"/>
      <c r="FG82" s="449"/>
      <c r="FH82" s="449"/>
      <c r="FI82" s="449"/>
      <c r="FJ82" s="449"/>
      <c r="FK82" s="449"/>
      <c r="FL82" s="449"/>
      <c r="FM82" s="449"/>
      <c r="FN82" s="449"/>
      <c r="FO82" s="449"/>
      <c r="FP82" s="449"/>
      <c r="FQ82" s="803"/>
      <c r="FR82" s="449"/>
      <c r="FS82" s="449"/>
      <c r="FT82" s="449"/>
      <c r="FU82" s="449"/>
      <c r="FV82" s="449"/>
      <c r="FW82" s="449"/>
      <c r="FX82" s="449"/>
      <c r="FY82" s="449"/>
      <c r="FZ82" s="449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</row>
    <row r="83" spans="1:221" ht="15">
      <c r="B83" s="175"/>
      <c r="C83" s="800" t="s">
        <v>380</v>
      </c>
      <c r="D83" s="357">
        <v>1450022</v>
      </c>
      <c r="E83" s="357">
        <v>100</v>
      </c>
      <c r="F83" s="357" t="s">
        <v>381</v>
      </c>
      <c r="G83" s="426" t="s">
        <v>382</v>
      </c>
      <c r="H83" s="148" t="s">
        <v>169</v>
      </c>
      <c r="I83" s="448" t="s">
        <v>170</v>
      </c>
      <c r="J83" s="357"/>
      <c r="K83" s="357"/>
      <c r="L83" s="357"/>
      <c r="M83" s="358"/>
      <c r="N83" s="361">
        <v>107</v>
      </c>
      <c r="O83" s="358"/>
      <c r="P83" s="402">
        <v>683.45</v>
      </c>
      <c r="Q83" s="402"/>
      <c r="R83" s="402">
        <v>13555.02</v>
      </c>
      <c r="S83" s="358">
        <v>858</v>
      </c>
      <c r="T83" s="188" t="s">
        <v>171</v>
      </c>
      <c r="U83" s="358"/>
      <c r="V83" s="358"/>
      <c r="W83" s="358"/>
      <c r="X83" s="402">
        <f t="shared" si="6"/>
        <v>15542.490000000002</v>
      </c>
      <c r="Y83" s="402">
        <v>-746.04</v>
      </c>
      <c r="Z83" s="402">
        <v>0</v>
      </c>
      <c r="AA83" s="402">
        <v>14796.45</v>
      </c>
      <c r="AB83" s="450">
        <v>933</v>
      </c>
      <c r="AC83" s="173" t="s">
        <v>172</v>
      </c>
      <c r="AD83" s="173" t="s">
        <v>173</v>
      </c>
      <c r="AE83" s="164" t="b">
        <v>1</v>
      </c>
      <c r="AF83" s="164" t="b">
        <v>1</v>
      </c>
      <c r="AG83" s="409">
        <f>(AB83-S83)/S83</f>
        <v>8.7412587412587409E-2</v>
      </c>
      <c r="AH83" s="409">
        <f>(AA83-R83)/R83</f>
        <v>9.1584519978576223E-2</v>
      </c>
      <c r="AI83" s="402">
        <f t="shared" si="8"/>
        <v>4275.91</v>
      </c>
      <c r="AJ83" s="364">
        <v>-205.24</v>
      </c>
      <c r="AK83" s="364">
        <v>0</v>
      </c>
      <c r="AL83" s="364">
        <v>4070.67</v>
      </c>
      <c r="AM83" s="1069">
        <v>274</v>
      </c>
      <c r="AN83" s="407">
        <v>46122</v>
      </c>
      <c r="AO83" s="148" t="s">
        <v>174</v>
      </c>
      <c r="AP83" s="860" t="b">
        <v>1</v>
      </c>
      <c r="AQ83" s="860" t="b">
        <v>1</v>
      </c>
      <c r="AR83" s="409">
        <f t="shared" si="7"/>
        <v>-0.7063236870310825</v>
      </c>
      <c r="AS83" s="409">
        <f>(AL83-AA83)/AA83</f>
        <v>-0.72488874020457605</v>
      </c>
      <c r="AT83" s="402">
        <f t="shared" si="9"/>
        <v>0</v>
      </c>
      <c r="AU83" s="402"/>
      <c r="AV83" s="402"/>
      <c r="AW83" s="402"/>
      <c r="AX83" s="358"/>
      <c r="AY83" s="358"/>
      <c r="AZ83" s="358"/>
      <c r="BA83" s="164" t="b">
        <v>0</v>
      </c>
      <c r="BB83" s="164" t="b">
        <v>0</v>
      </c>
      <c r="BC83" s="358">
        <f>(AX83-AM83)/AM83</f>
        <v>-1</v>
      </c>
      <c r="BD83" s="358">
        <f>(AW83-AL83)/AL83</f>
        <v>-1</v>
      </c>
      <c r="BE83" s="402">
        <f>BH83 + ABS(BF83) + ABS(BG83)</f>
        <v>0</v>
      </c>
      <c r="BF83" s="402"/>
      <c r="BG83" s="402"/>
      <c r="BH83" s="402"/>
      <c r="BI83" s="358"/>
      <c r="BJ83" s="358"/>
      <c r="BK83" s="358"/>
      <c r="BL83" s="164" t="b">
        <v>0</v>
      </c>
      <c r="BM83" s="164" t="b">
        <v>0</v>
      </c>
      <c r="BN83" s="358" t="e">
        <f>(BI83-AZ83)/AZ83</f>
        <v>#DIV/0!</v>
      </c>
      <c r="BO83" s="358" t="e">
        <f>(BH83-AW83)/AW83</f>
        <v>#DIV/0!</v>
      </c>
      <c r="BP83" s="402">
        <f>BS83 + ABS(BQ83) + ABS(BR83)</f>
        <v>0</v>
      </c>
      <c r="BQ83" s="402"/>
      <c r="BR83" s="402"/>
      <c r="BS83" s="402"/>
      <c r="BT83" s="358"/>
      <c r="BU83" s="358"/>
      <c r="BV83" s="358"/>
      <c r="BW83" s="164" t="b">
        <v>0</v>
      </c>
      <c r="BX83" s="164" t="b">
        <v>0</v>
      </c>
      <c r="BY83" s="358" t="e">
        <f>(BT83-BI83)/BI83</f>
        <v>#DIV/0!</v>
      </c>
      <c r="BZ83" s="358" t="e">
        <f>(BS83-BH83)/BH83</f>
        <v>#DIV/0!</v>
      </c>
      <c r="CA83" s="402">
        <f>CD83 + ABS(CB83) + ABS(CC83)</f>
        <v>0</v>
      </c>
      <c r="CB83" s="402"/>
      <c r="CC83" s="402"/>
      <c r="CD83" s="402"/>
      <c r="CE83" s="358"/>
      <c r="CF83" s="358"/>
      <c r="CG83" s="358"/>
      <c r="CH83" s="164" t="b">
        <v>0</v>
      </c>
      <c r="CI83" s="164" t="b">
        <v>0</v>
      </c>
      <c r="CJ83" s="358" t="e">
        <f>(CE83-BV83)/BV83</f>
        <v>#DIV/0!</v>
      </c>
      <c r="CK83" s="358" t="e">
        <f>(CD83-BS83)/BS83</f>
        <v>#DIV/0!</v>
      </c>
      <c r="CL83" s="402">
        <f>CO83 + ABS(CM83) + ABS(CN83)</f>
        <v>0</v>
      </c>
      <c r="CM83" s="402"/>
      <c r="CN83" s="402"/>
      <c r="CO83" s="402"/>
      <c r="CP83" s="358"/>
      <c r="CQ83" s="358"/>
      <c r="CR83" s="358"/>
      <c r="CS83" s="164" t="b">
        <v>0</v>
      </c>
      <c r="CT83" s="164" t="b">
        <v>0</v>
      </c>
      <c r="CU83" s="358" t="e">
        <f>(CP83-CE83)/CE83</f>
        <v>#DIV/0!</v>
      </c>
      <c r="CV83" s="358" t="e">
        <f>(CO83-CD83)/CD83</f>
        <v>#DIV/0!</v>
      </c>
      <c r="CW83" s="402">
        <f>CZ83 + ABS(CX83) + ABS(CY83)</f>
        <v>0</v>
      </c>
      <c r="CX83" s="402"/>
      <c r="CY83" s="402"/>
      <c r="CZ83" s="402"/>
      <c r="DA83" s="358"/>
      <c r="DB83" s="358"/>
      <c r="DC83" s="358"/>
      <c r="DD83" s="164" t="b">
        <v>0</v>
      </c>
      <c r="DE83" s="164" t="b">
        <v>0</v>
      </c>
      <c r="DF83" s="358" t="e">
        <f>(DA83-CR83)/CR83</f>
        <v>#DIV/0!</v>
      </c>
      <c r="DG83" s="358" t="e">
        <f>(CZ83-CO83)/CO83</f>
        <v>#DIV/0!</v>
      </c>
      <c r="DH83" s="402">
        <f>DK83 + ABS(DI83) + ABS(DJ83)</f>
        <v>0</v>
      </c>
      <c r="DI83" s="402"/>
      <c r="DJ83" s="402"/>
      <c r="DK83" s="402"/>
      <c r="DL83" s="358"/>
      <c r="DM83" s="358"/>
      <c r="DN83" s="358"/>
      <c r="DO83" s="164" t="b">
        <v>0</v>
      </c>
      <c r="DP83" s="164" t="b">
        <v>0</v>
      </c>
      <c r="DQ83" s="358" t="e">
        <f>(DL83-DA83)/DA83</f>
        <v>#DIV/0!</v>
      </c>
      <c r="DR83" s="358" t="e">
        <f>(DK83-CZ83)/CZ83</f>
        <v>#DIV/0!</v>
      </c>
      <c r="DS83" s="402">
        <f>DV83 + ABS(DT83) + ABS(DU83)</f>
        <v>0</v>
      </c>
      <c r="DT83" s="402"/>
      <c r="DU83" s="402"/>
      <c r="DV83" s="402"/>
      <c r="DW83" s="358"/>
      <c r="DX83" s="358"/>
      <c r="DY83" s="358"/>
      <c r="DZ83" s="164" t="b">
        <v>0</v>
      </c>
      <c r="EA83" s="164" t="b">
        <v>0</v>
      </c>
      <c r="EB83" s="358" t="e">
        <f>(DW83-DN83)/DN83</f>
        <v>#DIV/0!</v>
      </c>
      <c r="EC83" s="358" t="e">
        <f>(DV83-DK83)/DK83</f>
        <v>#DIV/0!</v>
      </c>
      <c r="ED83" s="402">
        <f>EG83 + ABS(EE83) + ABS(EF83)</f>
        <v>0</v>
      </c>
      <c r="EE83" s="402"/>
      <c r="EF83" s="402"/>
      <c r="EG83" s="402"/>
      <c r="EH83" s="358"/>
      <c r="EI83" s="358"/>
      <c r="EJ83" s="358"/>
      <c r="EK83" s="164" t="b">
        <v>0</v>
      </c>
      <c r="EL83" s="164" t="b">
        <v>0</v>
      </c>
      <c r="EM83" s="358" t="e">
        <f>(EH83-DW83)/DW83</f>
        <v>#DIV/0!</v>
      </c>
      <c r="EN83" s="358" t="e">
        <f>(EG83-DV83)/DV83</f>
        <v>#DIV/0!</v>
      </c>
      <c r="EO83" s="402">
        <f>ER83 + ABS(EP83) + ABS(EQ83)</f>
        <v>0</v>
      </c>
      <c r="EP83" s="402"/>
      <c r="EQ83" s="402"/>
      <c r="ER83" s="402"/>
      <c r="ES83" s="358"/>
      <c r="ET83" s="358"/>
      <c r="EU83" s="358"/>
      <c r="EV83" s="164" t="b">
        <v>0</v>
      </c>
      <c r="EW83" s="164" t="b">
        <v>0</v>
      </c>
      <c r="EX83" s="358" t="e">
        <f>(ES83-EJ83)/EJ83</f>
        <v>#DIV/0!</v>
      </c>
      <c r="EY83" s="358" t="e">
        <f>(ER83-EG83)/EG83</f>
        <v>#DIV/0!</v>
      </c>
      <c r="EZ83" s="449"/>
      <c r="FA83" s="449"/>
      <c r="FB83" s="449"/>
      <c r="FC83" s="449"/>
      <c r="FD83" s="449"/>
      <c r="FE83" s="449"/>
      <c r="FF83" s="449"/>
      <c r="FG83" s="449"/>
      <c r="FH83" s="449"/>
      <c r="FI83" s="449"/>
      <c r="FJ83" s="449"/>
      <c r="FK83" s="449"/>
      <c r="FL83" s="449"/>
      <c r="FM83" s="449"/>
      <c r="FN83" s="449"/>
      <c r="FO83" s="449"/>
      <c r="FP83" s="449"/>
      <c r="FQ83" s="803"/>
      <c r="FR83" s="449"/>
      <c r="FS83" s="449"/>
      <c r="FT83" s="449"/>
      <c r="FU83" s="449"/>
      <c r="FV83" s="449"/>
      <c r="FW83" s="449"/>
      <c r="FX83" s="449"/>
      <c r="FY83" s="449"/>
      <c r="FZ83" s="449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</row>
    <row r="84" spans="1:221" ht="15">
      <c r="B84" s="175"/>
      <c r="C84" s="800" t="s">
        <v>383</v>
      </c>
      <c r="D84" s="357">
        <v>1450022</v>
      </c>
      <c r="E84" s="357">
        <v>100</v>
      </c>
      <c r="F84" s="357" t="s">
        <v>384</v>
      </c>
      <c r="G84" s="426" t="s">
        <v>385</v>
      </c>
      <c r="H84" s="148" t="s">
        <v>169</v>
      </c>
      <c r="I84" s="448" t="s">
        <v>170</v>
      </c>
      <c r="J84" s="357"/>
      <c r="K84" s="357"/>
      <c r="L84" s="357"/>
      <c r="M84" s="358"/>
      <c r="N84" s="359">
        <v>107</v>
      </c>
      <c r="O84" s="358"/>
      <c r="P84" s="402">
        <v>138.47</v>
      </c>
      <c r="Q84" s="402"/>
      <c r="R84" s="402">
        <v>2746.29</v>
      </c>
      <c r="S84" s="358">
        <v>205</v>
      </c>
      <c r="T84" s="188" t="s">
        <v>171</v>
      </c>
      <c r="U84" s="358"/>
      <c r="V84" s="358"/>
      <c r="W84" s="358"/>
      <c r="X84" s="402">
        <f t="shared" si="6"/>
        <v>7266.28</v>
      </c>
      <c r="Y84" s="402">
        <v>-348.78</v>
      </c>
      <c r="Z84" s="402">
        <v>0</v>
      </c>
      <c r="AA84" s="402">
        <v>6917.5</v>
      </c>
      <c r="AB84" s="450">
        <v>457</v>
      </c>
      <c r="AC84" s="173" t="s">
        <v>172</v>
      </c>
      <c r="AD84" s="173" t="s">
        <v>173</v>
      </c>
      <c r="AE84" s="164" t="b">
        <v>1</v>
      </c>
      <c r="AF84" s="164" t="b">
        <v>1</v>
      </c>
      <c r="AG84" s="409">
        <f>(AB84-S84)/S84</f>
        <v>1.2292682926829268</v>
      </c>
      <c r="AH84" s="409">
        <f>(AA84-R84)/R84</f>
        <v>1.5188527067425508</v>
      </c>
      <c r="AI84" s="402">
        <f t="shared" si="8"/>
        <v>9530.82</v>
      </c>
      <c r="AJ84" s="364">
        <v>-457.48</v>
      </c>
      <c r="AK84" s="364">
        <v>0</v>
      </c>
      <c r="AL84" s="364">
        <v>9073.34</v>
      </c>
      <c r="AM84" s="1069">
        <v>563</v>
      </c>
      <c r="AN84" s="407">
        <v>46122</v>
      </c>
      <c r="AO84" s="148" t="s">
        <v>174</v>
      </c>
      <c r="AP84" s="860" t="b">
        <v>1</v>
      </c>
      <c r="AQ84" s="860" t="b">
        <v>1</v>
      </c>
      <c r="AR84" s="409">
        <f t="shared" si="7"/>
        <v>0.23194748358862144</v>
      </c>
      <c r="AS84" s="409">
        <f>(AL84-AA84)/AA84</f>
        <v>0.31165016263100831</v>
      </c>
      <c r="AT84" s="402">
        <f t="shared" si="9"/>
        <v>0</v>
      </c>
      <c r="AU84" s="402"/>
      <c r="AV84" s="402"/>
      <c r="AW84" s="402"/>
      <c r="AX84" s="358"/>
      <c r="AY84" s="358"/>
      <c r="AZ84" s="358"/>
      <c r="BA84" s="164" t="b">
        <v>0</v>
      </c>
      <c r="BB84" s="164" t="b">
        <v>0</v>
      </c>
      <c r="BC84" s="358">
        <f>(AX84-AM84)/AM84</f>
        <v>-1</v>
      </c>
      <c r="BD84" s="358">
        <f>(AW84-AL84)/AL84</f>
        <v>-1</v>
      </c>
      <c r="BE84" s="402">
        <f>BH84 + ABS(BF84) + ABS(BG84)</f>
        <v>0</v>
      </c>
      <c r="BF84" s="402"/>
      <c r="BG84" s="402"/>
      <c r="BH84" s="402"/>
      <c r="BI84" s="358"/>
      <c r="BJ84" s="358"/>
      <c r="BK84" s="358"/>
      <c r="BL84" s="164" t="b">
        <v>0</v>
      </c>
      <c r="BM84" s="164" t="b">
        <v>0</v>
      </c>
      <c r="BN84" s="358" t="e">
        <f>(BI84-AZ84)/AZ84</f>
        <v>#DIV/0!</v>
      </c>
      <c r="BO84" s="358" t="e">
        <f>(BH84-AW84)/AW84</f>
        <v>#DIV/0!</v>
      </c>
      <c r="BP84" s="402">
        <f>BS84 + ABS(BQ84) + ABS(BR84)</f>
        <v>0</v>
      </c>
      <c r="BQ84" s="402"/>
      <c r="BR84" s="402"/>
      <c r="BS84" s="402"/>
      <c r="BT84" s="358"/>
      <c r="BU84" s="358"/>
      <c r="BV84" s="358"/>
      <c r="BW84" s="164" t="b">
        <v>0</v>
      </c>
      <c r="BX84" s="164" t="b">
        <v>0</v>
      </c>
      <c r="BY84" s="358" t="e">
        <f>(BT84-BI84)/BI84</f>
        <v>#DIV/0!</v>
      </c>
      <c r="BZ84" s="358" t="e">
        <f>(BS84-BH84)/BH84</f>
        <v>#DIV/0!</v>
      </c>
      <c r="CA84" s="402">
        <f>CD84 + ABS(CB84) + ABS(CC84)</f>
        <v>0</v>
      </c>
      <c r="CB84" s="402"/>
      <c r="CC84" s="402"/>
      <c r="CD84" s="402"/>
      <c r="CE84" s="358"/>
      <c r="CF84" s="358"/>
      <c r="CG84" s="358"/>
      <c r="CH84" s="164" t="b">
        <v>0</v>
      </c>
      <c r="CI84" s="164" t="b">
        <v>0</v>
      </c>
      <c r="CJ84" s="358" t="e">
        <f>(CE84-BV84)/BV84</f>
        <v>#DIV/0!</v>
      </c>
      <c r="CK84" s="358" t="e">
        <f>(CD84-BS84)/BS84</f>
        <v>#DIV/0!</v>
      </c>
      <c r="CL84" s="402">
        <f>CO84 + ABS(CM84) + ABS(CN84)</f>
        <v>0</v>
      </c>
      <c r="CM84" s="402"/>
      <c r="CN84" s="402"/>
      <c r="CO84" s="402"/>
      <c r="CP84" s="358"/>
      <c r="CQ84" s="358"/>
      <c r="CR84" s="358"/>
      <c r="CS84" s="164" t="b">
        <v>0</v>
      </c>
      <c r="CT84" s="164" t="b">
        <v>0</v>
      </c>
      <c r="CU84" s="358" t="e">
        <f>(CP84-CE84)/CE84</f>
        <v>#DIV/0!</v>
      </c>
      <c r="CV84" s="358" t="e">
        <f>(CO84-CD84)/CD84</f>
        <v>#DIV/0!</v>
      </c>
      <c r="CW84" s="402">
        <f>CZ84 + ABS(CX84) + ABS(CY84)</f>
        <v>0</v>
      </c>
      <c r="CX84" s="402"/>
      <c r="CY84" s="402"/>
      <c r="CZ84" s="402"/>
      <c r="DA84" s="358"/>
      <c r="DB84" s="358"/>
      <c r="DC84" s="358"/>
      <c r="DD84" s="164" t="b">
        <v>0</v>
      </c>
      <c r="DE84" s="164" t="b">
        <v>0</v>
      </c>
      <c r="DF84" s="358" t="e">
        <f>(DA84-CR84)/CR84</f>
        <v>#DIV/0!</v>
      </c>
      <c r="DG84" s="358" t="e">
        <f>(CZ84-CO84)/CO84</f>
        <v>#DIV/0!</v>
      </c>
      <c r="DH84" s="402">
        <f>DK84 + ABS(DI84) + ABS(DJ84)</f>
        <v>0</v>
      </c>
      <c r="DI84" s="402"/>
      <c r="DJ84" s="402"/>
      <c r="DK84" s="402"/>
      <c r="DL84" s="358"/>
      <c r="DM84" s="358"/>
      <c r="DN84" s="358"/>
      <c r="DO84" s="164" t="b">
        <v>0</v>
      </c>
      <c r="DP84" s="164" t="b">
        <v>0</v>
      </c>
      <c r="DQ84" s="358" t="e">
        <f>(DL84-DA84)/DA84</f>
        <v>#DIV/0!</v>
      </c>
      <c r="DR84" s="358" t="e">
        <f>(DK84-CZ84)/CZ84</f>
        <v>#DIV/0!</v>
      </c>
      <c r="DS84" s="402">
        <f>DV84 + ABS(DT84) + ABS(DU84)</f>
        <v>0</v>
      </c>
      <c r="DT84" s="402"/>
      <c r="DU84" s="402"/>
      <c r="DV84" s="402"/>
      <c r="DW84" s="358"/>
      <c r="DX84" s="358"/>
      <c r="DY84" s="358"/>
      <c r="DZ84" s="164" t="b">
        <v>0</v>
      </c>
      <c r="EA84" s="164" t="b">
        <v>0</v>
      </c>
      <c r="EB84" s="358" t="e">
        <f>(DW84-DN84)/DN84</f>
        <v>#DIV/0!</v>
      </c>
      <c r="EC84" s="358" t="e">
        <f>(DV84-DK84)/DK84</f>
        <v>#DIV/0!</v>
      </c>
      <c r="ED84" s="402">
        <f>EG84 + ABS(EE84) + ABS(EF84)</f>
        <v>0</v>
      </c>
      <c r="EE84" s="402"/>
      <c r="EF84" s="402"/>
      <c r="EG84" s="402"/>
      <c r="EH84" s="358"/>
      <c r="EI84" s="358"/>
      <c r="EJ84" s="358"/>
      <c r="EK84" s="164" t="b">
        <v>0</v>
      </c>
      <c r="EL84" s="164" t="b">
        <v>0</v>
      </c>
      <c r="EM84" s="358" t="e">
        <f>(EH84-DW84)/DW84</f>
        <v>#DIV/0!</v>
      </c>
      <c r="EN84" s="358" t="e">
        <f>(EG84-DV84)/DV84</f>
        <v>#DIV/0!</v>
      </c>
      <c r="EO84" s="402">
        <f>ER84 + ABS(EP84) + ABS(EQ84)</f>
        <v>0</v>
      </c>
      <c r="EP84" s="402"/>
      <c r="EQ84" s="402"/>
      <c r="ER84" s="402"/>
      <c r="ES84" s="358"/>
      <c r="ET84" s="358"/>
      <c r="EU84" s="358"/>
      <c r="EV84" s="164" t="b">
        <v>0</v>
      </c>
      <c r="EW84" s="164" t="b">
        <v>0</v>
      </c>
      <c r="EX84" s="358" t="e">
        <f>(ES84-EJ84)/EJ84</f>
        <v>#DIV/0!</v>
      </c>
      <c r="EY84" s="358" t="e">
        <f>(ER84-EG84)/EG84</f>
        <v>#DIV/0!</v>
      </c>
      <c r="EZ84" s="449"/>
      <c r="FA84" s="449"/>
      <c r="FB84" s="449"/>
      <c r="FC84" s="449"/>
      <c r="FD84" s="449"/>
      <c r="FE84" s="449"/>
      <c r="FF84" s="449"/>
      <c r="FG84" s="449"/>
      <c r="FH84" s="449"/>
      <c r="FI84" s="449"/>
      <c r="FJ84" s="449"/>
      <c r="FK84" s="449"/>
      <c r="FL84" s="449"/>
      <c r="FM84" s="449"/>
      <c r="FN84" s="449"/>
      <c r="FO84" s="449"/>
      <c r="FP84" s="449"/>
      <c r="FQ84" s="803"/>
      <c r="FR84" s="449"/>
      <c r="FS84" s="449"/>
      <c r="FT84" s="449"/>
      <c r="FU84" s="449"/>
      <c r="FV84" s="449"/>
      <c r="FW84" s="449"/>
      <c r="FX84" s="449"/>
      <c r="FY84" s="449"/>
      <c r="FZ84" s="449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</row>
    <row r="85" spans="1:221" ht="15">
      <c r="B85" s="175"/>
      <c r="C85" s="802" t="s">
        <v>386</v>
      </c>
      <c r="D85" s="154">
        <v>1450022</v>
      </c>
      <c r="E85" s="154">
        <v>77</v>
      </c>
      <c r="F85" s="154" t="s">
        <v>387</v>
      </c>
      <c r="G85" s="255" t="s">
        <v>388</v>
      </c>
      <c r="H85" s="171" t="s">
        <v>169</v>
      </c>
      <c r="I85" s="445" t="s">
        <v>170</v>
      </c>
      <c r="J85" s="154"/>
      <c r="K85" s="154"/>
      <c r="L85" s="154"/>
      <c r="M85" s="176"/>
      <c r="N85" s="418">
        <v>107</v>
      </c>
      <c r="O85" s="176"/>
      <c r="P85" s="203">
        <v>5830.61</v>
      </c>
      <c r="Q85" s="203"/>
      <c r="R85" s="203">
        <v>115640.41</v>
      </c>
      <c r="S85" s="176">
        <v>4054</v>
      </c>
      <c r="T85" s="188" t="s">
        <v>171</v>
      </c>
      <c r="U85" s="176"/>
      <c r="V85" s="176"/>
      <c r="W85" s="176"/>
      <c r="X85" s="203">
        <f t="shared" si="6"/>
        <v>147460.06</v>
      </c>
      <c r="Y85" s="203">
        <v>-7078.08</v>
      </c>
      <c r="Z85" s="203">
        <v>0</v>
      </c>
      <c r="AA85" s="203">
        <v>140381.98000000001</v>
      </c>
      <c r="AB85" s="446">
        <v>4913</v>
      </c>
      <c r="AC85" s="444" t="s">
        <v>172</v>
      </c>
      <c r="AD85" s="444" t="s">
        <v>173</v>
      </c>
      <c r="AE85" s="177" t="b">
        <v>1</v>
      </c>
      <c r="AF85" s="177" t="b">
        <v>1</v>
      </c>
      <c r="AG85" s="392">
        <f>(AB85-S85)/S85</f>
        <v>0.21188949185989148</v>
      </c>
      <c r="AH85" s="392">
        <f>(AA85-R85)/R85</f>
        <v>0.21395263126445163</v>
      </c>
      <c r="AI85" s="203">
        <f t="shared" si="8"/>
        <v>122534.86</v>
      </c>
      <c r="AJ85" s="368">
        <v>-5881.67</v>
      </c>
      <c r="AK85" s="368">
        <v>0</v>
      </c>
      <c r="AL85" s="368">
        <v>116653.19</v>
      </c>
      <c r="AM85" s="1068">
        <v>3937</v>
      </c>
      <c r="AN85" s="172">
        <v>46122</v>
      </c>
      <c r="AO85" s="171" t="s">
        <v>174</v>
      </c>
      <c r="AP85" s="861" t="b">
        <v>1</v>
      </c>
      <c r="AQ85" s="861" t="b">
        <v>1</v>
      </c>
      <c r="AR85" s="392">
        <f t="shared" si="7"/>
        <v>-0.19865662527986974</v>
      </c>
      <c r="AS85" s="392">
        <f>(AL85-AA85)/AA85</f>
        <v>-0.16903017039651391</v>
      </c>
      <c r="AT85" s="203">
        <f t="shared" si="9"/>
        <v>0</v>
      </c>
      <c r="AU85" s="203"/>
      <c r="AV85" s="203"/>
      <c r="AW85" s="203"/>
      <c r="AX85" s="176"/>
      <c r="AY85" s="176"/>
      <c r="AZ85" s="176"/>
      <c r="BA85" s="177" t="b">
        <v>0</v>
      </c>
      <c r="BB85" s="177" t="b">
        <v>0</v>
      </c>
      <c r="BC85" s="176">
        <f>(AX85-AM85)/AM85</f>
        <v>-1</v>
      </c>
      <c r="BD85" s="176">
        <f>(AW85-AL85)/AL85</f>
        <v>-1</v>
      </c>
      <c r="BE85" s="203">
        <f>BH85 + ABS(BF85) + ABS(BG85)</f>
        <v>0</v>
      </c>
      <c r="BF85" s="203"/>
      <c r="BG85" s="203"/>
      <c r="BH85" s="203"/>
      <c r="BI85" s="176"/>
      <c r="BJ85" s="176"/>
      <c r="BK85" s="176"/>
      <c r="BL85" s="177" t="b">
        <v>0</v>
      </c>
      <c r="BM85" s="177" t="b">
        <v>0</v>
      </c>
      <c r="BN85" s="176" t="e">
        <f>(BI85-AZ85)/AZ85</f>
        <v>#DIV/0!</v>
      </c>
      <c r="BO85" s="176" t="e">
        <f>(BH85-AW85)/AW85</f>
        <v>#DIV/0!</v>
      </c>
      <c r="BP85" s="203">
        <f>BS85 + ABS(BQ85) + ABS(BR85)</f>
        <v>0</v>
      </c>
      <c r="BQ85" s="203"/>
      <c r="BR85" s="203"/>
      <c r="BS85" s="203"/>
      <c r="BT85" s="176"/>
      <c r="BU85" s="176"/>
      <c r="BV85" s="176"/>
      <c r="BW85" s="177" t="b">
        <v>0</v>
      </c>
      <c r="BX85" s="177" t="b">
        <v>0</v>
      </c>
      <c r="BY85" s="176" t="e">
        <f>(BT85-BI85)/BI85</f>
        <v>#DIV/0!</v>
      </c>
      <c r="BZ85" s="176" t="e">
        <f>(BS85-BH85)/BH85</f>
        <v>#DIV/0!</v>
      </c>
      <c r="CA85" s="203">
        <f>CD85 + ABS(CB85) + ABS(CC85)</f>
        <v>0</v>
      </c>
      <c r="CB85" s="203"/>
      <c r="CC85" s="203"/>
      <c r="CD85" s="203"/>
      <c r="CE85" s="176"/>
      <c r="CF85" s="176"/>
      <c r="CG85" s="176"/>
      <c r="CH85" s="177" t="b">
        <v>0</v>
      </c>
      <c r="CI85" s="177" t="b">
        <v>0</v>
      </c>
      <c r="CJ85" s="176" t="e">
        <f>(CE85-BV85)/BV85</f>
        <v>#DIV/0!</v>
      </c>
      <c r="CK85" s="176" t="e">
        <f>(CD85-BS85)/BS85</f>
        <v>#DIV/0!</v>
      </c>
      <c r="CL85" s="203">
        <f>CO85 + ABS(CM85) + ABS(CN85)</f>
        <v>0</v>
      </c>
      <c r="CM85" s="203"/>
      <c r="CN85" s="203"/>
      <c r="CO85" s="203"/>
      <c r="CP85" s="176"/>
      <c r="CQ85" s="176"/>
      <c r="CR85" s="176"/>
      <c r="CS85" s="177" t="b">
        <v>0</v>
      </c>
      <c r="CT85" s="177" t="b">
        <v>0</v>
      </c>
      <c r="CU85" s="176" t="e">
        <f>(CP85-CE85)/CE85</f>
        <v>#DIV/0!</v>
      </c>
      <c r="CV85" s="176" t="e">
        <f>(CO85-CD85)/CD85</f>
        <v>#DIV/0!</v>
      </c>
      <c r="CW85" s="203">
        <f>CZ85 + ABS(CX85) + ABS(CY85)</f>
        <v>0</v>
      </c>
      <c r="CX85" s="203"/>
      <c r="CY85" s="203"/>
      <c r="CZ85" s="203"/>
      <c r="DA85" s="176"/>
      <c r="DB85" s="176"/>
      <c r="DC85" s="176"/>
      <c r="DD85" s="177" t="b">
        <v>0</v>
      </c>
      <c r="DE85" s="177" t="b">
        <v>0</v>
      </c>
      <c r="DF85" s="176" t="e">
        <f>(DA85-CR85)/CR85</f>
        <v>#DIV/0!</v>
      </c>
      <c r="DG85" s="176" t="e">
        <f>(CZ85-CO85)/CO85</f>
        <v>#DIV/0!</v>
      </c>
      <c r="DH85" s="203">
        <f>DK85 + ABS(DI85) + ABS(DJ85)</f>
        <v>0</v>
      </c>
      <c r="DI85" s="203"/>
      <c r="DJ85" s="203"/>
      <c r="DK85" s="203"/>
      <c r="DL85" s="176"/>
      <c r="DM85" s="176"/>
      <c r="DN85" s="176"/>
      <c r="DO85" s="177" t="b">
        <v>0</v>
      </c>
      <c r="DP85" s="177" t="b">
        <v>0</v>
      </c>
      <c r="DQ85" s="176" t="e">
        <f>(DL85-DA85)/DA85</f>
        <v>#DIV/0!</v>
      </c>
      <c r="DR85" s="176" t="e">
        <f>(DK85-CZ85)/CZ85</f>
        <v>#DIV/0!</v>
      </c>
      <c r="DS85" s="203">
        <f>DV85 + ABS(DT85) + ABS(DU85)</f>
        <v>0</v>
      </c>
      <c r="DT85" s="203"/>
      <c r="DU85" s="203"/>
      <c r="DV85" s="203"/>
      <c r="DW85" s="176"/>
      <c r="DX85" s="176"/>
      <c r="DY85" s="176"/>
      <c r="DZ85" s="177" t="b">
        <v>0</v>
      </c>
      <c r="EA85" s="177" t="b">
        <v>0</v>
      </c>
      <c r="EB85" s="176" t="e">
        <f>(DW85-DN85)/DN85</f>
        <v>#DIV/0!</v>
      </c>
      <c r="EC85" s="176" t="e">
        <f>(DV85-DK85)/DK85</f>
        <v>#DIV/0!</v>
      </c>
      <c r="ED85" s="203">
        <f>EG85 + ABS(EE85) + ABS(EF85)</f>
        <v>0</v>
      </c>
      <c r="EE85" s="203"/>
      <c r="EF85" s="203"/>
      <c r="EG85" s="203"/>
      <c r="EH85" s="176"/>
      <c r="EI85" s="176"/>
      <c r="EJ85" s="176"/>
      <c r="EK85" s="177" t="b">
        <v>0</v>
      </c>
      <c r="EL85" s="177" t="b">
        <v>0</v>
      </c>
      <c r="EM85" s="176" t="e">
        <f>(EH85-DW85)/DW85</f>
        <v>#DIV/0!</v>
      </c>
      <c r="EN85" s="176" t="e">
        <f>(EG85-DV85)/DV85</f>
        <v>#DIV/0!</v>
      </c>
      <c r="EO85" s="203">
        <f>ER85 + ABS(EP85) + ABS(EQ85)</f>
        <v>0</v>
      </c>
      <c r="EP85" s="203"/>
      <c r="EQ85" s="203"/>
      <c r="ER85" s="203"/>
      <c r="ES85" s="176"/>
      <c r="ET85" s="176"/>
      <c r="EU85" s="176"/>
      <c r="EV85" s="177" t="b">
        <v>0</v>
      </c>
      <c r="EW85" s="177" t="b">
        <v>0</v>
      </c>
      <c r="EX85" s="176" t="e">
        <f>(ES85-EJ85)/EJ85</f>
        <v>#DIV/0!</v>
      </c>
      <c r="EY85" s="176" t="e">
        <f>(ER85-EG85)/EG85</f>
        <v>#DIV/0!</v>
      </c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801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</row>
    <row r="86" spans="1:221" ht="15">
      <c r="B86" s="175"/>
      <c r="C86" s="800" t="s">
        <v>389</v>
      </c>
      <c r="D86" s="357">
        <v>1450022</v>
      </c>
      <c r="E86" s="357">
        <v>114</v>
      </c>
      <c r="F86" s="357" t="s">
        <v>390</v>
      </c>
      <c r="G86" s="426" t="s">
        <v>391</v>
      </c>
      <c r="H86" s="148" t="s">
        <v>169</v>
      </c>
      <c r="I86" s="448" t="s">
        <v>170</v>
      </c>
      <c r="J86" s="357"/>
      <c r="K86" s="357"/>
      <c r="L86" s="357"/>
      <c r="M86" s="358"/>
      <c r="N86" s="359">
        <v>107</v>
      </c>
      <c r="O86" s="358"/>
      <c r="P86" s="402">
        <v>2382.9899999999998</v>
      </c>
      <c r="Q86" s="402"/>
      <c r="R86" s="402">
        <v>47262.66</v>
      </c>
      <c r="S86" s="358">
        <v>1680</v>
      </c>
      <c r="T86" s="188" t="s">
        <v>171</v>
      </c>
      <c r="U86" s="358"/>
      <c r="V86" s="358"/>
      <c r="W86" s="358"/>
      <c r="X86" s="402">
        <f t="shared" si="6"/>
        <v>55000.79</v>
      </c>
      <c r="Y86" s="402">
        <v>-2640.04</v>
      </c>
      <c r="Z86" s="402">
        <v>0</v>
      </c>
      <c r="AA86" s="402">
        <v>52360.75</v>
      </c>
      <c r="AB86" s="450">
        <v>1857</v>
      </c>
      <c r="AC86" s="173" t="s">
        <v>172</v>
      </c>
      <c r="AD86" s="173" t="s">
        <v>173</v>
      </c>
      <c r="AE86" s="164" t="b">
        <v>1</v>
      </c>
      <c r="AF86" s="164" t="b">
        <v>1</v>
      </c>
      <c r="AG86" s="409">
        <f>(AB86-S86)/S86</f>
        <v>0.10535714285714286</v>
      </c>
      <c r="AH86" s="409">
        <f>(AA86-R86)/R86</f>
        <v>0.10786718309972389</v>
      </c>
      <c r="AI86" s="402">
        <f t="shared" si="8"/>
        <v>26104.85</v>
      </c>
      <c r="AJ86" s="364">
        <v>-1253.03</v>
      </c>
      <c r="AK86" s="364">
        <v>0</v>
      </c>
      <c r="AL86" s="364">
        <v>24851.82</v>
      </c>
      <c r="AM86" s="1069">
        <v>879</v>
      </c>
      <c r="AN86" s="407">
        <v>46122</v>
      </c>
      <c r="AO86" s="148" t="s">
        <v>174</v>
      </c>
      <c r="AP86" s="860" t="b">
        <v>1</v>
      </c>
      <c r="AQ86" s="860" t="b">
        <v>1</v>
      </c>
      <c r="AR86" s="409">
        <f t="shared" si="7"/>
        <v>-0.5266558966074314</v>
      </c>
      <c r="AS86" s="409">
        <f>(AL86-AA86)/AA86</f>
        <v>-0.52537310867395903</v>
      </c>
      <c r="AT86" s="402">
        <f t="shared" si="9"/>
        <v>0</v>
      </c>
      <c r="AU86" s="402"/>
      <c r="AV86" s="402"/>
      <c r="AW86" s="402"/>
      <c r="AX86" s="358"/>
      <c r="AY86" s="358"/>
      <c r="AZ86" s="358"/>
      <c r="BA86" s="164" t="b">
        <v>0</v>
      </c>
      <c r="BB86" s="164" t="b">
        <v>0</v>
      </c>
      <c r="BC86" s="358">
        <f>(AX86-AM86)/AM86</f>
        <v>-1</v>
      </c>
      <c r="BD86" s="358">
        <f>(AW86-AL86)/AL86</f>
        <v>-1</v>
      </c>
      <c r="BE86" s="402">
        <f>BH86 + ABS(BF86) + ABS(BG86)</f>
        <v>0</v>
      </c>
      <c r="BF86" s="402"/>
      <c r="BG86" s="402"/>
      <c r="BH86" s="402"/>
      <c r="BI86" s="358"/>
      <c r="BJ86" s="358"/>
      <c r="BK86" s="358"/>
      <c r="BL86" s="164" t="b">
        <v>0</v>
      </c>
      <c r="BM86" s="164" t="b">
        <v>0</v>
      </c>
      <c r="BN86" s="358" t="e">
        <f>(BI86-AZ86)/AZ86</f>
        <v>#DIV/0!</v>
      </c>
      <c r="BO86" s="358" t="e">
        <f>(BH86-AW86)/AW86</f>
        <v>#DIV/0!</v>
      </c>
      <c r="BP86" s="402">
        <f>BS86 + ABS(BQ86) + ABS(BR86)</f>
        <v>0</v>
      </c>
      <c r="BQ86" s="402"/>
      <c r="BR86" s="402"/>
      <c r="BS86" s="402"/>
      <c r="BT86" s="358"/>
      <c r="BU86" s="358"/>
      <c r="BV86" s="358"/>
      <c r="BW86" s="164" t="b">
        <v>0</v>
      </c>
      <c r="BX86" s="164" t="b">
        <v>0</v>
      </c>
      <c r="BY86" s="358" t="e">
        <f>(BT86-BI86)/BI86</f>
        <v>#DIV/0!</v>
      </c>
      <c r="BZ86" s="358" t="e">
        <f>(BS86-BH86)/BH86</f>
        <v>#DIV/0!</v>
      </c>
      <c r="CA86" s="402">
        <f>CD86 + ABS(CB86) + ABS(CC86)</f>
        <v>0</v>
      </c>
      <c r="CB86" s="402"/>
      <c r="CC86" s="402"/>
      <c r="CD86" s="402"/>
      <c r="CE86" s="358"/>
      <c r="CF86" s="358"/>
      <c r="CG86" s="358"/>
      <c r="CH86" s="164" t="b">
        <v>0</v>
      </c>
      <c r="CI86" s="164" t="b">
        <v>0</v>
      </c>
      <c r="CJ86" s="358" t="e">
        <f>(CE86-BV86)/BV86</f>
        <v>#DIV/0!</v>
      </c>
      <c r="CK86" s="358" t="e">
        <f>(CD86-BS86)/BS86</f>
        <v>#DIV/0!</v>
      </c>
      <c r="CL86" s="402">
        <f>CO86 + ABS(CM86) + ABS(CN86)</f>
        <v>0</v>
      </c>
      <c r="CM86" s="402"/>
      <c r="CN86" s="402"/>
      <c r="CO86" s="402"/>
      <c r="CP86" s="358"/>
      <c r="CQ86" s="358"/>
      <c r="CR86" s="358"/>
      <c r="CS86" s="164" t="b">
        <v>0</v>
      </c>
      <c r="CT86" s="164" t="b">
        <v>0</v>
      </c>
      <c r="CU86" s="358" t="e">
        <f>(CP86-CE86)/CE86</f>
        <v>#DIV/0!</v>
      </c>
      <c r="CV86" s="358" t="e">
        <f>(CO86-CD86)/CD86</f>
        <v>#DIV/0!</v>
      </c>
      <c r="CW86" s="402">
        <f>CZ86 + ABS(CX86) + ABS(CY86)</f>
        <v>0</v>
      </c>
      <c r="CX86" s="402"/>
      <c r="CY86" s="402"/>
      <c r="CZ86" s="402"/>
      <c r="DA86" s="358"/>
      <c r="DB86" s="358"/>
      <c r="DC86" s="358"/>
      <c r="DD86" s="164" t="b">
        <v>0</v>
      </c>
      <c r="DE86" s="164" t="b">
        <v>0</v>
      </c>
      <c r="DF86" s="358" t="e">
        <f>(DA86-CR86)/CR86</f>
        <v>#DIV/0!</v>
      </c>
      <c r="DG86" s="358" t="e">
        <f>(CZ86-CO86)/CO86</f>
        <v>#DIV/0!</v>
      </c>
      <c r="DH86" s="402">
        <f>DK86 + ABS(DI86) + ABS(DJ86)</f>
        <v>0</v>
      </c>
      <c r="DI86" s="402"/>
      <c r="DJ86" s="402"/>
      <c r="DK86" s="402"/>
      <c r="DL86" s="358"/>
      <c r="DM86" s="358"/>
      <c r="DN86" s="358"/>
      <c r="DO86" s="164" t="b">
        <v>0</v>
      </c>
      <c r="DP86" s="164" t="b">
        <v>0</v>
      </c>
      <c r="DQ86" s="358" t="e">
        <f>(DL86-DA86)/DA86</f>
        <v>#DIV/0!</v>
      </c>
      <c r="DR86" s="358" t="e">
        <f>(DK86-CZ86)/CZ86</f>
        <v>#DIV/0!</v>
      </c>
      <c r="DS86" s="402">
        <f>DV86 + ABS(DT86) + ABS(DU86)</f>
        <v>0</v>
      </c>
      <c r="DT86" s="402"/>
      <c r="DU86" s="402"/>
      <c r="DV86" s="402"/>
      <c r="DW86" s="358"/>
      <c r="DX86" s="358"/>
      <c r="DY86" s="358"/>
      <c r="DZ86" s="164" t="b">
        <v>0</v>
      </c>
      <c r="EA86" s="164" t="b">
        <v>0</v>
      </c>
      <c r="EB86" s="358" t="e">
        <f>(DW86-DN86)/DN86</f>
        <v>#DIV/0!</v>
      </c>
      <c r="EC86" s="358" t="e">
        <f>(DV86-DK86)/DK86</f>
        <v>#DIV/0!</v>
      </c>
      <c r="ED86" s="402">
        <f>EG86 + ABS(EE86) + ABS(EF86)</f>
        <v>0</v>
      </c>
      <c r="EE86" s="402"/>
      <c r="EF86" s="402"/>
      <c r="EG86" s="402"/>
      <c r="EH86" s="358"/>
      <c r="EI86" s="358"/>
      <c r="EJ86" s="358"/>
      <c r="EK86" s="164" t="b">
        <v>0</v>
      </c>
      <c r="EL86" s="164" t="b">
        <v>0</v>
      </c>
      <c r="EM86" s="358" t="e">
        <f>(EH86-DW86)/DW86</f>
        <v>#DIV/0!</v>
      </c>
      <c r="EN86" s="358" t="e">
        <f>(EG86-DV86)/DV86</f>
        <v>#DIV/0!</v>
      </c>
      <c r="EO86" s="402">
        <f>ER86 + ABS(EP86) + ABS(EQ86)</f>
        <v>0</v>
      </c>
      <c r="EP86" s="402"/>
      <c r="EQ86" s="402"/>
      <c r="ER86" s="402"/>
      <c r="ES86" s="358"/>
      <c r="ET86" s="358"/>
      <c r="EU86" s="358"/>
      <c r="EV86" s="164" t="b">
        <v>0</v>
      </c>
      <c r="EW86" s="164" t="b">
        <v>0</v>
      </c>
      <c r="EX86" s="358" t="e">
        <f>(ES86-EJ86)/EJ86</f>
        <v>#DIV/0!</v>
      </c>
      <c r="EY86" s="358" t="e">
        <f>(ER86-EG86)/EG86</f>
        <v>#DIV/0!</v>
      </c>
      <c r="EZ86" s="449"/>
      <c r="FA86" s="449"/>
      <c r="FB86" s="449"/>
      <c r="FC86" s="449"/>
      <c r="FD86" s="449"/>
      <c r="FE86" s="449"/>
      <c r="FF86" s="449"/>
      <c r="FG86" s="449"/>
      <c r="FH86" s="449"/>
      <c r="FI86" s="449"/>
      <c r="FJ86" s="449"/>
      <c r="FK86" s="449"/>
      <c r="FL86" s="449"/>
      <c r="FM86" s="449"/>
      <c r="FN86" s="449"/>
      <c r="FO86" s="449"/>
      <c r="FP86" s="449"/>
      <c r="FQ86" s="803"/>
      <c r="FR86" s="449"/>
      <c r="FS86" s="449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</row>
    <row r="87" spans="1:221" ht="15">
      <c r="B87" s="175"/>
      <c r="C87" s="802" t="s">
        <v>392</v>
      </c>
      <c r="D87" s="154">
        <v>1450022</v>
      </c>
      <c r="E87" s="154">
        <v>217</v>
      </c>
      <c r="F87" s="154" t="s">
        <v>393</v>
      </c>
      <c r="G87" s="255" t="s">
        <v>394</v>
      </c>
      <c r="H87" s="171" t="s">
        <v>169</v>
      </c>
      <c r="I87" s="445" t="s">
        <v>170</v>
      </c>
      <c r="J87" s="154"/>
      <c r="K87" s="154"/>
      <c r="L87" s="154"/>
      <c r="M87" s="176"/>
      <c r="N87" s="418">
        <v>107</v>
      </c>
      <c r="O87" s="176"/>
      <c r="P87" s="203">
        <v>1356.26</v>
      </c>
      <c r="Q87" s="203"/>
      <c r="R87" s="203">
        <v>26899.1</v>
      </c>
      <c r="S87" s="176">
        <v>973</v>
      </c>
      <c r="T87" s="188" t="s">
        <v>171</v>
      </c>
      <c r="U87" s="176"/>
      <c r="V87" s="176"/>
      <c r="W87" s="176"/>
      <c r="X87" s="203">
        <f t="shared" si="6"/>
        <v>35637.589999999997</v>
      </c>
      <c r="Y87" s="203">
        <v>-1710.6</v>
      </c>
      <c r="Z87" s="203">
        <v>0</v>
      </c>
      <c r="AA87" s="203">
        <v>33926.99</v>
      </c>
      <c r="AB87" s="446">
        <v>1217</v>
      </c>
      <c r="AC87" s="255" t="s">
        <v>172</v>
      </c>
      <c r="AD87" s="255" t="s">
        <v>173</v>
      </c>
      <c r="AE87" s="177" t="b">
        <v>1</v>
      </c>
      <c r="AF87" s="177" t="b">
        <v>1</v>
      </c>
      <c r="AG87" s="392">
        <f>(AB87-S87)/S87</f>
        <v>0.25077081192189105</v>
      </c>
      <c r="AH87" s="392">
        <f>(AA87-R87)/R87</f>
        <v>0.26126859262949315</v>
      </c>
      <c r="AI87" s="203">
        <f t="shared" si="8"/>
        <v>39801.54</v>
      </c>
      <c r="AJ87" s="368">
        <v>-1910.47</v>
      </c>
      <c r="AK87" s="368">
        <v>0</v>
      </c>
      <c r="AL87" s="368">
        <v>37891.07</v>
      </c>
      <c r="AM87" s="1068">
        <v>1316</v>
      </c>
      <c r="AN87" s="172">
        <v>46122</v>
      </c>
      <c r="AO87" s="171" t="s">
        <v>174</v>
      </c>
      <c r="AP87" s="861" t="b">
        <v>1</v>
      </c>
      <c r="AQ87" s="861" t="b">
        <v>1</v>
      </c>
      <c r="AR87" s="392">
        <f t="shared" si="7"/>
        <v>8.1347576006573538E-2</v>
      </c>
      <c r="AS87" s="392">
        <f>(AL87-AA87)/AA87</f>
        <v>0.11684148814852134</v>
      </c>
      <c r="AT87" s="203">
        <f t="shared" si="9"/>
        <v>0</v>
      </c>
      <c r="AU87" s="203"/>
      <c r="AV87" s="203"/>
      <c r="AW87" s="203"/>
      <c r="AX87" s="176"/>
      <c r="AY87" s="176"/>
      <c r="AZ87" s="176"/>
      <c r="BA87" s="177" t="b">
        <v>0</v>
      </c>
      <c r="BB87" s="177" t="b">
        <v>0</v>
      </c>
      <c r="BC87" s="176">
        <f>(AX87-AM87)/AM87</f>
        <v>-1</v>
      </c>
      <c r="BD87" s="176">
        <f>(AW87-AL87)/AL87</f>
        <v>-1</v>
      </c>
      <c r="BE87" s="203">
        <f>BH87 + ABS(BF87) + ABS(BG87)</f>
        <v>0</v>
      </c>
      <c r="BF87" s="203"/>
      <c r="BG87" s="203"/>
      <c r="BH87" s="203"/>
      <c r="BI87" s="176"/>
      <c r="BJ87" s="176"/>
      <c r="BK87" s="176"/>
      <c r="BL87" s="177" t="b">
        <v>0</v>
      </c>
      <c r="BM87" s="177" t="b">
        <v>0</v>
      </c>
      <c r="BN87" s="176" t="e">
        <f>(BI87-AZ87)/AZ87</f>
        <v>#DIV/0!</v>
      </c>
      <c r="BO87" s="176" t="e">
        <f>(BH87-AW87)/AW87</f>
        <v>#DIV/0!</v>
      </c>
      <c r="BP87" s="203">
        <f>BS87 + ABS(BQ87) + ABS(BR87)</f>
        <v>0</v>
      </c>
      <c r="BQ87" s="203"/>
      <c r="BR87" s="203"/>
      <c r="BS87" s="203"/>
      <c r="BT87" s="176"/>
      <c r="BU87" s="176"/>
      <c r="BV87" s="176"/>
      <c r="BW87" s="177" t="b">
        <v>0</v>
      </c>
      <c r="BX87" s="177" t="b">
        <v>0</v>
      </c>
      <c r="BY87" s="176" t="e">
        <f>(BT87-BI87)/BI87</f>
        <v>#DIV/0!</v>
      </c>
      <c r="BZ87" s="176" t="e">
        <f>(BS87-BH87)/BH87</f>
        <v>#DIV/0!</v>
      </c>
      <c r="CA87" s="203">
        <f>CD87 + ABS(CB87) + ABS(CC87)</f>
        <v>0</v>
      </c>
      <c r="CB87" s="203"/>
      <c r="CC87" s="203"/>
      <c r="CD87" s="203"/>
      <c r="CE87" s="176"/>
      <c r="CF87" s="176"/>
      <c r="CG87" s="176"/>
      <c r="CH87" s="177" t="b">
        <v>0</v>
      </c>
      <c r="CI87" s="177" t="b">
        <v>0</v>
      </c>
      <c r="CJ87" s="176" t="e">
        <f>(CE87-BV87)/BV87</f>
        <v>#DIV/0!</v>
      </c>
      <c r="CK87" s="176" t="e">
        <f>(CD87-BS87)/BS87</f>
        <v>#DIV/0!</v>
      </c>
      <c r="CL87" s="203">
        <f>CO87 + ABS(CM87) + ABS(CN87)</f>
        <v>0</v>
      </c>
      <c r="CM87" s="203"/>
      <c r="CN87" s="203"/>
      <c r="CO87" s="203"/>
      <c r="CP87" s="176"/>
      <c r="CQ87" s="176"/>
      <c r="CR87" s="176"/>
      <c r="CS87" s="177" t="b">
        <v>0</v>
      </c>
      <c r="CT87" s="177" t="b">
        <v>0</v>
      </c>
      <c r="CU87" s="176" t="e">
        <f>(CP87-CE87)/CE87</f>
        <v>#DIV/0!</v>
      </c>
      <c r="CV87" s="176" t="e">
        <f>(CO87-CD87)/CD87</f>
        <v>#DIV/0!</v>
      </c>
      <c r="CW87" s="203">
        <f>CZ87 + ABS(CX87) + ABS(CY87)</f>
        <v>0</v>
      </c>
      <c r="CX87" s="203"/>
      <c r="CY87" s="203"/>
      <c r="CZ87" s="203"/>
      <c r="DA87" s="176"/>
      <c r="DB87" s="176"/>
      <c r="DC87" s="176"/>
      <c r="DD87" s="177" t="b">
        <v>0</v>
      </c>
      <c r="DE87" s="177" t="b">
        <v>0</v>
      </c>
      <c r="DF87" s="176" t="e">
        <f>(DA87-CR87)/CR87</f>
        <v>#DIV/0!</v>
      </c>
      <c r="DG87" s="176" t="e">
        <f>(CZ87-CO87)/CO87</f>
        <v>#DIV/0!</v>
      </c>
      <c r="DH87" s="203">
        <f>DK87 + ABS(DI87) + ABS(DJ87)</f>
        <v>0</v>
      </c>
      <c r="DI87" s="203"/>
      <c r="DJ87" s="203"/>
      <c r="DK87" s="203"/>
      <c r="DL87" s="176"/>
      <c r="DM87" s="176"/>
      <c r="DN87" s="176"/>
      <c r="DO87" s="177" t="b">
        <v>0</v>
      </c>
      <c r="DP87" s="177" t="b">
        <v>0</v>
      </c>
      <c r="DQ87" s="176" t="e">
        <f>(DL87-DA87)/DA87</f>
        <v>#DIV/0!</v>
      </c>
      <c r="DR87" s="176" t="e">
        <f>(DK87-CZ87)/CZ87</f>
        <v>#DIV/0!</v>
      </c>
      <c r="DS87" s="203">
        <f>DV87 + ABS(DT87) + ABS(DU87)</f>
        <v>0</v>
      </c>
      <c r="DT87" s="203"/>
      <c r="DU87" s="203"/>
      <c r="DV87" s="203"/>
      <c r="DW87" s="176"/>
      <c r="DX87" s="176"/>
      <c r="DY87" s="176"/>
      <c r="DZ87" s="177" t="b">
        <v>0</v>
      </c>
      <c r="EA87" s="177" t="b">
        <v>0</v>
      </c>
      <c r="EB87" s="176" t="e">
        <f>(DW87-DN87)/DN87</f>
        <v>#DIV/0!</v>
      </c>
      <c r="EC87" s="176" t="e">
        <f>(DV87-DK87)/DK87</f>
        <v>#DIV/0!</v>
      </c>
      <c r="ED87" s="203">
        <f>EG87 + ABS(EE87) + ABS(EF87)</f>
        <v>0</v>
      </c>
      <c r="EE87" s="203"/>
      <c r="EF87" s="203"/>
      <c r="EG87" s="203"/>
      <c r="EH87" s="176"/>
      <c r="EI87" s="176"/>
      <c r="EJ87" s="176"/>
      <c r="EK87" s="177" t="b">
        <v>0</v>
      </c>
      <c r="EL87" s="177" t="b">
        <v>0</v>
      </c>
      <c r="EM87" s="176" t="e">
        <f>(EH87-DW87)/DW87</f>
        <v>#DIV/0!</v>
      </c>
      <c r="EN87" s="176" t="e">
        <f>(EG87-DV87)/DV87</f>
        <v>#DIV/0!</v>
      </c>
      <c r="EO87" s="203">
        <f>ER87 + ABS(EP87) + ABS(EQ87)</f>
        <v>0</v>
      </c>
      <c r="EP87" s="203"/>
      <c r="EQ87" s="203"/>
      <c r="ER87" s="203"/>
      <c r="ES87" s="176"/>
      <c r="ET87" s="176"/>
      <c r="EU87" s="176"/>
      <c r="EV87" s="177" t="b">
        <v>0</v>
      </c>
      <c r="EW87" s="177" t="b">
        <v>0</v>
      </c>
      <c r="EX87" s="176" t="e">
        <f>(ES87-EJ87)/EJ87</f>
        <v>#DIV/0!</v>
      </c>
      <c r="EY87" s="176" t="e">
        <f>(ER87-EG87)/EG87</f>
        <v>#DIV/0!</v>
      </c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801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</row>
    <row r="88" spans="1:221" ht="15">
      <c r="B88" s="175"/>
      <c r="C88" s="800" t="s">
        <v>395</v>
      </c>
      <c r="D88" s="357">
        <v>1450022</v>
      </c>
      <c r="E88" s="357">
        <v>362</v>
      </c>
      <c r="F88" s="357" t="s">
        <v>396</v>
      </c>
      <c r="G88" s="426" t="s">
        <v>397</v>
      </c>
      <c r="H88" s="148" t="s">
        <v>169</v>
      </c>
      <c r="I88" s="448" t="s">
        <v>170</v>
      </c>
      <c r="J88" s="357"/>
      <c r="K88" s="357"/>
      <c r="L88" s="357"/>
      <c r="M88" s="358"/>
      <c r="N88" s="359">
        <v>107</v>
      </c>
      <c r="O88" s="358"/>
      <c r="P88" s="402">
        <v>5.2</v>
      </c>
      <c r="Q88" s="402"/>
      <c r="R88" s="402">
        <v>103.15</v>
      </c>
      <c r="S88" s="358">
        <v>6</v>
      </c>
      <c r="T88" s="188" t="s">
        <v>171</v>
      </c>
      <c r="U88" s="358"/>
      <c r="V88" s="358"/>
      <c r="W88" s="358"/>
      <c r="X88" s="402">
        <f t="shared" si="6"/>
        <v>121.7</v>
      </c>
      <c r="Y88" s="402">
        <v>-5.84</v>
      </c>
      <c r="Z88" s="402">
        <v>0</v>
      </c>
      <c r="AA88" s="402">
        <v>115.86</v>
      </c>
      <c r="AB88" s="450">
        <v>7</v>
      </c>
      <c r="AC88" s="173" t="s">
        <v>172</v>
      </c>
      <c r="AD88" s="173" t="s">
        <v>173</v>
      </c>
      <c r="AE88" s="164" t="b">
        <v>1</v>
      </c>
      <c r="AF88" s="164" t="b">
        <v>1</v>
      </c>
      <c r="AG88" s="409">
        <f>(AB88-S88)/S88</f>
        <v>0.16666666666666666</v>
      </c>
      <c r="AH88" s="409">
        <f>(AA88-R88)/R88</f>
        <v>0.1232186136694134</v>
      </c>
      <c r="AI88" s="402">
        <f t="shared" si="8"/>
        <v>98.63000000000001</v>
      </c>
      <c r="AJ88" s="364">
        <v>-4.7300000000000004</v>
      </c>
      <c r="AK88" s="364">
        <v>0</v>
      </c>
      <c r="AL88" s="364">
        <v>93.9</v>
      </c>
      <c r="AM88" s="1069">
        <v>4</v>
      </c>
      <c r="AN88" s="407">
        <v>46122</v>
      </c>
      <c r="AO88" s="148" t="s">
        <v>174</v>
      </c>
      <c r="AP88" s="860" t="b">
        <v>1</v>
      </c>
      <c r="AQ88" s="860" t="b">
        <v>1</v>
      </c>
      <c r="AR88" s="409">
        <f t="shared" si="7"/>
        <v>-0.42857142857142855</v>
      </c>
      <c r="AS88" s="409">
        <f>(AL88-AA88)/AA88</f>
        <v>-0.18953909891248052</v>
      </c>
      <c r="AT88" s="402">
        <f t="shared" si="9"/>
        <v>0</v>
      </c>
      <c r="AU88" s="402"/>
      <c r="AV88" s="402"/>
      <c r="AW88" s="402"/>
      <c r="AX88" s="358"/>
      <c r="AY88" s="358"/>
      <c r="AZ88" s="358"/>
      <c r="BA88" s="164" t="b">
        <v>0</v>
      </c>
      <c r="BB88" s="164" t="b">
        <v>0</v>
      </c>
      <c r="BC88" s="358">
        <f>(AX88-AM88)/AM88</f>
        <v>-1</v>
      </c>
      <c r="BD88" s="358">
        <f>(AW88-AL88)/AL88</f>
        <v>-1</v>
      </c>
      <c r="BE88" s="402">
        <f>BH88 + ABS(BF88) + ABS(BG88)</f>
        <v>0</v>
      </c>
      <c r="BF88" s="402"/>
      <c r="BG88" s="402"/>
      <c r="BH88" s="402"/>
      <c r="BI88" s="358"/>
      <c r="BJ88" s="358"/>
      <c r="BK88" s="358"/>
      <c r="BL88" s="164" t="b">
        <v>0</v>
      </c>
      <c r="BM88" s="164" t="b">
        <v>0</v>
      </c>
      <c r="BN88" s="358" t="e">
        <f>(BI88-AZ88)/AZ88</f>
        <v>#DIV/0!</v>
      </c>
      <c r="BO88" s="358" t="e">
        <f>(BH88-AW88)/AW88</f>
        <v>#DIV/0!</v>
      </c>
      <c r="BP88" s="402">
        <f>BS88 + ABS(BQ88) + ABS(BR88)</f>
        <v>0</v>
      </c>
      <c r="BQ88" s="402"/>
      <c r="BR88" s="402"/>
      <c r="BS88" s="402"/>
      <c r="BT88" s="358"/>
      <c r="BU88" s="358"/>
      <c r="BV88" s="358"/>
      <c r="BW88" s="164" t="b">
        <v>0</v>
      </c>
      <c r="BX88" s="164" t="b">
        <v>0</v>
      </c>
      <c r="BY88" s="358" t="e">
        <f>(BT88-BI88)/BI88</f>
        <v>#DIV/0!</v>
      </c>
      <c r="BZ88" s="358" t="e">
        <f>(BS88-BH88)/BH88</f>
        <v>#DIV/0!</v>
      </c>
      <c r="CA88" s="402">
        <f>CD88 + ABS(CB88) + ABS(CC88)</f>
        <v>0</v>
      </c>
      <c r="CB88" s="402"/>
      <c r="CC88" s="402"/>
      <c r="CD88" s="402"/>
      <c r="CE88" s="358"/>
      <c r="CF88" s="358"/>
      <c r="CG88" s="358"/>
      <c r="CH88" s="164" t="b">
        <v>0</v>
      </c>
      <c r="CI88" s="164" t="b">
        <v>0</v>
      </c>
      <c r="CJ88" s="358" t="e">
        <f>(CE88-BV88)/BV88</f>
        <v>#DIV/0!</v>
      </c>
      <c r="CK88" s="358" t="e">
        <f>(CD88-BS88)/BS88</f>
        <v>#DIV/0!</v>
      </c>
      <c r="CL88" s="402">
        <f>CO88 + ABS(CM88) + ABS(CN88)</f>
        <v>0</v>
      </c>
      <c r="CM88" s="402"/>
      <c r="CN88" s="402"/>
      <c r="CO88" s="402"/>
      <c r="CP88" s="358"/>
      <c r="CQ88" s="358"/>
      <c r="CR88" s="358"/>
      <c r="CS88" s="164" t="b">
        <v>0</v>
      </c>
      <c r="CT88" s="164" t="b">
        <v>0</v>
      </c>
      <c r="CU88" s="358" t="e">
        <f>(CP88-CE88)/CE88</f>
        <v>#DIV/0!</v>
      </c>
      <c r="CV88" s="358" t="e">
        <f>(CO88-CD88)/CD88</f>
        <v>#DIV/0!</v>
      </c>
      <c r="CW88" s="402">
        <f>CZ88 + ABS(CX88) + ABS(CY88)</f>
        <v>0</v>
      </c>
      <c r="CX88" s="402"/>
      <c r="CY88" s="402"/>
      <c r="CZ88" s="402"/>
      <c r="DA88" s="358"/>
      <c r="DB88" s="358"/>
      <c r="DC88" s="358"/>
      <c r="DD88" s="164" t="b">
        <v>0</v>
      </c>
      <c r="DE88" s="164" t="b">
        <v>0</v>
      </c>
      <c r="DF88" s="358" t="e">
        <f>(DA88-CR88)/CR88</f>
        <v>#DIV/0!</v>
      </c>
      <c r="DG88" s="358" t="e">
        <f>(CZ88-CO88)/CO88</f>
        <v>#DIV/0!</v>
      </c>
      <c r="DH88" s="402">
        <f>DK88 + ABS(DI88) + ABS(DJ88)</f>
        <v>0</v>
      </c>
      <c r="DI88" s="402"/>
      <c r="DJ88" s="402"/>
      <c r="DK88" s="402"/>
      <c r="DL88" s="358"/>
      <c r="DM88" s="358"/>
      <c r="DN88" s="358"/>
      <c r="DO88" s="164" t="b">
        <v>0</v>
      </c>
      <c r="DP88" s="164" t="b">
        <v>0</v>
      </c>
      <c r="DQ88" s="358" t="e">
        <f>(DL88-DA88)/DA88</f>
        <v>#DIV/0!</v>
      </c>
      <c r="DR88" s="358" t="e">
        <f>(DK88-CZ88)/CZ88</f>
        <v>#DIV/0!</v>
      </c>
      <c r="DS88" s="402">
        <f>DV88 + ABS(DT88) + ABS(DU88)</f>
        <v>0</v>
      </c>
      <c r="DT88" s="402"/>
      <c r="DU88" s="402"/>
      <c r="DV88" s="402"/>
      <c r="DW88" s="358"/>
      <c r="DX88" s="358"/>
      <c r="DY88" s="358"/>
      <c r="DZ88" s="164" t="b">
        <v>0</v>
      </c>
      <c r="EA88" s="164" t="b">
        <v>0</v>
      </c>
      <c r="EB88" s="358" t="e">
        <f>(DW88-DN88)/DN88</f>
        <v>#DIV/0!</v>
      </c>
      <c r="EC88" s="358" t="e">
        <f>(DV88-DK88)/DK88</f>
        <v>#DIV/0!</v>
      </c>
      <c r="ED88" s="402">
        <f>EG88 + ABS(EE88) + ABS(EF88)</f>
        <v>0</v>
      </c>
      <c r="EE88" s="402"/>
      <c r="EF88" s="402"/>
      <c r="EG88" s="402"/>
      <c r="EH88" s="358"/>
      <c r="EI88" s="358"/>
      <c r="EJ88" s="358"/>
      <c r="EK88" s="164" t="b">
        <v>0</v>
      </c>
      <c r="EL88" s="164" t="b">
        <v>0</v>
      </c>
      <c r="EM88" s="358" t="e">
        <f>(EH88-DW88)/DW88</f>
        <v>#DIV/0!</v>
      </c>
      <c r="EN88" s="358" t="e">
        <f>(EG88-DV88)/DV88</f>
        <v>#DIV/0!</v>
      </c>
      <c r="EO88" s="402">
        <f>ER88 + ABS(EP88) + ABS(EQ88)</f>
        <v>0</v>
      </c>
      <c r="EP88" s="402"/>
      <c r="EQ88" s="402"/>
      <c r="ER88" s="402"/>
      <c r="ES88" s="358"/>
      <c r="ET88" s="358"/>
      <c r="EU88" s="358"/>
      <c r="EV88" s="164" t="b">
        <v>0</v>
      </c>
      <c r="EW88" s="164" t="b">
        <v>0</v>
      </c>
      <c r="EX88" s="358" t="e">
        <f>(ES88-EJ88)/EJ88</f>
        <v>#DIV/0!</v>
      </c>
      <c r="EY88" s="358" t="e">
        <f>(ER88-EG88)/EG88</f>
        <v>#DIV/0!</v>
      </c>
      <c r="EZ88" s="449"/>
      <c r="FA88" s="449"/>
      <c r="FB88" s="449"/>
      <c r="FC88" s="449"/>
      <c r="FD88" s="449"/>
      <c r="FE88" s="449"/>
      <c r="FF88" s="449"/>
      <c r="FG88" s="449"/>
      <c r="FH88" s="449"/>
      <c r="FI88" s="449"/>
      <c r="FJ88" s="449"/>
      <c r="FK88" s="449"/>
      <c r="FL88" s="449"/>
      <c r="FM88" s="449"/>
      <c r="FN88" s="449"/>
      <c r="FO88" s="449"/>
      <c r="FP88" s="175"/>
      <c r="FQ88" s="801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</row>
    <row r="89" spans="1:221" ht="15">
      <c r="B89" s="175"/>
      <c r="C89" s="802" t="s">
        <v>398</v>
      </c>
      <c r="D89" s="154">
        <v>1450022</v>
      </c>
      <c r="E89" s="154">
        <v>42</v>
      </c>
      <c r="F89" s="154" t="s">
        <v>399</v>
      </c>
      <c r="G89" s="255" t="s">
        <v>400</v>
      </c>
      <c r="H89" s="171" t="s">
        <v>169</v>
      </c>
      <c r="I89" s="445" t="s">
        <v>170</v>
      </c>
      <c r="J89" s="154"/>
      <c r="K89" s="154"/>
      <c r="L89" s="154"/>
      <c r="M89" s="176"/>
      <c r="N89" s="418">
        <v>107</v>
      </c>
      <c r="O89" s="176"/>
      <c r="P89" s="203">
        <v>3048.53</v>
      </c>
      <c r="Q89" s="203"/>
      <c r="R89" s="203">
        <v>60462.44</v>
      </c>
      <c r="S89" s="176">
        <v>2350</v>
      </c>
      <c r="T89" s="188" t="s">
        <v>171</v>
      </c>
      <c r="U89" s="176"/>
      <c r="V89" s="176"/>
      <c r="W89" s="176"/>
      <c r="X89" s="203">
        <f t="shared" si="6"/>
        <v>169870.18</v>
      </c>
      <c r="Y89" s="203">
        <v>-8153.77</v>
      </c>
      <c r="Z89" s="203">
        <v>0</v>
      </c>
      <c r="AA89" s="203">
        <v>161716.41</v>
      </c>
      <c r="AB89" s="446">
        <v>6220</v>
      </c>
      <c r="AC89" s="255" t="s">
        <v>172</v>
      </c>
      <c r="AD89" s="255" t="s">
        <v>173</v>
      </c>
      <c r="AE89" s="177" t="b">
        <v>1</v>
      </c>
      <c r="AF89" s="177" t="b">
        <v>1</v>
      </c>
      <c r="AG89" s="392">
        <f>(AB89-S89)/S89</f>
        <v>1.6468085106382979</v>
      </c>
      <c r="AH89" s="392">
        <f>(AA89-R89)/R89</f>
        <v>1.6746590114457836</v>
      </c>
      <c r="AI89" s="203">
        <f t="shared" si="8"/>
        <v>179379.28999999998</v>
      </c>
      <c r="AJ89" s="368">
        <v>-8610.2099999999991</v>
      </c>
      <c r="AK89" s="368">
        <v>0</v>
      </c>
      <c r="AL89" s="368">
        <v>170769.08</v>
      </c>
      <c r="AM89" s="1068">
        <v>6566</v>
      </c>
      <c r="AN89" s="172">
        <v>46122</v>
      </c>
      <c r="AO89" s="171" t="s">
        <v>174</v>
      </c>
      <c r="AP89" s="861" t="b">
        <v>1</v>
      </c>
      <c r="AQ89" s="861" t="b">
        <v>1</v>
      </c>
      <c r="AR89" s="392">
        <f t="shared" si="7"/>
        <v>5.5627009646302253E-2</v>
      </c>
      <c r="AS89" s="392">
        <f>(AL89-AA89)/AA89</f>
        <v>5.5978672788988972E-2</v>
      </c>
      <c r="AT89" s="203">
        <f t="shared" si="9"/>
        <v>0</v>
      </c>
      <c r="AU89" s="203"/>
      <c r="AV89" s="203"/>
      <c r="AW89" s="203"/>
      <c r="AX89" s="176"/>
      <c r="AY89" s="176"/>
      <c r="AZ89" s="176"/>
      <c r="BA89" s="177" t="b">
        <v>0</v>
      </c>
      <c r="BB89" s="177" t="b">
        <v>0</v>
      </c>
      <c r="BC89" s="176">
        <f>(AX89-AM89)/AM89</f>
        <v>-1</v>
      </c>
      <c r="BD89" s="176">
        <f>(AW89-AL89)/AL89</f>
        <v>-1</v>
      </c>
      <c r="BE89" s="203">
        <f>BH89 + ABS(BF89) + ABS(BG89)</f>
        <v>0</v>
      </c>
      <c r="BF89" s="203"/>
      <c r="BG89" s="203"/>
      <c r="BH89" s="203"/>
      <c r="BI89" s="176"/>
      <c r="BJ89" s="176"/>
      <c r="BK89" s="176"/>
      <c r="BL89" s="177" t="b">
        <v>0</v>
      </c>
      <c r="BM89" s="177" t="b">
        <v>0</v>
      </c>
      <c r="BN89" s="176" t="e">
        <f>(BI89-AZ89)/AZ89</f>
        <v>#DIV/0!</v>
      </c>
      <c r="BO89" s="176" t="e">
        <f>(BH89-AW89)/AW89</f>
        <v>#DIV/0!</v>
      </c>
      <c r="BP89" s="203">
        <f>BS89 + ABS(BQ89) + ABS(BR89)</f>
        <v>0</v>
      </c>
      <c r="BQ89" s="203"/>
      <c r="BR89" s="203"/>
      <c r="BS89" s="203"/>
      <c r="BT89" s="176"/>
      <c r="BU89" s="176"/>
      <c r="BV89" s="176"/>
      <c r="BW89" s="177" t="b">
        <v>0</v>
      </c>
      <c r="BX89" s="177" t="b">
        <v>0</v>
      </c>
      <c r="BY89" s="176" t="e">
        <f>(BT89-BI89)/BI89</f>
        <v>#DIV/0!</v>
      </c>
      <c r="BZ89" s="176" t="e">
        <f>(BS89-BH89)/BH89</f>
        <v>#DIV/0!</v>
      </c>
      <c r="CA89" s="203">
        <f>CD89 + ABS(CB89) + ABS(CC89)</f>
        <v>0</v>
      </c>
      <c r="CB89" s="203"/>
      <c r="CC89" s="203"/>
      <c r="CD89" s="203"/>
      <c r="CE89" s="176"/>
      <c r="CF89" s="176"/>
      <c r="CG89" s="176"/>
      <c r="CH89" s="177" t="b">
        <v>0</v>
      </c>
      <c r="CI89" s="177" t="b">
        <v>0</v>
      </c>
      <c r="CJ89" s="176" t="e">
        <f>(CE89-BV89)/BV89</f>
        <v>#DIV/0!</v>
      </c>
      <c r="CK89" s="176" t="e">
        <f>(CD89-BS89)/BS89</f>
        <v>#DIV/0!</v>
      </c>
      <c r="CL89" s="203">
        <f>CO89 + ABS(CM89) + ABS(CN89)</f>
        <v>0</v>
      </c>
      <c r="CM89" s="203"/>
      <c r="CN89" s="203"/>
      <c r="CO89" s="203"/>
      <c r="CP89" s="176"/>
      <c r="CQ89" s="176"/>
      <c r="CR89" s="176"/>
      <c r="CS89" s="177" t="b">
        <v>0</v>
      </c>
      <c r="CT89" s="177" t="b">
        <v>0</v>
      </c>
      <c r="CU89" s="176" t="e">
        <f>(CP89-CE89)/CE89</f>
        <v>#DIV/0!</v>
      </c>
      <c r="CV89" s="176" t="e">
        <f>(CO89-CD89)/CD89</f>
        <v>#DIV/0!</v>
      </c>
      <c r="CW89" s="203">
        <f>CZ89 + ABS(CX89) + ABS(CY89)</f>
        <v>0</v>
      </c>
      <c r="CX89" s="203"/>
      <c r="CY89" s="203"/>
      <c r="CZ89" s="203"/>
      <c r="DA89" s="176"/>
      <c r="DB89" s="176"/>
      <c r="DC89" s="176"/>
      <c r="DD89" s="177" t="b">
        <v>0</v>
      </c>
      <c r="DE89" s="177" t="b">
        <v>0</v>
      </c>
      <c r="DF89" s="176" t="e">
        <f>(DA89-CR89)/CR89</f>
        <v>#DIV/0!</v>
      </c>
      <c r="DG89" s="176" t="e">
        <f>(CZ89-CO89)/CO89</f>
        <v>#DIV/0!</v>
      </c>
      <c r="DH89" s="203">
        <f>DK89 + ABS(DI89) + ABS(DJ89)</f>
        <v>0</v>
      </c>
      <c r="DI89" s="203"/>
      <c r="DJ89" s="203"/>
      <c r="DK89" s="203"/>
      <c r="DL89" s="176"/>
      <c r="DM89" s="176"/>
      <c r="DN89" s="176"/>
      <c r="DO89" s="177" t="b">
        <v>0</v>
      </c>
      <c r="DP89" s="177" t="b">
        <v>0</v>
      </c>
      <c r="DQ89" s="176" t="e">
        <f>(DL89-DA89)/DA89</f>
        <v>#DIV/0!</v>
      </c>
      <c r="DR89" s="176" t="e">
        <f>(DK89-CZ89)/CZ89</f>
        <v>#DIV/0!</v>
      </c>
      <c r="DS89" s="203">
        <f>DV89 + ABS(DT89) + ABS(DU89)</f>
        <v>0</v>
      </c>
      <c r="DT89" s="203"/>
      <c r="DU89" s="203"/>
      <c r="DV89" s="203"/>
      <c r="DW89" s="176"/>
      <c r="DX89" s="176"/>
      <c r="DY89" s="176"/>
      <c r="DZ89" s="177" t="b">
        <v>0</v>
      </c>
      <c r="EA89" s="177" t="b">
        <v>0</v>
      </c>
      <c r="EB89" s="176" t="e">
        <f>(DW89-DN89)/DN89</f>
        <v>#DIV/0!</v>
      </c>
      <c r="EC89" s="176" t="e">
        <f>(DV89-DK89)/DK89</f>
        <v>#DIV/0!</v>
      </c>
      <c r="ED89" s="203">
        <f>EG89 + ABS(EE89) + ABS(EF89)</f>
        <v>0</v>
      </c>
      <c r="EE89" s="203"/>
      <c r="EF89" s="203"/>
      <c r="EG89" s="203"/>
      <c r="EH89" s="176"/>
      <c r="EI89" s="176"/>
      <c r="EJ89" s="176"/>
      <c r="EK89" s="177" t="b">
        <v>0</v>
      </c>
      <c r="EL89" s="177" t="b">
        <v>0</v>
      </c>
      <c r="EM89" s="176" t="e">
        <f>(EH89-DW89)/DW89</f>
        <v>#DIV/0!</v>
      </c>
      <c r="EN89" s="176" t="e">
        <f>(EG89-DV89)/DV89</f>
        <v>#DIV/0!</v>
      </c>
      <c r="EO89" s="203">
        <f>ER89 + ABS(EP89) + ABS(EQ89)</f>
        <v>0</v>
      </c>
      <c r="EP89" s="203"/>
      <c r="EQ89" s="203"/>
      <c r="ER89" s="203"/>
      <c r="ES89" s="176"/>
      <c r="ET89" s="176"/>
      <c r="EU89" s="176"/>
      <c r="EV89" s="177" t="b">
        <v>0</v>
      </c>
      <c r="EW89" s="177" t="b">
        <v>0</v>
      </c>
      <c r="EX89" s="176" t="e">
        <f>(ES89-EJ89)/EJ89</f>
        <v>#DIV/0!</v>
      </c>
      <c r="EY89" s="176" t="e">
        <f>(ER89-EG89)/EG89</f>
        <v>#DIV/0!</v>
      </c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801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</row>
    <row r="90" spans="1:221" ht="15">
      <c r="B90" s="175"/>
      <c r="C90" s="802" t="s">
        <v>398</v>
      </c>
      <c r="D90" s="154">
        <v>1450022</v>
      </c>
      <c r="E90" s="154">
        <v>42</v>
      </c>
      <c r="F90" s="154" t="s">
        <v>401</v>
      </c>
      <c r="G90" s="255" t="s">
        <v>402</v>
      </c>
      <c r="H90" s="171" t="s">
        <v>169</v>
      </c>
      <c r="I90" s="445" t="s">
        <v>170</v>
      </c>
      <c r="J90" s="154"/>
      <c r="K90" s="154"/>
      <c r="L90" s="154"/>
      <c r="M90" s="176"/>
      <c r="N90" s="193">
        <v>107</v>
      </c>
      <c r="O90" s="176"/>
      <c r="P90" s="203">
        <v>6843.82</v>
      </c>
      <c r="Q90" s="203"/>
      <c r="R90" s="203">
        <v>135735.74</v>
      </c>
      <c r="S90" s="176">
        <v>5227</v>
      </c>
      <c r="T90" s="188" t="s">
        <v>171</v>
      </c>
      <c r="U90" s="176"/>
      <c r="V90" s="176"/>
      <c r="W90" s="176"/>
      <c r="X90" s="203">
        <f t="shared" si="6"/>
        <v>85057.650000000009</v>
      </c>
      <c r="Y90" s="203">
        <v>-4082.77</v>
      </c>
      <c r="Z90" s="203">
        <v>0</v>
      </c>
      <c r="AA90" s="203">
        <v>80974.880000000005</v>
      </c>
      <c r="AB90" s="446">
        <v>3134</v>
      </c>
      <c r="AC90" s="444" t="s">
        <v>172</v>
      </c>
      <c r="AD90" s="444" t="s">
        <v>173</v>
      </c>
      <c r="AE90" s="177" t="b">
        <v>1</v>
      </c>
      <c r="AF90" s="177" t="b">
        <v>1</v>
      </c>
      <c r="AG90" s="392">
        <f>(AB90-S90)/S90</f>
        <v>-0.40042089152477522</v>
      </c>
      <c r="AH90" s="392">
        <f>(AA90-R90)/R90</f>
        <v>-0.4034372966176778</v>
      </c>
      <c r="AI90" s="203">
        <f t="shared" si="8"/>
        <v>82776.55</v>
      </c>
      <c r="AJ90" s="368">
        <v>-3973.27</v>
      </c>
      <c r="AK90" s="368">
        <v>0</v>
      </c>
      <c r="AL90" s="368">
        <v>78803.28</v>
      </c>
      <c r="AM90" s="1068">
        <v>3051</v>
      </c>
      <c r="AN90" s="172">
        <v>46122</v>
      </c>
      <c r="AO90" s="171" t="s">
        <v>174</v>
      </c>
      <c r="AP90" s="861" t="b">
        <v>1</v>
      </c>
      <c r="AQ90" s="861" t="b">
        <v>1</v>
      </c>
      <c r="AR90" s="392">
        <f t="shared" si="7"/>
        <v>-2.6483726866624122E-2</v>
      </c>
      <c r="AS90" s="392">
        <f>(AL90-AA90)/AA90</f>
        <v>-2.6818193494081197E-2</v>
      </c>
      <c r="AT90" s="203">
        <f t="shared" si="9"/>
        <v>0</v>
      </c>
      <c r="AU90" s="203"/>
      <c r="AV90" s="203"/>
      <c r="AW90" s="203"/>
      <c r="AX90" s="176"/>
      <c r="AY90" s="176"/>
      <c r="AZ90" s="176"/>
      <c r="BA90" s="177" t="b">
        <v>0</v>
      </c>
      <c r="BB90" s="177" t="b">
        <v>0</v>
      </c>
      <c r="BC90" s="176">
        <f>(AX90-AM90)/AM90</f>
        <v>-1</v>
      </c>
      <c r="BD90" s="176">
        <f>(AW90-AL90)/AL90</f>
        <v>-1</v>
      </c>
      <c r="BE90" s="203">
        <f>BH90 + ABS(BF90) + ABS(BG90)</f>
        <v>0</v>
      </c>
      <c r="BF90" s="203"/>
      <c r="BG90" s="203"/>
      <c r="BH90" s="203"/>
      <c r="BI90" s="176"/>
      <c r="BJ90" s="176"/>
      <c r="BK90" s="176"/>
      <c r="BL90" s="177" t="b">
        <v>0</v>
      </c>
      <c r="BM90" s="177" t="b">
        <v>0</v>
      </c>
      <c r="BN90" s="176" t="e">
        <f>(BI90-AZ90)/AZ90</f>
        <v>#DIV/0!</v>
      </c>
      <c r="BO90" s="176" t="e">
        <f>(BH90-AW90)/AW90</f>
        <v>#DIV/0!</v>
      </c>
      <c r="BP90" s="203">
        <f>BS90 + ABS(BQ90) + ABS(BR90)</f>
        <v>0</v>
      </c>
      <c r="BQ90" s="203"/>
      <c r="BR90" s="203"/>
      <c r="BS90" s="203"/>
      <c r="BT90" s="176"/>
      <c r="BU90" s="176"/>
      <c r="BV90" s="176"/>
      <c r="BW90" s="177" t="b">
        <v>0</v>
      </c>
      <c r="BX90" s="177" t="b">
        <v>0</v>
      </c>
      <c r="BY90" s="176" t="e">
        <f>(BT90-BI90)/BI90</f>
        <v>#DIV/0!</v>
      </c>
      <c r="BZ90" s="176" t="e">
        <f>(BS90-BH90)/BH90</f>
        <v>#DIV/0!</v>
      </c>
      <c r="CA90" s="203">
        <f>CD90 + ABS(CB90) + ABS(CC90)</f>
        <v>0</v>
      </c>
      <c r="CB90" s="203"/>
      <c r="CC90" s="203"/>
      <c r="CD90" s="203"/>
      <c r="CE90" s="176"/>
      <c r="CF90" s="176"/>
      <c r="CG90" s="176"/>
      <c r="CH90" s="177" t="b">
        <v>0</v>
      </c>
      <c r="CI90" s="177" t="b">
        <v>0</v>
      </c>
      <c r="CJ90" s="176" t="e">
        <f>(CE90-BV90)/BV90</f>
        <v>#DIV/0!</v>
      </c>
      <c r="CK90" s="176" t="e">
        <f>(CD90-BS90)/BS90</f>
        <v>#DIV/0!</v>
      </c>
      <c r="CL90" s="203">
        <f>CO90 + ABS(CM90) + ABS(CN90)</f>
        <v>0</v>
      </c>
      <c r="CM90" s="203"/>
      <c r="CN90" s="203"/>
      <c r="CO90" s="203"/>
      <c r="CP90" s="176"/>
      <c r="CQ90" s="176"/>
      <c r="CR90" s="176"/>
      <c r="CS90" s="177" t="b">
        <v>0</v>
      </c>
      <c r="CT90" s="177" t="b">
        <v>0</v>
      </c>
      <c r="CU90" s="176" t="e">
        <f>(CP90-CE90)/CE90</f>
        <v>#DIV/0!</v>
      </c>
      <c r="CV90" s="176" t="e">
        <f>(CO90-CD90)/CD90</f>
        <v>#DIV/0!</v>
      </c>
      <c r="CW90" s="203">
        <f>CZ90 + ABS(CX90) + ABS(CY90)</f>
        <v>0</v>
      </c>
      <c r="CX90" s="203"/>
      <c r="CY90" s="203"/>
      <c r="CZ90" s="203"/>
      <c r="DA90" s="176"/>
      <c r="DB90" s="176"/>
      <c r="DC90" s="176"/>
      <c r="DD90" s="177" t="b">
        <v>0</v>
      </c>
      <c r="DE90" s="177" t="b">
        <v>0</v>
      </c>
      <c r="DF90" s="176" t="e">
        <f>(DA90-CR90)/CR90</f>
        <v>#DIV/0!</v>
      </c>
      <c r="DG90" s="176" t="e">
        <f>(CZ90-CO90)/CO90</f>
        <v>#DIV/0!</v>
      </c>
      <c r="DH90" s="203">
        <f>DK90 + ABS(DI90) + ABS(DJ90)</f>
        <v>0</v>
      </c>
      <c r="DI90" s="203"/>
      <c r="DJ90" s="203"/>
      <c r="DK90" s="203"/>
      <c r="DL90" s="176"/>
      <c r="DM90" s="176"/>
      <c r="DN90" s="176"/>
      <c r="DO90" s="177" t="b">
        <v>0</v>
      </c>
      <c r="DP90" s="177" t="b">
        <v>0</v>
      </c>
      <c r="DQ90" s="176" t="e">
        <f>(DL90-DA90)/DA90</f>
        <v>#DIV/0!</v>
      </c>
      <c r="DR90" s="176" t="e">
        <f>(DK90-CZ90)/CZ90</f>
        <v>#DIV/0!</v>
      </c>
      <c r="DS90" s="203">
        <f>DV90 + ABS(DT90) + ABS(DU90)</f>
        <v>0</v>
      </c>
      <c r="DT90" s="203"/>
      <c r="DU90" s="203"/>
      <c r="DV90" s="203"/>
      <c r="DW90" s="176"/>
      <c r="DX90" s="176"/>
      <c r="DY90" s="176"/>
      <c r="DZ90" s="177" t="b">
        <v>0</v>
      </c>
      <c r="EA90" s="177" t="b">
        <v>0</v>
      </c>
      <c r="EB90" s="176" t="e">
        <f>(DW90-DN90)/DN90</f>
        <v>#DIV/0!</v>
      </c>
      <c r="EC90" s="176" t="e">
        <f>(DV90-DK90)/DK90</f>
        <v>#DIV/0!</v>
      </c>
      <c r="ED90" s="203">
        <f>EG90 + ABS(EE90) + ABS(EF90)</f>
        <v>0</v>
      </c>
      <c r="EE90" s="203"/>
      <c r="EF90" s="203"/>
      <c r="EG90" s="203"/>
      <c r="EH90" s="176"/>
      <c r="EI90" s="176"/>
      <c r="EJ90" s="176"/>
      <c r="EK90" s="177" t="b">
        <v>0</v>
      </c>
      <c r="EL90" s="177" t="b">
        <v>0</v>
      </c>
      <c r="EM90" s="176" t="e">
        <f>(EH90-DW90)/DW90</f>
        <v>#DIV/0!</v>
      </c>
      <c r="EN90" s="176" t="e">
        <f>(EG90-DV90)/DV90</f>
        <v>#DIV/0!</v>
      </c>
      <c r="EO90" s="203">
        <f>ER90 + ABS(EP90) + ABS(EQ90)</f>
        <v>0</v>
      </c>
      <c r="EP90" s="203"/>
      <c r="EQ90" s="203"/>
      <c r="ER90" s="203"/>
      <c r="ES90" s="176"/>
      <c r="ET90" s="176"/>
      <c r="EU90" s="176"/>
      <c r="EV90" s="177" t="b">
        <v>0</v>
      </c>
      <c r="EW90" s="177" t="b">
        <v>0</v>
      </c>
      <c r="EX90" s="176" t="e">
        <f>(ES90-EJ90)/EJ90</f>
        <v>#DIV/0!</v>
      </c>
      <c r="EY90" s="176" t="e">
        <f>(ER90-EG90)/EG90</f>
        <v>#DIV/0!</v>
      </c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801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</row>
    <row r="91" spans="1:221" ht="15">
      <c r="B91" s="175"/>
      <c r="C91" s="802" t="s">
        <v>398</v>
      </c>
      <c r="D91" s="154">
        <v>1450022</v>
      </c>
      <c r="E91" s="154">
        <v>42</v>
      </c>
      <c r="F91" s="154" t="s">
        <v>403</v>
      </c>
      <c r="G91" s="255" t="s">
        <v>404</v>
      </c>
      <c r="H91" s="171" t="s">
        <v>169</v>
      </c>
      <c r="I91" s="445" t="s">
        <v>170</v>
      </c>
      <c r="J91" s="154"/>
      <c r="K91" s="154"/>
      <c r="L91" s="154"/>
      <c r="M91" s="176"/>
      <c r="N91" s="418">
        <v>107</v>
      </c>
      <c r="O91" s="176"/>
      <c r="P91" s="203">
        <v>4658.6400000000003</v>
      </c>
      <c r="Q91" s="203"/>
      <c r="R91" s="203">
        <v>92396.31</v>
      </c>
      <c r="S91" s="176">
        <v>4955</v>
      </c>
      <c r="T91" s="188" t="s">
        <v>171</v>
      </c>
      <c r="U91" s="176"/>
      <c r="V91" s="176"/>
      <c r="W91" s="176"/>
      <c r="X91" s="203">
        <f t="shared" si="6"/>
        <v>107676.68</v>
      </c>
      <c r="Y91" s="203">
        <v>-5168.4799999999996</v>
      </c>
      <c r="Z91" s="203">
        <v>0</v>
      </c>
      <c r="AA91" s="203">
        <v>102508.2</v>
      </c>
      <c r="AB91" s="446">
        <v>5493</v>
      </c>
      <c r="AC91" s="255" t="s">
        <v>172</v>
      </c>
      <c r="AD91" s="255" t="s">
        <v>173</v>
      </c>
      <c r="AE91" s="177" t="b">
        <v>1</v>
      </c>
      <c r="AF91" s="177" t="b">
        <v>1</v>
      </c>
      <c r="AG91" s="392">
        <f>(AB91-S91)/S91</f>
        <v>0.10857719475277497</v>
      </c>
      <c r="AH91" s="392">
        <f>(AA91-R91)/R91</f>
        <v>0.1094404094708977</v>
      </c>
      <c r="AI91" s="203">
        <f t="shared" si="8"/>
        <v>89986.95</v>
      </c>
      <c r="AJ91" s="368">
        <v>-4319.37</v>
      </c>
      <c r="AK91" s="368">
        <v>0</v>
      </c>
      <c r="AL91" s="368">
        <v>85667.58</v>
      </c>
      <c r="AM91" s="1068">
        <v>4597</v>
      </c>
      <c r="AN91" s="172">
        <v>46122</v>
      </c>
      <c r="AO91" s="171" t="s">
        <v>174</v>
      </c>
      <c r="AP91" s="861" t="b">
        <v>1</v>
      </c>
      <c r="AQ91" s="861" t="b">
        <v>1</v>
      </c>
      <c r="AR91" s="392">
        <f t="shared" si="7"/>
        <v>-0.16311669397414891</v>
      </c>
      <c r="AS91" s="392">
        <f>(AL91-AA91)/AA91</f>
        <v>-0.16428558886020822</v>
      </c>
      <c r="AT91" s="203">
        <f t="shared" si="9"/>
        <v>0</v>
      </c>
      <c r="AU91" s="203"/>
      <c r="AV91" s="203"/>
      <c r="AW91" s="203"/>
      <c r="AX91" s="176"/>
      <c r="AY91" s="176"/>
      <c r="AZ91" s="176"/>
      <c r="BA91" s="177" t="b">
        <v>0</v>
      </c>
      <c r="BB91" s="177" t="b">
        <v>0</v>
      </c>
      <c r="BC91" s="176">
        <f>(AX91-AM91)/AM91</f>
        <v>-1</v>
      </c>
      <c r="BD91" s="176">
        <f>(AW91-AL91)/AL91</f>
        <v>-1</v>
      </c>
      <c r="BE91" s="203">
        <f>BH91 + ABS(BF91) + ABS(BG91)</f>
        <v>0</v>
      </c>
      <c r="BF91" s="203"/>
      <c r="BG91" s="203"/>
      <c r="BH91" s="203"/>
      <c r="BI91" s="176"/>
      <c r="BJ91" s="176"/>
      <c r="BK91" s="176"/>
      <c r="BL91" s="177" t="b">
        <v>0</v>
      </c>
      <c r="BM91" s="177" t="b">
        <v>0</v>
      </c>
      <c r="BN91" s="176" t="e">
        <f>(BI91-AZ91)/AZ91</f>
        <v>#DIV/0!</v>
      </c>
      <c r="BO91" s="176" t="e">
        <f>(BH91-AW91)/AW91</f>
        <v>#DIV/0!</v>
      </c>
      <c r="BP91" s="203">
        <f>BS91 + ABS(BQ91) + ABS(BR91)</f>
        <v>0</v>
      </c>
      <c r="BQ91" s="203"/>
      <c r="BR91" s="203"/>
      <c r="BS91" s="203"/>
      <c r="BT91" s="176"/>
      <c r="BU91" s="176"/>
      <c r="BV91" s="176"/>
      <c r="BW91" s="177" t="b">
        <v>0</v>
      </c>
      <c r="BX91" s="177" t="b">
        <v>0</v>
      </c>
      <c r="BY91" s="176" t="e">
        <f>(BT91-BI91)/BI91</f>
        <v>#DIV/0!</v>
      </c>
      <c r="BZ91" s="176" t="e">
        <f>(BS91-BH91)/BH91</f>
        <v>#DIV/0!</v>
      </c>
      <c r="CA91" s="203">
        <f>CD91 + ABS(CB91) + ABS(CC91)</f>
        <v>0</v>
      </c>
      <c r="CB91" s="203"/>
      <c r="CC91" s="203"/>
      <c r="CD91" s="203"/>
      <c r="CE91" s="176"/>
      <c r="CF91" s="176"/>
      <c r="CG91" s="176"/>
      <c r="CH91" s="177" t="b">
        <v>0</v>
      </c>
      <c r="CI91" s="177" t="b">
        <v>0</v>
      </c>
      <c r="CJ91" s="176" t="e">
        <f>(CE91-BV91)/BV91</f>
        <v>#DIV/0!</v>
      </c>
      <c r="CK91" s="176" t="e">
        <f>(CD91-BS91)/BS91</f>
        <v>#DIV/0!</v>
      </c>
      <c r="CL91" s="203">
        <f>CO91 + ABS(CM91) + ABS(CN91)</f>
        <v>0</v>
      </c>
      <c r="CM91" s="203"/>
      <c r="CN91" s="203"/>
      <c r="CO91" s="203"/>
      <c r="CP91" s="176"/>
      <c r="CQ91" s="176"/>
      <c r="CR91" s="176"/>
      <c r="CS91" s="177" t="b">
        <v>0</v>
      </c>
      <c r="CT91" s="177" t="b">
        <v>0</v>
      </c>
      <c r="CU91" s="176" t="e">
        <f>(CP91-CE91)/CE91</f>
        <v>#DIV/0!</v>
      </c>
      <c r="CV91" s="176" t="e">
        <f>(CO91-CD91)/CD91</f>
        <v>#DIV/0!</v>
      </c>
      <c r="CW91" s="203">
        <f>CZ91 + ABS(CX91) + ABS(CY91)</f>
        <v>0</v>
      </c>
      <c r="CX91" s="203"/>
      <c r="CY91" s="203"/>
      <c r="CZ91" s="203"/>
      <c r="DA91" s="176"/>
      <c r="DB91" s="176"/>
      <c r="DC91" s="176"/>
      <c r="DD91" s="177" t="b">
        <v>0</v>
      </c>
      <c r="DE91" s="177" t="b">
        <v>0</v>
      </c>
      <c r="DF91" s="176" t="e">
        <f>(DA91-CR91)/CR91</f>
        <v>#DIV/0!</v>
      </c>
      <c r="DG91" s="176" t="e">
        <f>(CZ91-CO91)/CO91</f>
        <v>#DIV/0!</v>
      </c>
      <c r="DH91" s="203">
        <f>DK91 + ABS(DI91) + ABS(DJ91)</f>
        <v>0</v>
      </c>
      <c r="DI91" s="203"/>
      <c r="DJ91" s="203"/>
      <c r="DK91" s="203"/>
      <c r="DL91" s="176"/>
      <c r="DM91" s="176"/>
      <c r="DN91" s="176"/>
      <c r="DO91" s="177" t="b">
        <v>0</v>
      </c>
      <c r="DP91" s="177" t="b">
        <v>0</v>
      </c>
      <c r="DQ91" s="176" t="e">
        <f>(DL91-DA91)/DA91</f>
        <v>#DIV/0!</v>
      </c>
      <c r="DR91" s="176" t="e">
        <f>(DK91-CZ91)/CZ91</f>
        <v>#DIV/0!</v>
      </c>
      <c r="DS91" s="203">
        <f>DV91 + ABS(DT91) + ABS(DU91)</f>
        <v>0</v>
      </c>
      <c r="DT91" s="203"/>
      <c r="DU91" s="203"/>
      <c r="DV91" s="203"/>
      <c r="DW91" s="176"/>
      <c r="DX91" s="176"/>
      <c r="DY91" s="176"/>
      <c r="DZ91" s="177" t="b">
        <v>0</v>
      </c>
      <c r="EA91" s="177" t="b">
        <v>0</v>
      </c>
      <c r="EB91" s="176" t="e">
        <f>(DW91-DN91)/DN91</f>
        <v>#DIV/0!</v>
      </c>
      <c r="EC91" s="176" t="e">
        <f>(DV91-DK91)/DK91</f>
        <v>#DIV/0!</v>
      </c>
      <c r="ED91" s="203">
        <f>EG91 + ABS(EE91) + ABS(EF91)</f>
        <v>0</v>
      </c>
      <c r="EE91" s="203"/>
      <c r="EF91" s="203"/>
      <c r="EG91" s="203"/>
      <c r="EH91" s="176"/>
      <c r="EI91" s="176"/>
      <c r="EJ91" s="176"/>
      <c r="EK91" s="177" t="b">
        <v>0</v>
      </c>
      <c r="EL91" s="177" t="b">
        <v>0</v>
      </c>
      <c r="EM91" s="176" t="e">
        <f>(EH91-DW91)/DW91</f>
        <v>#DIV/0!</v>
      </c>
      <c r="EN91" s="176" t="e">
        <f>(EG91-DV91)/DV91</f>
        <v>#DIV/0!</v>
      </c>
      <c r="EO91" s="203">
        <f>ER91 + ABS(EP91) + ABS(EQ91)</f>
        <v>0</v>
      </c>
      <c r="EP91" s="203"/>
      <c r="EQ91" s="203"/>
      <c r="ER91" s="203"/>
      <c r="ES91" s="176"/>
      <c r="ET91" s="176"/>
      <c r="EU91" s="176"/>
      <c r="EV91" s="177" t="b">
        <v>0</v>
      </c>
      <c r="EW91" s="177" t="b">
        <v>0</v>
      </c>
      <c r="EX91" s="176" t="e">
        <f>(ES91-EJ91)/EJ91</f>
        <v>#DIV/0!</v>
      </c>
      <c r="EY91" s="176" t="e">
        <f>(ER91-EG91)/EG91</f>
        <v>#DIV/0!</v>
      </c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801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</row>
    <row r="92" spans="1:221" ht="15">
      <c r="A92" s="477"/>
      <c r="B92" s="447"/>
      <c r="C92" s="802" t="s">
        <v>405</v>
      </c>
      <c r="D92" s="154">
        <v>1450022</v>
      </c>
      <c r="E92" s="154">
        <v>42</v>
      </c>
      <c r="F92" s="154" t="s">
        <v>406</v>
      </c>
      <c r="G92" s="255" t="s">
        <v>407</v>
      </c>
      <c r="H92" s="171" t="s">
        <v>169</v>
      </c>
      <c r="I92" s="445" t="s">
        <v>170</v>
      </c>
      <c r="J92" s="154"/>
      <c r="K92" s="154"/>
      <c r="L92" s="154"/>
      <c r="M92" s="176"/>
      <c r="N92" s="193">
        <v>107</v>
      </c>
      <c r="O92" s="176"/>
      <c r="P92" s="203">
        <v>2.72</v>
      </c>
      <c r="Q92" s="203"/>
      <c r="R92" s="203">
        <v>54.03</v>
      </c>
      <c r="S92" s="176">
        <v>1</v>
      </c>
      <c r="T92" s="188" t="s">
        <v>171</v>
      </c>
      <c r="U92" s="176"/>
      <c r="V92" s="176"/>
      <c r="W92" s="176"/>
      <c r="X92" s="203">
        <f t="shared" si="6"/>
        <v>56.75</v>
      </c>
      <c r="Y92" s="203">
        <v>-2.72</v>
      </c>
      <c r="Z92" s="203">
        <v>0</v>
      </c>
      <c r="AA92" s="203">
        <v>54.03</v>
      </c>
      <c r="AB92" s="446">
        <v>1</v>
      </c>
      <c r="AC92" s="444" t="s">
        <v>172</v>
      </c>
      <c r="AD92" s="444" t="s">
        <v>173</v>
      </c>
      <c r="AE92" s="177" t="b">
        <v>1</v>
      </c>
      <c r="AF92" s="177" t="b">
        <v>1</v>
      </c>
      <c r="AG92" s="392">
        <f>(AB92-S92)/S92</f>
        <v>0</v>
      </c>
      <c r="AH92" s="392">
        <f>(AA92-R92)/R92</f>
        <v>0</v>
      </c>
      <c r="AI92" s="203">
        <f t="shared" si="8"/>
        <v>56.75</v>
      </c>
      <c r="AJ92" s="368">
        <v>-2.72</v>
      </c>
      <c r="AK92" s="368">
        <v>0</v>
      </c>
      <c r="AL92" s="368">
        <v>54.03</v>
      </c>
      <c r="AM92" s="1068">
        <v>1</v>
      </c>
      <c r="AN92" s="172">
        <v>46122</v>
      </c>
      <c r="AO92" s="171" t="s">
        <v>174</v>
      </c>
      <c r="AP92" s="861" t="b">
        <v>1</v>
      </c>
      <c r="AQ92" s="861" t="b">
        <v>1</v>
      </c>
      <c r="AR92" s="392">
        <f t="shared" si="7"/>
        <v>0</v>
      </c>
      <c r="AS92" s="392">
        <f>(AL92-AA92)/AA92</f>
        <v>0</v>
      </c>
      <c r="AT92" s="203">
        <f t="shared" si="9"/>
        <v>0</v>
      </c>
      <c r="AU92" s="203"/>
      <c r="AV92" s="203"/>
      <c r="AW92" s="203"/>
      <c r="AX92" s="176"/>
      <c r="AY92" s="176"/>
      <c r="AZ92" s="176"/>
      <c r="BA92" s="177" t="b">
        <v>0</v>
      </c>
      <c r="BB92" s="177" t="b">
        <v>0</v>
      </c>
      <c r="BC92" s="176">
        <f>(AX92-AM92)/AM92</f>
        <v>-1</v>
      </c>
      <c r="BD92" s="176">
        <f>(AW92-AL92)/AL92</f>
        <v>-1</v>
      </c>
      <c r="BE92" s="203">
        <f>BH92 + ABS(BF92) + ABS(BG92)</f>
        <v>0</v>
      </c>
      <c r="BF92" s="203"/>
      <c r="BG92" s="203"/>
      <c r="BH92" s="203"/>
      <c r="BI92" s="176"/>
      <c r="BJ92" s="176"/>
      <c r="BK92" s="176"/>
      <c r="BL92" s="177" t="b">
        <v>0</v>
      </c>
      <c r="BM92" s="177" t="b">
        <v>0</v>
      </c>
      <c r="BN92" s="176" t="e">
        <f>(BI92-AZ92)/AZ92</f>
        <v>#DIV/0!</v>
      </c>
      <c r="BO92" s="176" t="e">
        <f>(BH92-AW92)/AW92</f>
        <v>#DIV/0!</v>
      </c>
      <c r="BP92" s="203">
        <f>BS92 + ABS(BQ92) + ABS(BR92)</f>
        <v>0</v>
      </c>
      <c r="BQ92" s="203"/>
      <c r="BR92" s="203"/>
      <c r="BS92" s="203"/>
      <c r="BT92" s="176"/>
      <c r="BU92" s="176"/>
      <c r="BV92" s="176"/>
      <c r="BW92" s="177" t="b">
        <v>0</v>
      </c>
      <c r="BX92" s="177" t="b">
        <v>0</v>
      </c>
      <c r="BY92" s="176" t="e">
        <f>(BT92-BI92)/BI92</f>
        <v>#DIV/0!</v>
      </c>
      <c r="BZ92" s="176" t="e">
        <f>(BS92-BH92)/BH92</f>
        <v>#DIV/0!</v>
      </c>
      <c r="CA92" s="203">
        <f>CD92 + ABS(CB92) + ABS(CC92)</f>
        <v>0</v>
      </c>
      <c r="CB92" s="203"/>
      <c r="CC92" s="203"/>
      <c r="CD92" s="203"/>
      <c r="CE92" s="176"/>
      <c r="CF92" s="176"/>
      <c r="CG92" s="176"/>
      <c r="CH92" s="177" t="b">
        <v>0</v>
      </c>
      <c r="CI92" s="177" t="b">
        <v>0</v>
      </c>
      <c r="CJ92" s="176" t="e">
        <f>(CE92-BV92)/BV92</f>
        <v>#DIV/0!</v>
      </c>
      <c r="CK92" s="176" t="e">
        <f>(CD92-BS92)/BS92</f>
        <v>#DIV/0!</v>
      </c>
      <c r="CL92" s="203">
        <f>CO92 + ABS(CM92) + ABS(CN92)</f>
        <v>0</v>
      </c>
      <c r="CM92" s="203"/>
      <c r="CN92" s="203"/>
      <c r="CO92" s="203"/>
      <c r="CP92" s="176"/>
      <c r="CQ92" s="176"/>
      <c r="CR92" s="176"/>
      <c r="CS92" s="177" t="b">
        <v>0</v>
      </c>
      <c r="CT92" s="177" t="b">
        <v>0</v>
      </c>
      <c r="CU92" s="176" t="e">
        <f>(CP92-CE92)/CE92</f>
        <v>#DIV/0!</v>
      </c>
      <c r="CV92" s="176" t="e">
        <f>(CO92-CD92)/CD92</f>
        <v>#DIV/0!</v>
      </c>
      <c r="CW92" s="203">
        <f>CZ92 + ABS(CX92) + ABS(CY92)</f>
        <v>0</v>
      </c>
      <c r="CX92" s="203"/>
      <c r="CY92" s="203"/>
      <c r="CZ92" s="203"/>
      <c r="DA92" s="176"/>
      <c r="DB92" s="176"/>
      <c r="DC92" s="176"/>
      <c r="DD92" s="177" t="b">
        <v>0</v>
      </c>
      <c r="DE92" s="177" t="b">
        <v>0</v>
      </c>
      <c r="DF92" s="176" t="e">
        <f>(DA92-CR92)/CR92</f>
        <v>#DIV/0!</v>
      </c>
      <c r="DG92" s="176" t="e">
        <f>(CZ92-CO92)/CO92</f>
        <v>#DIV/0!</v>
      </c>
      <c r="DH92" s="203">
        <f>DK92 + ABS(DI92) + ABS(DJ92)</f>
        <v>0</v>
      </c>
      <c r="DI92" s="203"/>
      <c r="DJ92" s="203"/>
      <c r="DK92" s="203"/>
      <c r="DL92" s="176"/>
      <c r="DM92" s="176"/>
      <c r="DN92" s="176"/>
      <c r="DO92" s="177" t="b">
        <v>0</v>
      </c>
      <c r="DP92" s="177" t="b">
        <v>0</v>
      </c>
      <c r="DQ92" s="176" t="e">
        <f>(DL92-DA92)/DA92</f>
        <v>#DIV/0!</v>
      </c>
      <c r="DR92" s="176" t="e">
        <f>(DK92-CZ92)/CZ92</f>
        <v>#DIV/0!</v>
      </c>
      <c r="DS92" s="203">
        <f>DV92 + ABS(DT92) + ABS(DU92)</f>
        <v>0</v>
      </c>
      <c r="DT92" s="203"/>
      <c r="DU92" s="203"/>
      <c r="DV92" s="203"/>
      <c r="DW92" s="176"/>
      <c r="DX92" s="176"/>
      <c r="DY92" s="176"/>
      <c r="DZ92" s="177" t="b">
        <v>0</v>
      </c>
      <c r="EA92" s="177" t="b">
        <v>0</v>
      </c>
      <c r="EB92" s="176" t="e">
        <f>(DW92-DN92)/DN92</f>
        <v>#DIV/0!</v>
      </c>
      <c r="EC92" s="176" t="e">
        <f>(DV92-DK92)/DK92</f>
        <v>#DIV/0!</v>
      </c>
      <c r="ED92" s="203">
        <f>EG92 + ABS(EE92) + ABS(EF92)</f>
        <v>0</v>
      </c>
      <c r="EE92" s="203"/>
      <c r="EF92" s="203"/>
      <c r="EG92" s="203"/>
      <c r="EH92" s="176"/>
      <c r="EI92" s="176"/>
      <c r="EJ92" s="176"/>
      <c r="EK92" s="177" t="b">
        <v>0</v>
      </c>
      <c r="EL92" s="177" t="b">
        <v>0</v>
      </c>
      <c r="EM92" s="176" t="e">
        <f>(EH92-DW92)/DW92</f>
        <v>#DIV/0!</v>
      </c>
      <c r="EN92" s="176" t="e">
        <f>(EG92-DV92)/DV92</f>
        <v>#DIV/0!</v>
      </c>
      <c r="EO92" s="203">
        <f>ER92 + ABS(EP92) + ABS(EQ92)</f>
        <v>0</v>
      </c>
      <c r="EP92" s="203"/>
      <c r="EQ92" s="203"/>
      <c r="ER92" s="203"/>
      <c r="ES92" s="176"/>
      <c r="ET92" s="176"/>
      <c r="EU92" s="176"/>
      <c r="EV92" s="177" t="b">
        <v>0</v>
      </c>
      <c r="EW92" s="177" t="b">
        <v>0</v>
      </c>
      <c r="EX92" s="176" t="e">
        <f>(ES92-EJ92)/EJ92</f>
        <v>#DIV/0!</v>
      </c>
      <c r="EY92" s="176" t="e">
        <f>(ER92-EG92)/EG92</f>
        <v>#DIV/0!</v>
      </c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801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</row>
    <row r="93" spans="1:221" ht="15">
      <c r="B93" s="175"/>
      <c r="C93" s="800" t="s">
        <v>408</v>
      </c>
      <c r="D93" s="357">
        <v>1450022</v>
      </c>
      <c r="E93" s="357">
        <v>289</v>
      </c>
      <c r="F93" s="357" t="s">
        <v>409</v>
      </c>
      <c r="G93" s="426" t="s">
        <v>410</v>
      </c>
      <c r="H93" s="148" t="s">
        <v>169</v>
      </c>
      <c r="I93" s="448" t="s">
        <v>170</v>
      </c>
      <c r="J93" s="357"/>
      <c r="K93" s="357"/>
      <c r="L93" s="357"/>
      <c r="M93" s="358"/>
      <c r="N93" s="361">
        <v>107</v>
      </c>
      <c r="O93" s="358"/>
      <c r="P93" s="402">
        <v>437.25</v>
      </c>
      <c r="Q93" s="402"/>
      <c r="R93" s="402">
        <v>8672.0499999999993</v>
      </c>
      <c r="S93" s="358">
        <v>563</v>
      </c>
      <c r="T93" s="188" t="s">
        <v>171</v>
      </c>
      <c r="U93" s="358"/>
      <c r="V93" s="358"/>
      <c r="W93" s="358"/>
      <c r="X93" s="402">
        <f t="shared" si="6"/>
        <v>10309</v>
      </c>
      <c r="Y93" s="402">
        <v>-494.83</v>
      </c>
      <c r="Z93" s="402">
        <v>0</v>
      </c>
      <c r="AA93" s="402">
        <v>9814.17</v>
      </c>
      <c r="AB93" s="450">
        <v>632</v>
      </c>
      <c r="AC93" s="426" t="s">
        <v>172</v>
      </c>
      <c r="AD93" s="426" t="s">
        <v>173</v>
      </c>
      <c r="AE93" s="164" t="b">
        <v>1</v>
      </c>
      <c r="AF93" s="164" t="b">
        <v>1</v>
      </c>
      <c r="AG93" s="409">
        <f>(AB93-S93)/S93</f>
        <v>0.12255772646536411</v>
      </c>
      <c r="AH93" s="409">
        <f>(AA93-R93)/R93</f>
        <v>0.131701270172566</v>
      </c>
      <c r="AI93" s="402">
        <f t="shared" si="8"/>
        <v>9077.0500000000011</v>
      </c>
      <c r="AJ93" s="364">
        <v>-435.7</v>
      </c>
      <c r="AK93" s="364">
        <v>0</v>
      </c>
      <c r="AL93" s="364">
        <v>8641.35</v>
      </c>
      <c r="AM93" s="1069">
        <v>543</v>
      </c>
      <c r="AN93" s="407">
        <v>46122</v>
      </c>
      <c r="AO93" s="148" t="s">
        <v>174</v>
      </c>
      <c r="AP93" s="860" t="b">
        <v>1</v>
      </c>
      <c r="AQ93" s="860" t="b">
        <v>1</v>
      </c>
      <c r="AR93" s="409">
        <f t="shared" si="7"/>
        <v>-0.14082278481012658</v>
      </c>
      <c r="AS93" s="409">
        <f>(AL93-AA93)/AA93</f>
        <v>-0.11950271902769156</v>
      </c>
      <c r="AT93" s="402">
        <f t="shared" si="9"/>
        <v>0</v>
      </c>
      <c r="AU93" s="402"/>
      <c r="AV93" s="402"/>
      <c r="AW93" s="402"/>
      <c r="AX93" s="358"/>
      <c r="AY93" s="358"/>
      <c r="AZ93" s="358"/>
      <c r="BA93" s="164" t="b">
        <v>0</v>
      </c>
      <c r="BB93" s="164" t="b">
        <v>0</v>
      </c>
      <c r="BC93" s="358">
        <f>(AX93-AM93)/AM93</f>
        <v>-1</v>
      </c>
      <c r="BD93" s="358">
        <f>(AW93-AL93)/AL93</f>
        <v>-1</v>
      </c>
      <c r="BE93" s="402">
        <f>BH93 + ABS(BF93) + ABS(BG93)</f>
        <v>0</v>
      </c>
      <c r="BF93" s="402"/>
      <c r="BG93" s="402"/>
      <c r="BH93" s="402"/>
      <c r="BI93" s="358"/>
      <c r="BJ93" s="358"/>
      <c r="BK93" s="358"/>
      <c r="BL93" s="164" t="b">
        <v>0</v>
      </c>
      <c r="BM93" s="164" t="b">
        <v>0</v>
      </c>
      <c r="BN93" s="358" t="e">
        <f>(BI93-AZ93)/AZ93</f>
        <v>#DIV/0!</v>
      </c>
      <c r="BO93" s="358" t="e">
        <f>(BH93-AW93)/AW93</f>
        <v>#DIV/0!</v>
      </c>
      <c r="BP93" s="402">
        <f>BS93 + ABS(BQ93) + ABS(BR93)</f>
        <v>0</v>
      </c>
      <c r="BQ93" s="402"/>
      <c r="BR93" s="402"/>
      <c r="BS93" s="402"/>
      <c r="BT93" s="358"/>
      <c r="BU93" s="358"/>
      <c r="BV93" s="358"/>
      <c r="BW93" s="164" t="b">
        <v>0</v>
      </c>
      <c r="BX93" s="164" t="b">
        <v>0</v>
      </c>
      <c r="BY93" s="358" t="e">
        <f>(BT93-BI93)/BI93</f>
        <v>#DIV/0!</v>
      </c>
      <c r="BZ93" s="358" t="e">
        <f>(BS93-BH93)/BH93</f>
        <v>#DIV/0!</v>
      </c>
      <c r="CA93" s="402">
        <f>CD93 + ABS(CB93) + ABS(CC93)</f>
        <v>0</v>
      </c>
      <c r="CB93" s="402"/>
      <c r="CC93" s="402"/>
      <c r="CD93" s="402"/>
      <c r="CE93" s="358"/>
      <c r="CF93" s="358"/>
      <c r="CG93" s="358"/>
      <c r="CH93" s="164" t="b">
        <v>0</v>
      </c>
      <c r="CI93" s="164" t="b">
        <v>0</v>
      </c>
      <c r="CJ93" s="358" t="e">
        <f>(CE93-BV93)/BV93</f>
        <v>#DIV/0!</v>
      </c>
      <c r="CK93" s="358" t="e">
        <f>(CD93-BS93)/BS93</f>
        <v>#DIV/0!</v>
      </c>
      <c r="CL93" s="402">
        <f>CO93 + ABS(CM93) + ABS(CN93)</f>
        <v>0</v>
      </c>
      <c r="CM93" s="402"/>
      <c r="CN93" s="402"/>
      <c r="CO93" s="402"/>
      <c r="CP93" s="358"/>
      <c r="CQ93" s="358"/>
      <c r="CR93" s="358"/>
      <c r="CS93" s="164" t="b">
        <v>0</v>
      </c>
      <c r="CT93" s="164" t="b">
        <v>0</v>
      </c>
      <c r="CU93" s="358" t="e">
        <f>(CP93-CE93)/CE93</f>
        <v>#DIV/0!</v>
      </c>
      <c r="CV93" s="358" t="e">
        <f>(CO93-CD93)/CD93</f>
        <v>#DIV/0!</v>
      </c>
      <c r="CW93" s="402">
        <f>CZ93 + ABS(CX93) + ABS(CY93)</f>
        <v>0</v>
      </c>
      <c r="CX93" s="402"/>
      <c r="CY93" s="402"/>
      <c r="CZ93" s="402"/>
      <c r="DA93" s="358"/>
      <c r="DB93" s="358"/>
      <c r="DC93" s="358"/>
      <c r="DD93" s="164" t="b">
        <v>0</v>
      </c>
      <c r="DE93" s="164" t="b">
        <v>0</v>
      </c>
      <c r="DF93" s="358" t="e">
        <f>(DA93-CR93)/CR93</f>
        <v>#DIV/0!</v>
      </c>
      <c r="DG93" s="358" t="e">
        <f>(CZ93-CO93)/CO93</f>
        <v>#DIV/0!</v>
      </c>
      <c r="DH93" s="402">
        <f>DK93 + ABS(DI93) + ABS(DJ93)</f>
        <v>0</v>
      </c>
      <c r="DI93" s="402"/>
      <c r="DJ93" s="402"/>
      <c r="DK93" s="402"/>
      <c r="DL93" s="358"/>
      <c r="DM93" s="358"/>
      <c r="DN93" s="358"/>
      <c r="DO93" s="164" t="b">
        <v>0</v>
      </c>
      <c r="DP93" s="164" t="b">
        <v>0</v>
      </c>
      <c r="DQ93" s="358" t="e">
        <f>(DL93-DA93)/DA93</f>
        <v>#DIV/0!</v>
      </c>
      <c r="DR93" s="358" t="e">
        <f>(DK93-CZ93)/CZ93</f>
        <v>#DIV/0!</v>
      </c>
      <c r="DS93" s="402">
        <f>DV93 + ABS(DT93) + ABS(DU93)</f>
        <v>0</v>
      </c>
      <c r="DT93" s="402"/>
      <c r="DU93" s="402"/>
      <c r="DV93" s="402"/>
      <c r="DW93" s="358"/>
      <c r="DX93" s="358"/>
      <c r="DY93" s="358"/>
      <c r="DZ93" s="164" t="b">
        <v>0</v>
      </c>
      <c r="EA93" s="164" t="b">
        <v>0</v>
      </c>
      <c r="EB93" s="358" t="e">
        <f>(DW93-DN93)/DN93</f>
        <v>#DIV/0!</v>
      </c>
      <c r="EC93" s="358" t="e">
        <f>(DV93-DK93)/DK93</f>
        <v>#DIV/0!</v>
      </c>
      <c r="ED93" s="402">
        <f>EG93 + ABS(EE93) + ABS(EF93)</f>
        <v>0</v>
      </c>
      <c r="EE93" s="402"/>
      <c r="EF93" s="402"/>
      <c r="EG93" s="402"/>
      <c r="EH93" s="358"/>
      <c r="EI93" s="358"/>
      <c r="EJ93" s="358"/>
      <c r="EK93" s="164" t="b">
        <v>0</v>
      </c>
      <c r="EL93" s="164" t="b">
        <v>0</v>
      </c>
      <c r="EM93" s="358" t="e">
        <f>(EH93-DW93)/DW93</f>
        <v>#DIV/0!</v>
      </c>
      <c r="EN93" s="358" t="e">
        <f>(EG93-DV93)/DV93</f>
        <v>#DIV/0!</v>
      </c>
      <c r="EO93" s="402">
        <f>ER93 + ABS(EP93) + ABS(EQ93)</f>
        <v>0</v>
      </c>
      <c r="EP93" s="402"/>
      <c r="EQ93" s="402"/>
      <c r="ER93" s="402"/>
      <c r="ES93" s="358"/>
      <c r="ET93" s="358"/>
      <c r="EU93" s="358"/>
      <c r="EV93" s="164" t="b">
        <v>0</v>
      </c>
      <c r="EW93" s="164" t="b">
        <v>0</v>
      </c>
      <c r="EX93" s="358" t="e">
        <f>(ES93-EJ93)/EJ93</f>
        <v>#DIV/0!</v>
      </c>
      <c r="EY93" s="358" t="e">
        <f>(ER93-EG93)/EG93</f>
        <v>#DIV/0!</v>
      </c>
      <c r="EZ93" s="449"/>
      <c r="FA93" s="449"/>
      <c r="FB93" s="449"/>
      <c r="FC93" s="449"/>
      <c r="FD93" s="449"/>
      <c r="FE93" s="449"/>
      <c r="FF93" s="449"/>
      <c r="FG93" s="449"/>
      <c r="FH93" s="449"/>
      <c r="FI93" s="449"/>
      <c r="FJ93" s="449"/>
      <c r="FK93" s="449"/>
      <c r="FL93" s="449"/>
      <c r="FM93" s="449"/>
      <c r="FN93" s="449"/>
      <c r="FO93" s="449"/>
      <c r="FP93" s="175"/>
      <c r="FQ93" s="801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</row>
    <row r="94" spans="1:221" ht="15">
      <c r="B94" s="175"/>
      <c r="C94" s="800" t="s">
        <v>408</v>
      </c>
      <c r="D94" s="357">
        <v>1450022</v>
      </c>
      <c r="E94" s="357">
        <v>289</v>
      </c>
      <c r="F94" s="357" t="s">
        <v>411</v>
      </c>
      <c r="G94" s="426" t="s">
        <v>412</v>
      </c>
      <c r="H94" s="148" t="s">
        <v>169</v>
      </c>
      <c r="I94" s="448" t="s">
        <v>170</v>
      </c>
      <c r="J94" s="357"/>
      <c r="K94" s="357"/>
      <c r="L94" s="357"/>
      <c r="M94" s="358"/>
      <c r="N94" s="359">
        <v>107</v>
      </c>
      <c r="O94" s="358"/>
      <c r="P94" s="402">
        <v>1018.11</v>
      </c>
      <c r="Q94" s="402"/>
      <c r="R94" s="402">
        <v>20192.54</v>
      </c>
      <c r="S94" s="358">
        <v>1259</v>
      </c>
      <c r="T94" s="188" t="s">
        <v>171</v>
      </c>
      <c r="U94" s="358"/>
      <c r="V94" s="358"/>
      <c r="W94" s="358"/>
      <c r="X94" s="402">
        <f t="shared" si="6"/>
        <v>28304.55</v>
      </c>
      <c r="Y94" s="402">
        <v>-1358.62</v>
      </c>
      <c r="Z94" s="402">
        <v>0</v>
      </c>
      <c r="AA94" s="402">
        <v>26945.93</v>
      </c>
      <c r="AB94" s="450">
        <v>1667</v>
      </c>
      <c r="AC94" s="173" t="s">
        <v>172</v>
      </c>
      <c r="AD94" s="173" t="s">
        <v>173</v>
      </c>
      <c r="AE94" s="164" t="b">
        <v>1</v>
      </c>
      <c r="AF94" s="164" t="b">
        <v>1</v>
      </c>
      <c r="AG94" s="409">
        <f>(AB94-S94)/S94</f>
        <v>0.32406671961874506</v>
      </c>
      <c r="AH94" s="409">
        <f>(AA94-R94)/R94</f>
        <v>0.33444975223523138</v>
      </c>
      <c r="AI94" s="402">
        <f t="shared" si="8"/>
        <v>21501.32</v>
      </c>
      <c r="AJ94" s="364">
        <v>-1032.06</v>
      </c>
      <c r="AK94" s="364">
        <v>0</v>
      </c>
      <c r="AL94" s="364">
        <v>20469.259999999998</v>
      </c>
      <c r="AM94" s="1069">
        <v>1233</v>
      </c>
      <c r="AN94" s="407">
        <v>46122</v>
      </c>
      <c r="AO94" s="148" t="s">
        <v>174</v>
      </c>
      <c r="AP94" s="860" t="b">
        <v>1</v>
      </c>
      <c r="AQ94" s="860" t="b">
        <v>1</v>
      </c>
      <c r="AR94" s="409">
        <f t="shared" si="7"/>
        <v>-0.26034793041391724</v>
      </c>
      <c r="AS94" s="409">
        <f>(AL94-AA94)/AA94</f>
        <v>-0.24035800582870964</v>
      </c>
      <c r="AT94" s="402">
        <f t="shared" si="9"/>
        <v>0</v>
      </c>
      <c r="AU94" s="402"/>
      <c r="AV94" s="402"/>
      <c r="AW94" s="402"/>
      <c r="AX94" s="358"/>
      <c r="AY94" s="358"/>
      <c r="AZ94" s="358"/>
      <c r="BA94" s="164" t="b">
        <v>0</v>
      </c>
      <c r="BB94" s="164" t="b">
        <v>0</v>
      </c>
      <c r="BC94" s="358">
        <f>(AX94-AM94)/AM94</f>
        <v>-1</v>
      </c>
      <c r="BD94" s="358">
        <f>(AW94-AL94)/AL94</f>
        <v>-1</v>
      </c>
      <c r="BE94" s="402">
        <f>BH94 + ABS(BF94) + ABS(BG94)</f>
        <v>0</v>
      </c>
      <c r="BF94" s="402"/>
      <c r="BG94" s="402"/>
      <c r="BH94" s="402"/>
      <c r="BI94" s="358"/>
      <c r="BJ94" s="358"/>
      <c r="BK94" s="358"/>
      <c r="BL94" s="164" t="b">
        <v>0</v>
      </c>
      <c r="BM94" s="164" t="b">
        <v>0</v>
      </c>
      <c r="BN94" s="358" t="e">
        <f>(BI94-AZ94)/AZ94</f>
        <v>#DIV/0!</v>
      </c>
      <c r="BO94" s="358" t="e">
        <f>(BH94-AW94)/AW94</f>
        <v>#DIV/0!</v>
      </c>
      <c r="BP94" s="402">
        <f>BS94 + ABS(BQ94) + ABS(BR94)</f>
        <v>0</v>
      </c>
      <c r="BQ94" s="402"/>
      <c r="BR94" s="402"/>
      <c r="BS94" s="402"/>
      <c r="BT94" s="358"/>
      <c r="BU94" s="358"/>
      <c r="BV94" s="358"/>
      <c r="BW94" s="164" t="b">
        <v>0</v>
      </c>
      <c r="BX94" s="164" t="b">
        <v>0</v>
      </c>
      <c r="BY94" s="358" t="e">
        <f>(BT94-BI94)/BI94</f>
        <v>#DIV/0!</v>
      </c>
      <c r="BZ94" s="358" t="e">
        <f>(BS94-BH94)/BH94</f>
        <v>#DIV/0!</v>
      </c>
      <c r="CA94" s="402">
        <f>CD94 + ABS(CB94) + ABS(CC94)</f>
        <v>0</v>
      </c>
      <c r="CB94" s="402"/>
      <c r="CC94" s="402"/>
      <c r="CD94" s="402"/>
      <c r="CE94" s="358"/>
      <c r="CF94" s="358"/>
      <c r="CG94" s="358"/>
      <c r="CH94" s="164" t="b">
        <v>0</v>
      </c>
      <c r="CI94" s="164" t="b">
        <v>0</v>
      </c>
      <c r="CJ94" s="358" t="e">
        <f>(CE94-BV94)/BV94</f>
        <v>#DIV/0!</v>
      </c>
      <c r="CK94" s="358" t="e">
        <f>(CD94-BS94)/BS94</f>
        <v>#DIV/0!</v>
      </c>
      <c r="CL94" s="402">
        <f>CO94 + ABS(CM94) + ABS(CN94)</f>
        <v>0</v>
      </c>
      <c r="CM94" s="402"/>
      <c r="CN94" s="402"/>
      <c r="CO94" s="402"/>
      <c r="CP94" s="358"/>
      <c r="CQ94" s="358"/>
      <c r="CR94" s="358"/>
      <c r="CS94" s="164" t="b">
        <v>0</v>
      </c>
      <c r="CT94" s="164" t="b">
        <v>0</v>
      </c>
      <c r="CU94" s="358" t="e">
        <f>(CP94-CE94)/CE94</f>
        <v>#DIV/0!</v>
      </c>
      <c r="CV94" s="358" t="e">
        <f>(CO94-CD94)/CD94</f>
        <v>#DIV/0!</v>
      </c>
      <c r="CW94" s="402">
        <f>CZ94 + ABS(CX94) + ABS(CY94)</f>
        <v>0</v>
      </c>
      <c r="CX94" s="402"/>
      <c r="CY94" s="402"/>
      <c r="CZ94" s="402"/>
      <c r="DA94" s="358"/>
      <c r="DB94" s="358"/>
      <c r="DC94" s="358"/>
      <c r="DD94" s="164" t="b">
        <v>0</v>
      </c>
      <c r="DE94" s="164" t="b">
        <v>0</v>
      </c>
      <c r="DF94" s="358" t="e">
        <f>(DA94-CR94)/CR94</f>
        <v>#DIV/0!</v>
      </c>
      <c r="DG94" s="358" t="e">
        <f>(CZ94-CO94)/CO94</f>
        <v>#DIV/0!</v>
      </c>
      <c r="DH94" s="402">
        <f>DK94 + ABS(DI94) + ABS(DJ94)</f>
        <v>0</v>
      </c>
      <c r="DI94" s="402"/>
      <c r="DJ94" s="402"/>
      <c r="DK94" s="402"/>
      <c r="DL94" s="358"/>
      <c r="DM94" s="358"/>
      <c r="DN94" s="358"/>
      <c r="DO94" s="164" t="b">
        <v>0</v>
      </c>
      <c r="DP94" s="164" t="b">
        <v>0</v>
      </c>
      <c r="DQ94" s="358" t="e">
        <f>(DL94-DA94)/DA94</f>
        <v>#DIV/0!</v>
      </c>
      <c r="DR94" s="358" t="e">
        <f>(DK94-CZ94)/CZ94</f>
        <v>#DIV/0!</v>
      </c>
      <c r="DS94" s="402">
        <f>DV94 + ABS(DT94) + ABS(DU94)</f>
        <v>0</v>
      </c>
      <c r="DT94" s="402"/>
      <c r="DU94" s="402"/>
      <c r="DV94" s="402"/>
      <c r="DW94" s="358"/>
      <c r="DX94" s="358"/>
      <c r="DY94" s="358"/>
      <c r="DZ94" s="164" t="b">
        <v>0</v>
      </c>
      <c r="EA94" s="164" t="b">
        <v>0</v>
      </c>
      <c r="EB94" s="358" t="e">
        <f>(DW94-DN94)/DN94</f>
        <v>#DIV/0!</v>
      </c>
      <c r="EC94" s="358" t="e">
        <f>(DV94-DK94)/DK94</f>
        <v>#DIV/0!</v>
      </c>
      <c r="ED94" s="402">
        <f>EG94 + ABS(EE94) + ABS(EF94)</f>
        <v>0</v>
      </c>
      <c r="EE94" s="402"/>
      <c r="EF94" s="402"/>
      <c r="EG94" s="402"/>
      <c r="EH94" s="358"/>
      <c r="EI94" s="358"/>
      <c r="EJ94" s="358"/>
      <c r="EK94" s="164" t="b">
        <v>0</v>
      </c>
      <c r="EL94" s="164" t="b">
        <v>0</v>
      </c>
      <c r="EM94" s="358" t="e">
        <f>(EH94-DW94)/DW94</f>
        <v>#DIV/0!</v>
      </c>
      <c r="EN94" s="358" t="e">
        <f>(EG94-DV94)/DV94</f>
        <v>#DIV/0!</v>
      </c>
      <c r="EO94" s="402">
        <f>ER94 + ABS(EP94) + ABS(EQ94)</f>
        <v>0</v>
      </c>
      <c r="EP94" s="402"/>
      <c r="EQ94" s="402"/>
      <c r="ER94" s="402"/>
      <c r="ES94" s="358"/>
      <c r="ET94" s="358"/>
      <c r="EU94" s="358"/>
      <c r="EV94" s="164" t="b">
        <v>0</v>
      </c>
      <c r="EW94" s="164" t="b">
        <v>0</v>
      </c>
      <c r="EX94" s="358" t="e">
        <f>(ES94-EJ94)/EJ94</f>
        <v>#DIV/0!</v>
      </c>
      <c r="EY94" s="358" t="e">
        <f>(ER94-EG94)/EG94</f>
        <v>#DIV/0!</v>
      </c>
      <c r="EZ94" s="449"/>
      <c r="FA94" s="449"/>
      <c r="FB94" s="449"/>
      <c r="FC94" s="449"/>
      <c r="FD94" s="449"/>
      <c r="FE94" s="449"/>
      <c r="FF94" s="449"/>
      <c r="FG94" s="449"/>
      <c r="FH94" s="449"/>
      <c r="FI94" s="449"/>
      <c r="FJ94" s="449"/>
      <c r="FK94" s="449"/>
      <c r="FL94" s="449"/>
      <c r="FM94" s="449"/>
      <c r="FN94" s="449"/>
      <c r="FO94" s="449"/>
      <c r="FP94" s="175"/>
      <c r="FQ94" s="801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</row>
    <row r="95" spans="1:221" ht="15">
      <c r="B95" s="175"/>
      <c r="C95" s="802" t="s">
        <v>413</v>
      </c>
      <c r="D95" s="154">
        <v>1450022</v>
      </c>
      <c r="E95" s="154">
        <v>317</v>
      </c>
      <c r="F95" s="154" t="s">
        <v>414</v>
      </c>
      <c r="G95" s="255" t="s">
        <v>415</v>
      </c>
      <c r="H95" s="171" t="s">
        <v>169</v>
      </c>
      <c r="I95" s="445" t="s">
        <v>170</v>
      </c>
      <c r="J95" s="154"/>
      <c r="K95" s="154"/>
      <c r="L95" s="154"/>
      <c r="M95" s="176"/>
      <c r="N95" s="418">
        <v>107</v>
      </c>
      <c r="O95" s="176"/>
      <c r="P95" s="203">
        <v>855.37</v>
      </c>
      <c r="Q95" s="203"/>
      <c r="R95" s="203">
        <v>16964.82</v>
      </c>
      <c r="S95" s="176">
        <v>1064</v>
      </c>
      <c r="T95" s="188" t="s">
        <v>171</v>
      </c>
      <c r="U95" s="176"/>
      <c r="V95" s="176"/>
      <c r="W95" s="176"/>
      <c r="X95" s="203">
        <f t="shared" si="6"/>
        <v>19802.309999999998</v>
      </c>
      <c r="Y95" s="203">
        <v>-950.51</v>
      </c>
      <c r="Z95" s="203">
        <v>0</v>
      </c>
      <c r="AA95" s="203">
        <v>18851.8</v>
      </c>
      <c r="AB95" s="446">
        <v>1178</v>
      </c>
      <c r="AC95" s="255" t="s">
        <v>172</v>
      </c>
      <c r="AD95" s="255" t="s">
        <v>173</v>
      </c>
      <c r="AE95" s="177" t="b">
        <v>1</v>
      </c>
      <c r="AF95" s="177" t="b">
        <v>1</v>
      </c>
      <c r="AG95" s="392">
        <f>(AB95-S95)/S95</f>
        <v>0.10714285714285714</v>
      </c>
      <c r="AH95" s="392">
        <f>(AA95-R95)/R95</f>
        <v>0.11122900213500642</v>
      </c>
      <c r="AI95" s="203">
        <f t="shared" si="8"/>
        <v>17966.350000000002</v>
      </c>
      <c r="AJ95" s="368">
        <v>-862.38</v>
      </c>
      <c r="AK95" s="368">
        <v>0</v>
      </c>
      <c r="AL95" s="368">
        <v>17103.97</v>
      </c>
      <c r="AM95" s="1068">
        <v>1053</v>
      </c>
      <c r="AN95" s="172">
        <v>46122</v>
      </c>
      <c r="AO95" s="171" t="s">
        <v>174</v>
      </c>
      <c r="AP95" s="861" t="b">
        <v>1</v>
      </c>
      <c r="AQ95" s="861" t="b">
        <v>1</v>
      </c>
      <c r="AR95" s="392">
        <f t="shared" si="7"/>
        <v>-0.10611205432937182</v>
      </c>
      <c r="AS95" s="392">
        <f>(AL95-AA95)/AA95</f>
        <v>-9.2714223575467491E-2</v>
      </c>
      <c r="AT95" s="203">
        <f t="shared" si="9"/>
        <v>0</v>
      </c>
      <c r="AU95" s="203"/>
      <c r="AV95" s="203"/>
      <c r="AW95" s="203"/>
      <c r="AX95" s="176"/>
      <c r="AY95" s="176"/>
      <c r="AZ95" s="176"/>
      <c r="BA95" s="177" t="b">
        <v>0</v>
      </c>
      <c r="BB95" s="177" t="b">
        <v>0</v>
      </c>
      <c r="BC95" s="176">
        <f>(AX95-AM95)/AM95</f>
        <v>-1</v>
      </c>
      <c r="BD95" s="176">
        <f>(AW95-AL95)/AL95</f>
        <v>-1</v>
      </c>
      <c r="BE95" s="203">
        <f>BH95 + ABS(BF95) + ABS(BG95)</f>
        <v>0</v>
      </c>
      <c r="BF95" s="203"/>
      <c r="BG95" s="203"/>
      <c r="BH95" s="203"/>
      <c r="BI95" s="176"/>
      <c r="BJ95" s="176"/>
      <c r="BK95" s="176"/>
      <c r="BL95" s="177" t="b">
        <v>0</v>
      </c>
      <c r="BM95" s="177" t="b">
        <v>0</v>
      </c>
      <c r="BN95" s="176" t="e">
        <f>(BI95-AZ95)/AZ95</f>
        <v>#DIV/0!</v>
      </c>
      <c r="BO95" s="176" t="e">
        <f>(BH95-AW95)/AW95</f>
        <v>#DIV/0!</v>
      </c>
      <c r="BP95" s="203">
        <f>BS95 + ABS(BQ95) + ABS(BR95)</f>
        <v>0</v>
      </c>
      <c r="BQ95" s="203"/>
      <c r="BR95" s="203"/>
      <c r="BS95" s="203"/>
      <c r="BT95" s="176"/>
      <c r="BU95" s="176"/>
      <c r="BV95" s="176"/>
      <c r="BW95" s="177" t="b">
        <v>0</v>
      </c>
      <c r="BX95" s="177" t="b">
        <v>0</v>
      </c>
      <c r="BY95" s="176" t="e">
        <f>(BT95-BI95)/BI95</f>
        <v>#DIV/0!</v>
      </c>
      <c r="BZ95" s="176" t="e">
        <f>(BS95-BH95)/BH95</f>
        <v>#DIV/0!</v>
      </c>
      <c r="CA95" s="203">
        <f>CD95 + ABS(CB95) + ABS(CC95)</f>
        <v>0</v>
      </c>
      <c r="CB95" s="203"/>
      <c r="CC95" s="203"/>
      <c r="CD95" s="203"/>
      <c r="CE95" s="176"/>
      <c r="CF95" s="176"/>
      <c r="CG95" s="176"/>
      <c r="CH95" s="177" t="b">
        <v>0</v>
      </c>
      <c r="CI95" s="177" t="b">
        <v>0</v>
      </c>
      <c r="CJ95" s="176" t="e">
        <f>(CE95-BV95)/BV95</f>
        <v>#DIV/0!</v>
      </c>
      <c r="CK95" s="176" t="e">
        <f>(CD95-BS95)/BS95</f>
        <v>#DIV/0!</v>
      </c>
      <c r="CL95" s="203">
        <f>CO95 + ABS(CM95) + ABS(CN95)</f>
        <v>0</v>
      </c>
      <c r="CM95" s="203"/>
      <c r="CN95" s="203"/>
      <c r="CO95" s="203"/>
      <c r="CP95" s="176"/>
      <c r="CQ95" s="176"/>
      <c r="CR95" s="176"/>
      <c r="CS95" s="177" t="b">
        <v>0</v>
      </c>
      <c r="CT95" s="177" t="b">
        <v>0</v>
      </c>
      <c r="CU95" s="176" t="e">
        <f>(CP95-CE95)/CE95</f>
        <v>#DIV/0!</v>
      </c>
      <c r="CV95" s="176" t="e">
        <f>(CO95-CD95)/CD95</f>
        <v>#DIV/0!</v>
      </c>
      <c r="CW95" s="203">
        <f>CZ95 + ABS(CX95) + ABS(CY95)</f>
        <v>0</v>
      </c>
      <c r="CX95" s="203"/>
      <c r="CY95" s="203"/>
      <c r="CZ95" s="203"/>
      <c r="DA95" s="176"/>
      <c r="DB95" s="176"/>
      <c r="DC95" s="176"/>
      <c r="DD95" s="177" t="b">
        <v>0</v>
      </c>
      <c r="DE95" s="177" t="b">
        <v>0</v>
      </c>
      <c r="DF95" s="176" t="e">
        <f>(DA95-CR95)/CR95</f>
        <v>#DIV/0!</v>
      </c>
      <c r="DG95" s="176" t="e">
        <f>(CZ95-CO95)/CO95</f>
        <v>#DIV/0!</v>
      </c>
      <c r="DH95" s="203">
        <f>DK95 + ABS(DI95) + ABS(DJ95)</f>
        <v>0</v>
      </c>
      <c r="DI95" s="203"/>
      <c r="DJ95" s="203"/>
      <c r="DK95" s="203"/>
      <c r="DL95" s="176"/>
      <c r="DM95" s="176"/>
      <c r="DN95" s="176"/>
      <c r="DO95" s="177" t="b">
        <v>0</v>
      </c>
      <c r="DP95" s="177" t="b">
        <v>0</v>
      </c>
      <c r="DQ95" s="176" t="e">
        <f>(DL95-DA95)/DA95</f>
        <v>#DIV/0!</v>
      </c>
      <c r="DR95" s="176" t="e">
        <f>(DK95-CZ95)/CZ95</f>
        <v>#DIV/0!</v>
      </c>
      <c r="DS95" s="203">
        <f>DV95 + ABS(DT95) + ABS(DU95)</f>
        <v>0</v>
      </c>
      <c r="DT95" s="203"/>
      <c r="DU95" s="203"/>
      <c r="DV95" s="203"/>
      <c r="DW95" s="176"/>
      <c r="DX95" s="176"/>
      <c r="DY95" s="176"/>
      <c r="DZ95" s="177" t="b">
        <v>0</v>
      </c>
      <c r="EA95" s="177" t="b">
        <v>0</v>
      </c>
      <c r="EB95" s="176" t="e">
        <f>(DW95-DN95)/DN95</f>
        <v>#DIV/0!</v>
      </c>
      <c r="EC95" s="176" t="e">
        <f>(DV95-DK95)/DK95</f>
        <v>#DIV/0!</v>
      </c>
      <c r="ED95" s="203">
        <f>EG95 + ABS(EE95) + ABS(EF95)</f>
        <v>0</v>
      </c>
      <c r="EE95" s="203"/>
      <c r="EF95" s="203"/>
      <c r="EG95" s="203"/>
      <c r="EH95" s="176"/>
      <c r="EI95" s="176"/>
      <c r="EJ95" s="176"/>
      <c r="EK95" s="177" t="b">
        <v>0</v>
      </c>
      <c r="EL95" s="177" t="b">
        <v>0</v>
      </c>
      <c r="EM95" s="176" t="e">
        <f>(EH95-DW95)/DW95</f>
        <v>#DIV/0!</v>
      </c>
      <c r="EN95" s="176" t="e">
        <f>(EG95-DV95)/DV95</f>
        <v>#DIV/0!</v>
      </c>
      <c r="EO95" s="203">
        <f>ER95 + ABS(EP95) + ABS(EQ95)</f>
        <v>0</v>
      </c>
      <c r="EP95" s="203"/>
      <c r="EQ95" s="203"/>
      <c r="ER95" s="203"/>
      <c r="ES95" s="176"/>
      <c r="ET95" s="176"/>
      <c r="EU95" s="176"/>
      <c r="EV95" s="177" t="b">
        <v>0</v>
      </c>
      <c r="EW95" s="177" t="b">
        <v>0</v>
      </c>
      <c r="EX95" s="176" t="e">
        <f>(ES95-EJ95)/EJ95</f>
        <v>#DIV/0!</v>
      </c>
      <c r="EY95" s="176" t="e">
        <f>(ER95-EG95)/EG95</f>
        <v>#DIV/0!</v>
      </c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801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</row>
    <row r="96" spans="1:221" ht="15">
      <c r="B96" s="175"/>
      <c r="C96" s="800" t="s">
        <v>416</v>
      </c>
      <c r="D96" s="357">
        <v>1450022</v>
      </c>
      <c r="E96" s="357">
        <v>294</v>
      </c>
      <c r="F96" s="357" t="s">
        <v>417</v>
      </c>
      <c r="G96" s="426" t="s">
        <v>418</v>
      </c>
      <c r="H96" s="148" t="s">
        <v>169</v>
      </c>
      <c r="I96" s="448" t="s">
        <v>170</v>
      </c>
      <c r="J96" s="357"/>
      <c r="K96" s="357"/>
      <c r="L96" s="357"/>
      <c r="M96" s="358"/>
      <c r="N96" s="359">
        <v>107</v>
      </c>
      <c r="O96" s="358"/>
      <c r="P96" s="402">
        <v>518.32000000000005</v>
      </c>
      <c r="Q96" s="402"/>
      <c r="R96" s="402">
        <v>10279.91</v>
      </c>
      <c r="S96" s="358">
        <v>396</v>
      </c>
      <c r="T96" s="188" t="s">
        <v>171</v>
      </c>
      <c r="U96" s="358"/>
      <c r="V96" s="358"/>
      <c r="W96" s="358"/>
      <c r="X96" s="402">
        <f t="shared" si="6"/>
        <v>14936.869999999999</v>
      </c>
      <c r="Y96" s="402">
        <v>-716.97</v>
      </c>
      <c r="Z96" s="402">
        <v>0</v>
      </c>
      <c r="AA96" s="402">
        <v>14219.9</v>
      </c>
      <c r="AB96" s="450">
        <v>532</v>
      </c>
      <c r="AC96" s="173" t="s">
        <v>172</v>
      </c>
      <c r="AD96" s="173" t="s">
        <v>173</v>
      </c>
      <c r="AE96" s="164" t="b">
        <v>1</v>
      </c>
      <c r="AF96" s="164" t="b">
        <v>1</v>
      </c>
      <c r="AG96" s="409">
        <f>(AB96-S96)/S96</f>
        <v>0.34343434343434343</v>
      </c>
      <c r="AH96" s="409">
        <f>(AA96-R96)/R96</f>
        <v>0.38327086521185494</v>
      </c>
      <c r="AI96" s="402">
        <f t="shared" si="8"/>
        <v>12860.33</v>
      </c>
      <c r="AJ96" s="364">
        <v>-617.29999999999995</v>
      </c>
      <c r="AK96" s="364">
        <v>0</v>
      </c>
      <c r="AL96" s="364">
        <v>12243.03</v>
      </c>
      <c r="AM96" s="1069">
        <v>444</v>
      </c>
      <c r="AN96" s="407">
        <v>46122</v>
      </c>
      <c r="AO96" s="148" t="s">
        <v>174</v>
      </c>
      <c r="AP96" s="860" t="b">
        <v>1</v>
      </c>
      <c r="AQ96" s="860" t="b">
        <v>1</v>
      </c>
      <c r="AR96" s="409">
        <f t="shared" si="7"/>
        <v>-0.16541353383458646</v>
      </c>
      <c r="AS96" s="409">
        <f>(AL96-AA96)/AA96</f>
        <v>-0.13902137145830837</v>
      </c>
      <c r="AT96" s="402">
        <f t="shared" si="9"/>
        <v>0</v>
      </c>
      <c r="AU96" s="402"/>
      <c r="AV96" s="402"/>
      <c r="AW96" s="402"/>
      <c r="AX96" s="358"/>
      <c r="AY96" s="358"/>
      <c r="AZ96" s="358"/>
      <c r="BA96" s="164" t="b">
        <v>0</v>
      </c>
      <c r="BB96" s="164" t="b">
        <v>0</v>
      </c>
      <c r="BC96" s="358">
        <f>(AX96-AM96)/AM96</f>
        <v>-1</v>
      </c>
      <c r="BD96" s="358">
        <f>(AW96-AL96)/AL96</f>
        <v>-1</v>
      </c>
      <c r="BE96" s="402">
        <f>BH96 + ABS(BF96) + ABS(BG96)</f>
        <v>0</v>
      </c>
      <c r="BF96" s="402"/>
      <c r="BG96" s="402"/>
      <c r="BH96" s="402"/>
      <c r="BI96" s="358"/>
      <c r="BJ96" s="358"/>
      <c r="BK96" s="358"/>
      <c r="BL96" s="164" t="b">
        <v>0</v>
      </c>
      <c r="BM96" s="164" t="b">
        <v>0</v>
      </c>
      <c r="BN96" s="358" t="e">
        <f>(BI96-AZ96)/AZ96</f>
        <v>#DIV/0!</v>
      </c>
      <c r="BO96" s="358" t="e">
        <f>(BH96-AW96)/AW96</f>
        <v>#DIV/0!</v>
      </c>
      <c r="BP96" s="402">
        <f>BS96 + ABS(BQ96) + ABS(BR96)</f>
        <v>0</v>
      </c>
      <c r="BQ96" s="402"/>
      <c r="BR96" s="402"/>
      <c r="BS96" s="402"/>
      <c r="BT96" s="358"/>
      <c r="BU96" s="358"/>
      <c r="BV96" s="358"/>
      <c r="BW96" s="164" t="b">
        <v>0</v>
      </c>
      <c r="BX96" s="164" t="b">
        <v>0</v>
      </c>
      <c r="BY96" s="358" t="e">
        <f>(BT96-BI96)/BI96</f>
        <v>#DIV/0!</v>
      </c>
      <c r="BZ96" s="358" t="e">
        <f>(BS96-BH96)/BH96</f>
        <v>#DIV/0!</v>
      </c>
      <c r="CA96" s="402">
        <f>CD96 + ABS(CB96) + ABS(CC96)</f>
        <v>0</v>
      </c>
      <c r="CB96" s="402"/>
      <c r="CC96" s="402"/>
      <c r="CD96" s="402"/>
      <c r="CE96" s="358"/>
      <c r="CF96" s="358"/>
      <c r="CG96" s="358"/>
      <c r="CH96" s="164" t="b">
        <v>0</v>
      </c>
      <c r="CI96" s="164" t="b">
        <v>0</v>
      </c>
      <c r="CJ96" s="358" t="e">
        <f>(CE96-BV96)/BV96</f>
        <v>#DIV/0!</v>
      </c>
      <c r="CK96" s="358" t="e">
        <f>(CD96-BS96)/BS96</f>
        <v>#DIV/0!</v>
      </c>
      <c r="CL96" s="402">
        <f>CO96 + ABS(CM96) + ABS(CN96)</f>
        <v>0</v>
      </c>
      <c r="CM96" s="402"/>
      <c r="CN96" s="402"/>
      <c r="CO96" s="402"/>
      <c r="CP96" s="358"/>
      <c r="CQ96" s="358"/>
      <c r="CR96" s="358"/>
      <c r="CS96" s="164" t="b">
        <v>0</v>
      </c>
      <c r="CT96" s="164" t="b">
        <v>0</v>
      </c>
      <c r="CU96" s="358" t="e">
        <f>(CP96-CE96)/CE96</f>
        <v>#DIV/0!</v>
      </c>
      <c r="CV96" s="358" t="e">
        <f>(CO96-CD96)/CD96</f>
        <v>#DIV/0!</v>
      </c>
      <c r="CW96" s="402">
        <f>CZ96 + ABS(CX96) + ABS(CY96)</f>
        <v>0</v>
      </c>
      <c r="CX96" s="402"/>
      <c r="CY96" s="402"/>
      <c r="CZ96" s="402"/>
      <c r="DA96" s="358"/>
      <c r="DB96" s="358"/>
      <c r="DC96" s="358"/>
      <c r="DD96" s="164" t="b">
        <v>0</v>
      </c>
      <c r="DE96" s="164" t="b">
        <v>0</v>
      </c>
      <c r="DF96" s="358" t="e">
        <f>(DA96-CR96)/CR96</f>
        <v>#DIV/0!</v>
      </c>
      <c r="DG96" s="358" t="e">
        <f>(CZ96-CO96)/CO96</f>
        <v>#DIV/0!</v>
      </c>
      <c r="DH96" s="402">
        <f>DK96 + ABS(DI96) + ABS(DJ96)</f>
        <v>0</v>
      </c>
      <c r="DI96" s="402"/>
      <c r="DJ96" s="402"/>
      <c r="DK96" s="402"/>
      <c r="DL96" s="358"/>
      <c r="DM96" s="358"/>
      <c r="DN96" s="358"/>
      <c r="DO96" s="164" t="b">
        <v>0</v>
      </c>
      <c r="DP96" s="164" t="b">
        <v>0</v>
      </c>
      <c r="DQ96" s="358" t="e">
        <f>(DL96-DA96)/DA96</f>
        <v>#DIV/0!</v>
      </c>
      <c r="DR96" s="358" t="e">
        <f>(DK96-CZ96)/CZ96</f>
        <v>#DIV/0!</v>
      </c>
      <c r="DS96" s="402">
        <f>DV96 + ABS(DT96) + ABS(DU96)</f>
        <v>0</v>
      </c>
      <c r="DT96" s="402"/>
      <c r="DU96" s="402"/>
      <c r="DV96" s="402"/>
      <c r="DW96" s="358"/>
      <c r="DX96" s="358"/>
      <c r="DY96" s="358"/>
      <c r="DZ96" s="164" t="b">
        <v>0</v>
      </c>
      <c r="EA96" s="164" t="b">
        <v>0</v>
      </c>
      <c r="EB96" s="358" t="e">
        <f>(DW96-DN96)/DN96</f>
        <v>#DIV/0!</v>
      </c>
      <c r="EC96" s="358" t="e">
        <f>(DV96-DK96)/DK96</f>
        <v>#DIV/0!</v>
      </c>
      <c r="ED96" s="402">
        <f>EG96 + ABS(EE96) + ABS(EF96)</f>
        <v>0</v>
      </c>
      <c r="EE96" s="402"/>
      <c r="EF96" s="402"/>
      <c r="EG96" s="402"/>
      <c r="EH96" s="358"/>
      <c r="EI96" s="358"/>
      <c r="EJ96" s="358"/>
      <c r="EK96" s="164" t="b">
        <v>0</v>
      </c>
      <c r="EL96" s="164" t="b">
        <v>0</v>
      </c>
      <c r="EM96" s="358" t="e">
        <f>(EH96-DW96)/DW96</f>
        <v>#DIV/0!</v>
      </c>
      <c r="EN96" s="358" t="e">
        <f>(EG96-DV96)/DV96</f>
        <v>#DIV/0!</v>
      </c>
      <c r="EO96" s="402">
        <f>ER96 + ABS(EP96) + ABS(EQ96)</f>
        <v>0</v>
      </c>
      <c r="EP96" s="402"/>
      <c r="EQ96" s="402"/>
      <c r="ER96" s="402"/>
      <c r="ES96" s="358"/>
      <c r="ET96" s="358"/>
      <c r="EU96" s="358"/>
      <c r="EV96" s="164" t="b">
        <v>0</v>
      </c>
      <c r="EW96" s="164" t="b">
        <v>0</v>
      </c>
      <c r="EX96" s="358" t="e">
        <f>(ES96-EJ96)/EJ96</f>
        <v>#DIV/0!</v>
      </c>
      <c r="EY96" s="358" t="e">
        <f>(ER96-EG96)/EG96</f>
        <v>#DIV/0!</v>
      </c>
      <c r="EZ96" s="449"/>
      <c r="FA96" s="449"/>
      <c r="FB96" s="449"/>
      <c r="FC96" s="449"/>
      <c r="FD96" s="449"/>
      <c r="FE96" s="449"/>
      <c r="FF96" s="449"/>
      <c r="FG96" s="449"/>
      <c r="FH96" s="449"/>
      <c r="FI96" s="449"/>
      <c r="FJ96" s="449"/>
      <c r="FK96" s="449"/>
      <c r="FL96" s="449"/>
      <c r="FM96" s="449"/>
      <c r="FN96" s="449"/>
      <c r="FO96" s="449"/>
      <c r="FP96" s="449"/>
      <c r="FQ96" s="803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</row>
    <row r="97" spans="2:221" ht="15">
      <c r="B97" s="175"/>
      <c r="C97" s="802" t="s">
        <v>419</v>
      </c>
      <c r="D97" s="154">
        <v>1450022</v>
      </c>
      <c r="E97" s="154">
        <v>160</v>
      </c>
      <c r="F97" s="154" t="s">
        <v>420</v>
      </c>
      <c r="G97" s="255" t="s">
        <v>421</v>
      </c>
      <c r="H97" s="171" t="s">
        <v>169</v>
      </c>
      <c r="I97" s="445" t="s">
        <v>170</v>
      </c>
      <c r="J97" s="154"/>
      <c r="K97" s="154"/>
      <c r="L97" s="154"/>
      <c r="M97" s="176"/>
      <c r="N97" s="418">
        <v>107</v>
      </c>
      <c r="O97" s="176"/>
      <c r="P97" s="203">
        <v>1440.49</v>
      </c>
      <c r="Q97" s="203"/>
      <c r="R97" s="203">
        <v>28569.67</v>
      </c>
      <c r="S97" s="176">
        <v>1031</v>
      </c>
      <c r="T97" s="188" t="s">
        <v>171</v>
      </c>
      <c r="U97" s="176"/>
      <c r="V97" s="176"/>
      <c r="W97" s="176"/>
      <c r="X97" s="203">
        <f t="shared" si="6"/>
        <v>2475.36</v>
      </c>
      <c r="Y97" s="203">
        <v>-118.82</v>
      </c>
      <c r="Z97" s="203">
        <v>0</v>
      </c>
      <c r="AA97" s="203">
        <v>2356.54</v>
      </c>
      <c r="AB97" s="446">
        <v>107</v>
      </c>
      <c r="AC97" s="255" t="s">
        <v>172</v>
      </c>
      <c r="AD97" s="255" t="s">
        <v>173</v>
      </c>
      <c r="AE97" s="177" t="b">
        <v>1</v>
      </c>
      <c r="AF97" s="177" t="b">
        <v>1</v>
      </c>
      <c r="AG97" s="392">
        <f>(AB97-S97)/S97</f>
        <v>-0.89621726479146457</v>
      </c>
      <c r="AH97" s="392">
        <f>(AA97-R97)/R97</f>
        <v>-0.91751602311122249</v>
      </c>
      <c r="AI97" s="203">
        <f t="shared" si="8"/>
        <v>253.45</v>
      </c>
      <c r="AJ97" s="368">
        <v>-12.17</v>
      </c>
      <c r="AK97" s="368">
        <v>0</v>
      </c>
      <c r="AL97" s="368">
        <v>241.28</v>
      </c>
      <c r="AM97" s="1068">
        <v>15</v>
      </c>
      <c r="AN97" s="172">
        <v>46122</v>
      </c>
      <c r="AO97" s="171" t="s">
        <v>174</v>
      </c>
      <c r="AP97" s="861" t="b">
        <v>1</v>
      </c>
      <c r="AQ97" s="861" t="b">
        <v>1</v>
      </c>
      <c r="AR97" s="392">
        <f t="shared" si="7"/>
        <v>-0.85981308411214952</v>
      </c>
      <c r="AS97" s="392">
        <f>(AL97-AA97)/AA97</f>
        <v>-0.897612601525966</v>
      </c>
      <c r="AT97" s="203">
        <f t="shared" si="9"/>
        <v>0</v>
      </c>
      <c r="AU97" s="203"/>
      <c r="AV97" s="203"/>
      <c r="AW97" s="203"/>
      <c r="AX97" s="176"/>
      <c r="AY97" s="176"/>
      <c r="AZ97" s="176"/>
      <c r="BA97" s="177" t="b">
        <v>0</v>
      </c>
      <c r="BB97" s="177" t="b">
        <v>0</v>
      </c>
      <c r="BC97" s="176">
        <f>(AX97-AM97)/AM97</f>
        <v>-1</v>
      </c>
      <c r="BD97" s="176">
        <f>(AW97-AL97)/AL97</f>
        <v>-1</v>
      </c>
      <c r="BE97" s="203">
        <f>BH97 + ABS(BF97) + ABS(BG97)</f>
        <v>0</v>
      </c>
      <c r="BF97" s="203"/>
      <c r="BG97" s="203"/>
      <c r="BH97" s="203"/>
      <c r="BI97" s="176"/>
      <c r="BJ97" s="176"/>
      <c r="BK97" s="176"/>
      <c r="BL97" s="177" t="b">
        <v>0</v>
      </c>
      <c r="BM97" s="177" t="b">
        <v>0</v>
      </c>
      <c r="BN97" s="176" t="e">
        <f>(BI97-AZ97)/AZ97</f>
        <v>#DIV/0!</v>
      </c>
      <c r="BO97" s="176" t="e">
        <f>(BH97-AW97)/AW97</f>
        <v>#DIV/0!</v>
      </c>
      <c r="BP97" s="203">
        <f>BS97 + ABS(BQ97) + ABS(BR97)</f>
        <v>0</v>
      </c>
      <c r="BQ97" s="203"/>
      <c r="BR97" s="203"/>
      <c r="BS97" s="203"/>
      <c r="BT97" s="176"/>
      <c r="BU97" s="176"/>
      <c r="BV97" s="176"/>
      <c r="BW97" s="177" t="b">
        <v>0</v>
      </c>
      <c r="BX97" s="177" t="b">
        <v>0</v>
      </c>
      <c r="BY97" s="176" t="e">
        <f>(BT97-BI97)/BI97</f>
        <v>#DIV/0!</v>
      </c>
      <c r="BZ97" s="176" t="e">
        <f>(BS97-BH97)/BH97</f>
        <v>#DIV/0!</v>
      </c>
      <c r="CA97" s="203">
        <f>CD97 + ABS(CB97) + ABS(CC97)</f>
        <v>0</v>
      </c>
      <c r="CB97" s="203"/>
      <c r="CC97" s="203"/>
      <c r="CD97" s="203"/>
      <c r="CE97" s="176"/>
      <c r="CF97" s="176"/>
      <c r="CG97" s="176"/>
      <c r="CH97" s="177" t="b">
        <v>0</v>
      </c>
      <c r="CI97" s="177" t="b">
        <v>0</v>
      </c>
      <c r="CJ97" s="176" t="e">
        <f>(CE97-BV97)/BV97</f>
        <v>#DIV/0!</v>
      </c>
      <c r="CK97" s="176" t="e">
        <f>(CD97-BS97)/BS97</f>
        <v>#DIV/0!</v>
      </c>
      <c r="CL97" s="203">
        <f>CO97 + ABS(CM97) + ABS(CN97)</f>
        <v>0</v>
      </c>
      <c r="CM97" s="203"/>
      <c r="CN97" s="203"/>
      <c r="CO97" s="203"/>
      <c r="CP97" s="176"/>
      <c r="CQ97" s="176"/>
      <c r="CR97" s="176"/>
      <c r="CS97" s="177" t="b">
        <v>0</v>
      </c>
      <c r="CT97" s="177" t="b">
        <v>0</v>
      </c>
      <c r="CU97" s="176" t="e">
        <f>(CP97-CE97)/CE97</f>
        <v>#DIV/0!</v>
      </c>
      <c r="CV97" s="176" t="e">
        <f>(CO97-CD97)/CD97</f>
        <v>#DIV/0!</v>
      </c>
      <c r="CW97" s="203">
        <f>CZ97 + ABS(CX97) + ABS(CY97)</f>
        <v>0</v>
      </c>
      <c r="CX97" s="203"/>
      <c r="CY97" s="203"/>
      <c r="CZ97" s="203"/>
      <c r="DA97" s="176"/>
      <c r="DB97" s="176"/>
      <c r="DC97" s="176"/>
      <c r="DD97" s="177" t="b">
        <v>0</v>
      </c>
      <c r="DE97" s="177" t="b">
        <v>0</v>
      </c>
      <c r="DF97" s="176" t="e">
        <f>(DA97-CR97)/CR97</f>
        <v>#DIV/0!</v>
      </c>
      <c r="DG97" s="176" t="e">
        <f>(CZ97-CO97)/CO97</f>
        <v>#DIV/0!</v>
      </c>
      <c r="DH97" s="203">
        <f>DK97 + ABS(DI97) + ABS(DJ97)</f>
        <v>0</v>
      </c>
      <c r="DI97" s="203"/>
      <c r="DJ97" s="203"/>
      <c r="DK97" s="203"/>
      <c r="DL97" s="176"/>
      <c r="DM97" s="176"/>
      <c r="DN97" s="176"/>
      <c r="DO97" s="177" t="b">
        <v>0</v>
      </c>
      <c r="DP97" s="177" t="b">
        <v>0</v>
      </c>
      <c r="DQ97" s="176" t="e">
        <f>(DL97-DA97)/DA97</f>
        <v>#DIV/0!</v>
      </c>
      <c r="DR97" s="176" t="e">
        <f>(DK97-CZ97)/CZ97</f>
        <v>#DIV/0!</v>
      </c>
      <c r="DS97" s="203">
        <f>DV97 + ABS(DT97) + ABS(DU97)</f>
        <v>0</v>
      </c>
      <c r="DT97" s="203"/>
      <c r="DU97" s="203"/>
      <c r="DV97" s="203"/>
      <c r="DW97" s="176"/>
      <c r="DX97" s="176"/>
      <c r="DY97" s="176"/>
      <c r="DZ97" s="177" t="b">
        <v>0</v>
      </c>
      <c r="EA97" s="177" t="b">
        <v>0</v>
      </c>
      <c r="EB97" s="176" t="e">
        <f>(DW97-DN97)/DN97</f>
        <v>#DIV/0!</v>
      </c>
      <c r="EC97" s="176" t="e">
        <f>(DV97-DK97)/DK97</f>
        <v>#DIV/0!</v>
      </c>
      <c r="ED97" s="203">
        <f>EG97 + ABS(EE97) + ABS(EF97)</f>
        <v>0</v>
      </c>
      <c r="EE97" s="203"/>
      <c r="EF97" s="203"/>
      <c r="EG97" s="203"/>
      <c r="EH97" s="176"/>
      <c r="EI97" s="176"/>
      <c r="EJ97" s="176"/>
      <c r="EK97" s="177" t="b">
        <v>0</v>
      </c>
      <c r="EL97" s="177" t="b">
        <v>0</v>
      </c>
      <c r="EM97" s="176" t="e">
        <f>(EH97-DW97)/DW97</f>
        <v>#DIV/0!</v>
      </c>
      <c r="EN97" s="176" t="e">
        <f>(EG97-DV97)/DV97</f>
        <v>#DIV/0!</v>
      </c>
      <c r="EO97" s="203">
        <f>ER97 + ABS(EP97) + ABS(EQ97)</f>
        <v>0</v>
      </c>
      <c r="EP97" s="203"/>
      <c r="EQ97" s="203"/>
      <c r="ER97" s="203"/>
      <c r="ES97" s="176"/>
      <c r="ET97" s="176"/>
      <c r="EU97" s="176"/>
      <c r="EV97" s="177" t="b">
        <v>0</v>
      </c>
      <c r="EW97" s="177" t="b">
        <v>0</v>
      </c>
      <c r="EX97" s="176" t="e">
        <f>(ES97-EJ97)/EJ97</f>
        <v>#DIV/0!</v>
      </c>
      <c r="EY97" s="176" t="e">
        <f>(ER97-EG97)/EG97</f>
        <v>#DIV/0!</v>
      </c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801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</row>
    <row r="98" spans="2:221" ht="15">
      <c r="B98" s="175"/>
      <c r="C98" s="800" t="s">
        <v>422</v>
      </c>
      <c r="D98" s="357">
        <v>1450022</v>
      </c>
      <c r="E98" s="357">
        <v>101</v>
      </c>
      <c r="F98" s="357" t="s">
        <v>423</v>
      </c>
      <c r="G98" s="426" t="s">
        <v>424</v>
      </c>
      <c r="H98" s="148" t="s">
        <v>169</v>
      </c>
      <c r="I98" s="448" t="s">
        <v>170</v>
      </c>
      <c r="J98" s="357"/>
      <c r="K98" s="357"/>
      <c r="L98" s="357"/>
      <c r="M98" s="358"/>
      <c r="N98" s="359">
        <v>107</v>
      </c>
      <c r="O98" s="358"/>
      <c r="P98" s="402">
        <v>5.3</v>
      </c>
      <c r="Q98" s="402"/>
      <c r="R98" s="402">
        <v>105.15</v>
      </c>
      <c r="S98" s="358">
        <v>12</v>
      </c>
      <c r="T98" s="188" t="s">
        <v>171</v>
      </c>
      <c r="U98" s="358"/>
      <c r="V98" s="358"/>
      <c r="W98" s="358"/>
      <c r="X98" s="402">
        <f t="shared" si="6"/>
        <v>50.3</v>
      </c>
      <c r="Y98" s="402">
        <v>-2.41</v>
      </c>
      <c r="Z98" s="402">
        <v>0</v>
      </c>
      <c r="AA98" s="402">
        <v>47.89</v>
      </c>
      <c r="AB98" s="450">
        <v>4</v>
      </c>
      <c r="AC98" s="173" t="s">
        <v>172</v>
      </c>
      <c r="AD98" s="173" t="s">
        <v>173</v>
      </c>
      <c r="AE98" s="164" t="b">
        <v>1</v>
      </c>
      <c r="AF98" s="164" t="b">
        <v>1</v>
      </c>
      <c r="AG98" s="409">
        <f>(AB98-S98)/S98</f>
        <v>-0.66666666666666663</v>
      </c>
      <c r="AH98" s="409">
        <f>(AA98-R98)/R98</f>
        <v>-0.54455539705183076</v>
      </c>
      <c r="AI98" s="402">
        <f t="shared" si="8"/>
        <v>90.14</v>
      </c>
      <c r="AJ98" s="364">
        <v>-4.33</v>
      </c>
      <c r="AK98" s="364">
        <v>0</v>
      </c>
      <c r="AL98" s="364">
        <v>85.81</v>
      </c>
      <c r="AM98" s="1069">
        <v>9</v>
      </c>
      <c r="AN98" s="407">
        <v>46122</v>
      </c>
      <c r="AO98" s="148" t="s">
        <v>174</v>
      </c>
      <c r="AP98" s="860" t="b">
        <v>1</v>
      </c>
      <c r="AQ98" s="860" t="b">
        <v>1</v>
      </c>
      <c r="AR98" s="409">
        <f t="shared" si="7"/>
        <v>1.25</v>
      </c>
      <c r="AS98" s="409">
        <f>(AL98-AA98)/AA98</f>
        <v>0.7918145750678639</v>
      </c>
      <c r="AT98" s="402">
        <f t="shared" si="9"/>
        <v>0</v>
      </c>
      <c r="AU98" s="402"/>
      <c r="AV98" s="402"/>
      <c r="AW98" s="402"/>
      <c r="AX98" s="358"/>
      <c r="AY98" s="358"/>
      <c r="AZ98" s="358"/>
      <c r="BA98" s="164" t="b">
        <v>0</v>
      </c>
      <c r="BB98" s="164" t="b">
        <v>0</v>
      </c>
      <c r="BC98" s="358">
        <f>(AX98-AM98)/AM98</f>
        <v>-1</v>
      </c>
      <c r="BD98" s="358">
        <f>(AW98-AL98)/AL98</f>
        <v>-1</v>
      </c>
      <c r="BE98" s="402">
        <f>BH98 + ABS(BF98) + ABS(BG98)</f>
        <v>0</v>
      </c>
      <c r="BF98" s="402"/>
      <c r="BG98" s="402"/>
      <c r="BH98" s="402"/>
      <c r="BI98" s="358"/>
      <c r="BJ98" s="358"/>
      <c r="BK98" s="358"/>
      <c r="BL98" s="164" t="b">
        <v>0</v>
      </c>
      <c r="BM98" s="164" t="b">
        <v>0</v>
      </c>
      <c r="BN98" s="358" t="e">
        <f>(BI98-AZ98)/AZ98</f>
        <v>#DIV/0!</v>
      </c>
      <c r="BO98" s="358" t="e">
        <f>(BH98-AW98)/AW98</f>
        <v>#DIV/0!</v>
      </c>
      <c r="BP98" s="402">
        <f>BS98 + ABS(BQ98) + ABS(BR98)</f>
        <v>0</v>
      </c>
      <c r="BQ98" s="402"/>
      <c r="BR98" s="402"/>
      <c r="BS98" s="402"/>
      <c r="BT98" s="358"/>
      <c r="BU98" s="358"/>
      <c r="BV98" s="358"/>
      <c r="BW98" s="164" t="b">
        <v>0</v>
      </c>
      <c r="BX98" s="164" t="b">
        <v>0</v>
      </c>
      <c r="BY98" s="358" t="e">
        <f>(BT98-BI98)/BI98</f>
        <v>#DIV/0!</v>
      </c>
      <c r="BZ98" s="358" t="e">
        <f>(BS98-BH98)/BH98</f>
        <v>#DIV/0!</v>
      </c>
      <c r="CA98" s="402">
        <f>CD98 + ABS(CB98) + ABS(CC98)</f>
        <v>0</v>
      </c>
      <c r="CB98" s="402"/>
      <c r="CC98" s="402"/>
      <c r="CD98" s="402"/>
      <c r="CE98" s="358"/>
      <c r="CF98" s="358"/>
      <c r="CG98" s="358"/>
      <c r="CH98" s="164" t="b">
        <v>0</v>
      </c>
      <c r="CI98" s="164" t="b">
        <v>0</v>
      </c>
      <c r="CJ98" s="358" t="e">
        <f>(CE98-BV98)/BV98</f>
        <v>#DIV/0!</v>
      </c>
      <c r="CK98" s="358" t="e">
        <f>(CD98-BS98)/BS98</f>
        <v>#DIV/0!</v>
      </c>
      <c r="CL98" s="402">
        <f>CO98 + ABS(CM98) + ABS(CN98)</f>
        <v>0</v>
      </c>
      <c r="CM98" s="402"/>
      <c r="CN98" s="402"/>
      <c r="CO98" s="402"/>
      <c r="CP98" s="358"/>
      <c r="CQ98" s="358"/>
      <c r="CR98" s="358"/>
      <c r="CS98" s="164" t="b">
        <v>0</v>
      </c>
      <c r="CT98" s="164" t="b">
        <v>0</v>
      </c>
      <c r="CU98" s="358" t="e">
        <f>(CP98-CE98)/CE98</f>
        <v>#DIV/0!</v>
      </c>
      <c r="CV98" s="358" t="e">
        <f>(CO98-CD98)/CD98</f>
        <v>#DIV/0!</v>
      </c>
      <c r="CW98" s="402">
        <f>CZ98 + ABS(CX98) + ABS(CY98)</f>
        <v>0</v>
      </c>
      <c r="CX98" s="402"/>
      <c r="CY98" s="402"/>
      <c r="CZ98" s="402"/>
      <c r="DA98" s="358"/>
      <c r="DB98" s="358"/>
      <c r="DC98" s="358"/>
      <c r="DD98" s="164" t="b">
        <v>0</v>
      </c>
      <c r="DE98" s="164" t="b">
        <v>0</v>
      </c>
      <c r="DF98" s="358" t="e">
        <f>(DA98-CR98)/CR98</f>
        <v>#DIV/0!</v>
      </c>
      <c r="DG98" s="358" t="e">
        <f>(CZ98-CO98)/CO98</f>
        <v>#DIV/0!</v>
      </c>
      <c r="DH98" s="402">
        <f>DK98 + ABS(DI98) + ABS(DJ98)</f>
        <v>0</v>
      </c>
      <c r="DI98" s="402"/>
      <c r="DJ98" s="402"/>
      <c r="DK98" s="402"/>
      <c r="DL98" s="358"/>
      <c r="DM98" s="358"/>
      <c r="DN98" s="358"/>
      <c r="DO98" s="164" t="b">
        <v>0</v>
      </c>
      <c r="DP98" s="164" t="b">
        <v>0</v>
      </c>
      <c r="DQ98" s="358" t="e">
        <f>(DL98-DA98)/DA98</f>
        <v>#DIV/0!</v>
      </c>
      <c r="DR98" s="358" t="e">
        <f>(DK98-CZ98)/CZ98</f>
        <v>#DIV/0!</v>
      </c>
      <c r="DS98" s="402">
        <f>DV98 + ABS(DT98) + ABS(DU98)</f>
        <v>0</v>
      </c>
      <c r="DT98" s="402"/>
      <c r="DU98" s="402"/>
      <c r="DV98" s="402"/>
      <c r="DW98" s="358"/>
      <c r="DX98" s="358"/>
      <c r="DY98" s="358"/>
      <c r="DZ98" s="164" t="b">
        <v>0</v>
      </c>
      <c r="EA98" s="164" t="b">
        <v>0</v>
      </c>
      <c r="EB98" s="358" t="e">
        <f>(DW98-DN98)/DN98</f>
        <v>#DIV/0!</v>
      </c>
      <c r="EC98" s="358" t="e">
        <f>(DV98-DK98)/DK98</f>
        <v>#DIV/0!</v>
      </c>
      <c r="ED98" s="402">
        <f>EG98 + ABS(EE98) + ABS(EF98)</f>
        <v>0</v>
      </c>
      <c r="EE98" s="402"/>
      <c r="EF98" s="402"/>
      <c r="EG98" s="402"/>
      <c r="EH98" s="358"/>
      <c r="EI98" s="358"/>
      <c r="EJ98" s="358"/>
      <c r="EK98" s="164" t="b">
        <v>0</v>
      </c>
      <c r="EL98" s="164" t="b">
        <v>0</v>
      </c>
      <c r="EM98" s="358" t="e">
        <f>(EH98-DW98)/DW98</f>
        <v>#DIV/0!</v>
      </c>
      <c r="EN98" s="358" t="e">
        <f>(EG98-DV98)/DV98</f>
        <v>#DIV/0!</v>
      </c>
      <c r="EO98" s="402">
        <f>ER98 + ABS(EP98) + ABS(EQ98)</f>
        <v>0</v>
      </c>
      <c r="EP98" s="402"/>
      <c r="EQ98" s="402"/>
      <c r="ER98" s="402"/>
      <c r="ES98" s="358"/>
      <c r="ET98" s="358"/>
      <c r="EU98" s="358"/>
      <c r="EV98" s="164" t="b">
        <v>0</v>
      </c>
      <c r="EW98" s="164" t="b">
        <v>0</v>
      </c>
      <c r="EX98" s="358" t="e">
        <f>(ES98-EJ98)/EJ98</f>
        <v>#DIV/0!</v>
      </c>
      <c r="EY98" s="358" t="e">
        <f>(ER98-EG98)/EG98</f>
        <v>#DIV/0!</v>
      </c>
      <c r="EZ98" s="449"/>
      <c r="FA98" s="449"/>
      <c r="FB98" s="449"/>
      <c r="FC98" s="449"/>
      <c r="FD98" s="449"/>
      <c r="FE98" s="449"/>
      <c r="FF98" s="449"/>
      <c r="FG98" s="449"/>
      <c r="FH98" s="449"/>
      <c r="FI98" s="449"/>
      <c r="FJ98" s="449"/>
      <c r="FK98" s="449"/>
      <c r="FL98" s="449"/>
      <c r="FM98" s="449"/>
      <c r="FN98" s="449"/>
      <c r="FO98" s="449"/>
      <c r="FP98" s="449"/>
      <c r="FQ98" s="803"/>
      <c r="FR98" s="449"/>
      <c r="FS98" s="449"/>
      <c r="FT98" s="449"/>
      <c r="FU98" s="449"/>
      <c r="FV98" s="449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</row>
    <row r="99" spans="2:221" ht="15">
      <c r="B99" s="175"/>
      <c r="C99" s="800" t="s">
        <v>422</v>
      </c>
      <c r="D99" s="357">
        <v>1450022</v>
      </c>
      <c r="E99" s="357">
        <v>101</v>
      </c>
      <c r="F99" s="357" t="s">
        <v>425</v>
      </c>
      <c r="G99" s="426" t="s">
        <v>426</v>
      </c>
      <c r="H99" s="148" t="s">
        <v>169</v>
      </c>
      <c r="I99" s="448" t="s">
        <v>170</v>
      </c>
      <c r="J99" s="357"/>
      <c r="K99" s="357"/>
      <c r="L99" s="357"/>
      <c r="M99" s="358"/>
      <c r="N99" s="361">
        <v>107</v>
      </c>
      <c r="O99" s="358"/>
      <c r="P99" s="402">
        <v>4046.79</v>
      </c>
      <c r="Q99" s="402"/>
      <c r="R99" s="402">
        <v>80261.289999999994</v>
      </c>
      <c r="S99" s="358">
        <v>4888</v>
      </c>
      <c r="T99" s="188" t="s">
        <v>171</v>
      </c>
      <c r="U99" s="358"/>
      <c r="V99" s="358"/>
      <c r="W99" s="358"/>
      <c r="X99" s="402">
        <f t="shared" si="6"/>
        <v>92271.32</v>
      </c>
      <c r="Y99" s="402">
        <v>-4429.0200000000004</v>
      </c>
      <c r="Z99" s="402">
        <v>0</v>
      </c>
      <c r="AA99" s="402">
        <v>87842.3</v>
      </c>
      <c r="AB99" s="450">
        <v>5346</v>
      </c>
      <c r="AC99" s="426" t="s">
        <v>172</v>
      </c>
      <c r="AD99" s="426" t="s">
        <v>173</v>
      </c>
      <c r="AE99" s="164" t="b">
        <v>1</v>
      </c>
      <c r="AF99" s="164" t="b">
        <v>1</v>
      </c>
      <c r="AG99" s="409">
        <f>(AB99-S99)/S99</f>
        <v>9.3698854337152207E-2</v>
      </c>
      <c r="AH99" s="409">
        <f>(AA99-R99)/R99</f>
        <v>9.4454126017660692E-2</v>
      </c>
      <c r="AI99" s="402">
        <f t="shared" si="8"/>
        <v>78236.319999999992</v>
      </c>
      <c r="AJ99" s="364">
        <v>-3755.34</v>
      </c>
      <c r="AK99" s="364">
        <v>0</v>
      </c>
      <c r="AL99" s="364">
        <v>74480.98</v>
      </c>
      <c r="AM99" s="1069">
        <v>4391</v>
      </c>
      <c r="AN99" s="407">
        <v>46122</v>
      </c>
      <c r="AO99" s="148" t="s">
        <v>174</v>
      </c>
      <c r="AP99" s="860" t="b">
        <v>1</v>
      </c>
      <c r="AQ99" s="860" t="b">
        <v>1</v>
      </c>
      <c r="AR99" s="409">
        <f t="shared" si="7"/>
        <v>-0.17863823419378974</v>
      </c>
      <c r="AS99" s="409">
        <f>(AL99-AA99)/AA99</f>
        <v>-0.15210576225804659</v>
      </c>
      <c r="AT99" s="402">
        <f t="shared" si="9"/>
        <v>0</v>
      </c>
      <c r="AU99" s="402"/>
      <c r="AV99" s="402"/>
      <c r="AW99" s="402"/>
      <c r="AX99" s="358"/>
      <c r="AY99" s="358"/>
      <c r="AZ99" s="358"/>
      <c r="BA99" s="164" t="b">
        <v>0</v>
      </c>
      <c r="BB99" s="164" t="b">
        <v>0</v>
      </c>
      <c r="BC99" s="358">
        <f>(AX99-AM99)/AM99</f>
        <v>-1</v>
      </c>
      <c r="BD99" s="358">
        <f>(AW99-AL99)/AL99</f>
        <v>-1</v>
      </c>
      <c r="BE99" s="402">
        <f>BH99 + ABS(BF99) + ABS(BG99)</f>
        <v>0</v>
      </c>
      <c r="BF99" s="402"/>
      <c r="BG99" s="402"/>
      <c r="BH99" s="402"/>
      <c r="BI99" s="358"/>
      <c r="BJ99" s="358"/>
      <c r="BK99" s="358"/>
      <c r="BL99" s="164" t="b">
        <v>0</v>
      </c>
      <c r="BM99" s="164" t="b">
        <v>0</v>
      </c>
      <c r="BN99" s="358" t="e">
        <f>(BI99-AZ99)/AZ99</f>
        <v>#DIV/0!</v>
      </c>
      <c r="BO99" s="358" t="e">
        <f>(BH99-AW99)/AW99</f>
        <v>#DIV/0!</v>
      </c>
      <c r="BP99" s="402">
        <f>BS99 + ABS(BQ99) + ABS(BR99)</f>
        <v>0</v>
      </c>
      <c r="BQ99" s="402"/>
      <c r="BR99" s="402"/>
      <c r="BS99" s="402"/>
      <c r="BT99" s="358"/>
      <c r="BU99" s="358"/>
      <c r="BV99" s="358"/>
      <c r="BW99" s="164" t="b">
        <v>0</v>
      </c>
      <c r="BX99" s="164" t="b">
        <v>0</v>
      </c>
      <c r="BY99" s="358" t="e">
        <f>(BT99-BI99)/BI99</f>
        <v>#DIV/0!</v>
      </c>
      <c r="BZ99" s="358" t="e">
        <f>(BS99-BH99)/BH99</f>
        <v>#DIV/0!</v>
      </c>
      <c r="CA99" s="402">
        <f>CD99 + ABS(CB99) + ABS(CC99)</f>
        <v>0</v>
      </c>
      <c r="CB99" s="402"/>
      <c r="CC99" s="402"/>
      <c r="CD99" s="402"/>
      <c r="CE99" s="358"/>
      <c r="CF99" s="358"/>
      <c r="CG99" s="358"/>
      <c r="CH99" s="164" t="b">
        <v>0</v>
      </c>
      <c r="CI99" s="164" t="b">
        <v>0</v>
      </c>
      <c r="CJ99" s="358" t="e">
        <f>(CE99-BV99)/BV99</f>
        <v>#DIV/0!</v>
      </c>
      <c r="CK99" s="358" t="e">
        <f>(CD99-BS99)/BS99</f>
        <v>#DIV/0!</v>
      </c>
      <c r="CL99" s="402">
        <f>CO99 + ABS(CM99) + ABS(CN99)</f>
        <v>0</v>
      </c>
      <c r="CM99" s="402"/>
      <c r="CN99" s="402"/>
      <c r="CO99" s="402"/>
      <c r="CP99" s="358"/>
      <c r="CQ99" s="358"/>
      <c r="CR99" s="358"/>
      <c r="CS99" s="164" t="b">
        <v>0</v>
      </c>
      <c r="CT99" s="164" t="b">
        <v>0</v>
      </c>
      <c r="CU99" s="358" t="e">
        <f>(CP99-CE99)/CE99</f>
        <v>#DIV/0!</v>
      </c>
      <c r="CV99" s="358" t="e">
        <f>(CO99-CD99)/CD99</f>
        <v>#DIV/0!</v>
      </c>
      <c r="CW99" s="402">
        <f>CZ99 + ABS(CX99) + ABS(CY99)</f>
        <v>0</v>
      </c>
      <c r="CX99" s="402"/>
      <c r="CY99" s="402"/>
      <c r="CZ99" s="402"/>
      <c r="DA99" s="358"/>
      <c r="DB99" s="358"/>
      <c r="DC99" s="358"/>
      <c r="DD99" s="164" t="b">
        <v>0</v>
      </c>
      <c r="DE99" s="164" t="b">
        <v>0</v>
      </c>
      <c r="DF99" s="358" t="e">
        <f>(DA99-CR99)/CR99</f>
        <v>#DIV/0!</v>
      </c>
      <c r="DG99" s="358" t="e">
        <f>(CZ99-CO99)/CO99</f>
        <v>#DIV/0!</v>
      </c>
      <c r="DH99" s="402">
        <f>DK99 + ABS(DI99) + ABS(DJ99)</f>
        <v>0</v>
      </c>
      <c r="DI99" s="402"/>
      <c r="DJ99" s="402"/>
      <c r="DK99" s="402"/>
      <c r="DL99" s="358"/>
      <c r="DM99" s="358"/>
      <c r="DN99" s="358"/>
      <c r="DO99" s="164" t="b">
        <v>0</v>
      </c>
      <c r="DP99" s="164" t="b">
        <v>0</v>
      </c>
      <c r="DQ99" s="358" t="e">
        <f>(DL99-DA99)/DA99</f>
        <v>#DIV/0!</v>
      </c>
      <c r="DR99" s="358" t="e">
        <f>(DK99-CZ99)/CZ99</f>
        <v>#DIV/0!</v>
      </c>
      <c r="DS99" s="402">
        <f>DV99 + ABS(DT99) + ABS(DU99)</f>
        <v>0</v>
      </c>
      <c r="DT99" s="402"/>
      <c r="DU99" s="402"/>
      <c r="DV99" s="402"/>
      <c r="DW99" s="358"/>
      <c r="DX99" s="358"/>
      <c r="DY99" s="358"/>
      <c r="DZ99" s="164" t="b">
        <v>0</v>
      </c>
      <c r="EA99" s="164" t="b">
        <v>0</v>
      </c>
      <c r="EB99" s="358" t="e">
        <f>(DW99-DN99)/DN99</f>
        <v>#DIV/0!</v>
      </c>
      <c r="EC99" s="358" t="e">
        <f>(DV99-DK99)/DK99</f>
        <v>#DIV/0!</v>
      </c>
      <c r="ED99" s="402">
        <f>EG99 + ABS(EE99) + ABS(EF99)</f>
        <v>0</v>
      </c>
      <c r="EE99" s="402"/>
      <c r="EF99" s="402"/>
      <c r="EG99" s="402"/>
      <c r="EH99" s="358"/>
      <c r="EI99" s="358"/>
      <c r="EJ99" s="358"/>
      <c r="EK99" s="164" t="b">
        <v>0</v>
      </c>
      <c r="EL99" s="164" t="b">
        <v>0</v>
      </c>
      <c r="EM99" s="358" t="e">
        <f>(EH99-DW99)/DW99</f>
        <v>#DIV/0!</v>
      </c>
      <c r="EN99" s="358" t="e">
        <f>(EG99-DV99)/DV99</f>
        <v>#DIV/0!</v>
      </c>
      <c r="EO99" s="402">
        <f>ER99 + ABS(EP99) + ABS(EQ99)</f>
        <v>0</v>
      </c>
      <c r="EP99" s="402"/>
      <c r="EQ99" s="402"/>
      <c r="ER99" s="402"/>
      <c r="ES99" s="358"/>
      <c r="ET99" s="358"/>
      <c r="EU99" s="358"/>
      <c r="EV99" s="164" t="b">
        <v>0</v>
      </c>
      <c r="EW99" s="164" t="b">
        <v>0</v>
      </c>
      <c r="EX99" s="358" t="e">
        <f>(ES99-EJ99)/EJ99</f>
        <v>#DIV/0!</v>
      </c>
      <c r="EY99" s="358" t="e">
        <f>(ER99-EG99)/EG99</f>
        <v>#DIV/0!</v>
      </c>
      <c r="EZ99" s="449"/>
      <c r="FA99" s="449"/>
      <c r="FB99" s="449"/>
      <c r="FC99" s="449"/>
      <c r="FD99" s="449"/>
      <c r="FE99" s="449"/>
      <c r="FF99" s="449"/>
      <c r="FG99" s="449"/>
      <c r="FH99" s="449"/>
      <c r="FI99" s="449"/>
      <c r="FJ99" s="449"/>
      <c r="FK99" s="449"/>
      <c r="FL99" s="449"/>
      <c r="FM99" s="449"/>
      <c r="FN99" s="449"/>
      <c r="FO99" s="449"/>
      <c r="FP99" s="449"/>
      <c r="FQ99" s="803"/>
      <c r="FR99" s="449"/>
      <c r="FS99" s="449"/>
      <c r="FT99" s="449"/>
      <c r="FU99" s="449"/>
      <c r="FV99" s="449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</row>
    <row r="100" spans="2:221" ht="15">
      <c r="B100" s="175"/>
      <c r="C100" s="802" t="s">
        <v>427</v>
      </c>
      <c r="D100" s="154">
        <v>1450022</v>
      </c>
      <c r="E100" s="154">
        <v>373</v>
      </c>
      <c r="F100" s="154" t="s">
        <v>428</v>
      </c>
      <c r="G100" s="255" t="s">
        <v>429</v>
      </c>
      <c r="H100" s="171" t="s">
        <v>169</v>
      </c>
      <c r="I100" s="445" t="s">
        <v>170</v>
      </c>
      <c r="J100" s="154"/>
      <c r="K100" s="154"/>
      <c r="L100" s="154"/>
      <c r="M100" s="176"/>
      <c r="N100" s="193">
        <v>107</v>
      </c>
      <c r="O100" s="176"/>
      <c r="P100" s="203">
        <v>2.6</v>
      </c>
      <c r="Q100" s="203"/>
      <c r="R100" s="203">
        <v>51.52</v>
      </c>
      <c r="S100" s="354"/>
      <c r="T100" s="188" t="s">
        <v>171</v>
      </c>
      <c r="U100" s="176"/>
      <c r="V100" s="176"/>
      <c r="W100" s="176"/>
      <c r="X100" s="203">
        <f t="shared" si="6"/>
        <v>175.28</v>
      </c>
      <c r="Y100" s="203">
        <v>-8.41</v>
      </c>
      <c r="Z100" s="203">
        <v>0</v>
      </c>
      <c r="AA100" s="203">
        <v>166.87</v>
      </c>
      <c r="AB100" s="446">
        <v>11</v>
      </c>
      <c r="AC100" s="444" t="s">
        <v>172</v>
      </c>
      <c r="AD100" s="444" t="s">
        <v>173</v>
      </c>
      <c r="AE100" s="177" t="b">
        <v>1</v>
      </c>
      <c r="AF100" s="177" t="b">
        <v>1</v>
      </c>
      <c r="AG100" s="392" t="e">
        <f>(AB100-S100)/S100</f>
        <v>#DIV/0!</v>
      </c>
      <c r="AH100" s="392">
        <f>(AA100-R100)/R100</f>
        <v>2.2389363354037264</v>
      </c>
      <c r="AI100" s="203">
        <f t="shared" si="8"/>
        <v>69.179999999999993</v>
      </c>
      <c r="AJ100" s="368">
        <v>-3.32</v>
      </c>
      <c r="AK100" s="368">
        <v>0</v>
      </c>
      <c r="AL100" s="368">
        <v>65.86</v>
      </c>
      <c r="AM100" s="1068">
        <v>1</v>
      </c>
      <c r="AN100" s="172">
        <v>46122</v>
      </c>
      <c r="AO100" s="171" t="s">
        <v>174</v>
      </c>
      <c r="AP100" s="861" t="b">
        <v>1</v>
      </c>
      <c r="AQ100" s="861" t="b">
        <v>1</v>
      </c>
      <c r="AR100" s="392">
        <f t="shared" si="7"/>
        <v>-0.90909090909090906</v>
      </c>
      <c r="AS100" s="392">
        <f>(AL100-AA100)/AA100</f>
        <v>-0.60532150776053217</v>
      </c>
      <c r="AT100" s="203">
        <f t="shared" si="9"/>
        <v>0</v>
      </c>
      <c r="AU100" s="203"/>
      <c r="AV100" s="203"/>
      <c r="AW100" s="203"/>
      <c r="AX100" s="176"/>
      <c r="AY100" s="176"/>
      <c r="AZ100" s="176"/>
      <c r="BA100" s="177" t="b">
        <v>0</v>
      </c>
      <c r="BB100" s="177" t="b">
        <v>0</v>
      </c>
      <c r="BC100" s="176">
        <f>(AX100-AM100)/AM100</f>
        <v>-1</v>
      </c>
      <c r="BD100" s="176">
        <f>(AW100-AL100)/AL100</f>
        <v>-1</v>
      </c>
      <c r="BE100" s="203">
        <f>BH100 + ABS(BF100) + ABS(BG100)</f>
        <v>0</v>
      </c>
      <c r="BF100" s="203"/>
      <c r="BG100" s="203"/>
      <c r="BH100" s="203"/>
      <c r="BI100" s="176"/>
      <c r="BJ100" s="176"/>
      <c r="BK100" s="176"/>
      <c r="BL100" s="177" t="b">
        <v>0</v>
      </c>
      <c r="BM100" s="177" t="b">
        <v>0</v>
      </c>
      <c r="BN100" s="176" t="e">
        <f>(BI100-AZ100)/AZ100</f>
        <v>#DIV/0!</v>
      </c>
      <c r="BO100" s="176" t="e">
        <f>(BH100-AW100)/AW100</f>
        <v>#DIV/0!</v>
      </c>
      <c r="BP100" s="203">
        <f>BS100 + ABS(BQ100) + ABS(BR100)</f>
        <v>0</v>
      </c>
      <c r="BQ100" s="203"/>
      <c r="BR100" s="203"/>
      <c r="BS100" s="203"/>
      <c r="BT100" s="176"/>
      <c r="BU100" s="176"/>
      <c r="BV100" s="176"/>
      <c r="BW100" s="177" t="b">
        <v>0</v>
      </c>
      <c r="BX100" s="177" t="b">
        <v>0</v>
      </c>
      <c r="BY100" s="176" t="e">
        <f>(BT100-BI100)/BI100</f>
        <v>#DIV/0!</v>
      </c>
      <c r="BZ100" s="176" t="e">
        <f>(BS100-BH100)/BH100</f>
        <v>#DIV/0!</v>
      </c>
      <c r="CA100" s="203">
        <f>CD100 + ABS(CB100) + ABS(CC100)</f>
        <v>0</v>
      </c>
      <c r="CB100" s="203"/>
      <c r="CC100" s="203"/>
      <c r="CD100" s="203"/>
      <c r="CE100" s="176"/>
      <c r="CF100" s="176"/>
      <c r="CG100" s="176"/>
      <c r="CH100" s="177" t="b">
        <v>0</v>
      </c>
      <c r="CI100" s="177" t="b">
        <v>0</v>
      </c>
      <c r="CJ100" s="176" t="e">
        <f>(CE100-BV100)/BV100</f>
        <v>#DIV/0!</v>
      </c>
      <c r="CK100" s="176" t="e">
        <f>(CD100-BS100)/BS100</f>
        <v>#DIV/0!</v>
      </c>
      <c r="CL100" s="203">
        <f>CO100 + ABS(CM100) + ABS(CN100)</f>
        <v>0</v>
      </c>
      <c r="CM100" s="203"/>
      <c r="CN100" s="203"/>
      <c r="CO100" s="203"/>
      <c r="CP100" s="176"/>
      <c r="CQ100" s="176"/>
      <c r="CR100" s="176"/>
      <c r="CS100" s="177" t="b">
        <v>0</v>
      </c>
      <c r="CT100" s="177" t="b">
        <v>0</v>
      </c>
      <c r="CU100" s="176" t="e">
        <f>(CP100-CE100)/CE100</f>
        <v>#DIV/0!</v>
      </c>
      <c r="CV100" s="176" t="e">
        <f>(CO100-CD100)/CD100</f>
        <v>#DIV/0!</v>
      </c>
      <c r="CW100" s="203">
        <f>CZ100 + ABS(CX100) + ABS(CY100)</f>
        <v>0</v>
      </c>
      <c r="CX100" s="203"/>
      <c r="CY100" s="203"/>
      <c r="CZ100" s="203"/>
      <c r="DA100" s="176"/>
      <c r="DB100" s="176"/>
      <c r="DC100" s="176"/>
      <c r="DD100" s="177" t="b">
        <v>0</v>
      </c>
      <c r="DE100" s="177" t="b">
        <v>0</v>
      </c>
      <c r="DF100" s="176" t="e">
        <f>(DA100-CR100)/CR100</f>
        <v>#DIV/0!</v>
      </c>
      <c r="DG100" s="176" t="e">
        <f>(CZ100-CO100)/CO100</f>
        <v>#DIV/0!</v>
      </c>
      <c r="DH100" s="203">
        <f>DK100 + ABS(DI100) + ABS(DJ100)</f>
        <v>0</v>
      </c>
      <c r="DI100" s="203"/>
      <c r="DJ100" s="203"/>
      <c r="DK100" s="203"/>
      <c r="DL100" s="176"/>
      <c r="DM100" s="176"/>
      <c r="DN100" s="176"/>
      <c r="DO100" s="177" t="b">
        <v>0</v>
      </c>
      <c r="DP100" s="177" t="b">
        <v>0</v>
      </c>
      <c r="DQ100" s="176" t="e">
        <f>(DL100-DA100)/DA100</f>
        <v>#DIV/0!</v>
      </c>
      <c r="DR100" s="176" t="e">
        <f>(DK100-CZ100)/CZ100</f>
        <v>#DIV/0!</v>
      </c>
      <c r="DS100" s="203">
        <f>DV100 + ABS(DT100) + ABS(DU100)</f>
        <v>0</v>
      </c>
      <c r="DT100" s="203"/>
      <c r="DU100" s="203"/>
      <c r="DV100" s="203"/>
      <c r="DW100" s="176"/>
      <c r="DX100" s="176"/>
      <c r="DY100" s="176"/>
      <c r="DZ100" s="177" t="b">
        <v>0</v>
      </c>
      <c r="EA100" s="177" t="b">
        <v>0</v>
      </c>
      <c r="EB100" s="176" t="e">
        <f>(DW100-DN100)/DN100</f>
        <v>#DIV/0!</v>
      </c>
      <c r="EC100" s="176" t="e">
        <f>(DV100-DK100)/DK100</f>
        <v>#DIV/0!</v>
      </c>
      <c r="ED100" s="203">
        <f>EG100 + ABS(EE100) + ABS(EF100)</f>
        <v>0</v>
      </c>
      <c r="EE100" s="203"/>
      <c r="EF100" s="203"/>
      <c r="EG100" s="203"/>
      <c r="EH100" s="176"/>
      <c r="EI100" s="176"/>
      <c r="EJ100" s="176"/>
      <c r="EK100" s="177" t="b">
        <v>0</v>
      </c>
      <c r="EL100" s="177" t="b">
        <v>0</v>
      </c>
      <c r="EM100" s="176" t="e">
        <f>(EH100-DW100)/DW100</f>
        <v>#DIV/0!</v>
      </c>
      <c r="EN100" s="176" t="e">
        <f>(EG100-DV100)/DV100</f>
        <v>#DIV/0!</v>
      </c>
      <c r="EO100" s="203">
        <f>ER100 + ABS(EP100) + ABS(EQ100)</f>
        <v>0</v>
      </c>
      <c r="EP100" s="203"/>
      <c r="EQ100" s="203"/>
      <c r="ER100" s="203"/>
      <c r="ES100" s="176"/>
      <c r="ET100" s="176"/>
      <c r="EU100" s="176"/>
      <c r="EV100" s="177" t="b">
        <v>0</v>
      </c>
      <c r="EW100" s="177" t="b">
        <v>0</v>
      </c>
      <c r="EX100" s="176" t="e">
        <f>(ES100-EJ100)/EJ100</f>
        <v>#DIV/0!</v>
      </c>
      <c r="EY100" s="176" t="e">
        <f>(ER100-EG100)/EG100</f>
        <v>#DIV/0!</v>
      </c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801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</row>
    <row r="101" spans="2:221" ht="15">
      <c r="B101" s="175"/>
      <c r="C101" s="800" t="s">
        <v>430</v>
      </c>
      <c r="D101" s="357">
        <v>1450022</v>
      </c>
      <c r="E101" s="357">
        <v>165</v>
      </c>
      <c r="F101" s="357" t="s">
        <v>431</v>
      </c>
      <c r="G101" s="426" t="s">
        <v>432</v>
      </c>
      <c r="H101" s="148" t="s">
        <v>169</v>
      </c>
      <c r="I101" s="448" t="s">
        <v>170</v>
      </c>
      <c r="J101" s="357"/>
      <c r="K101" s="357"/>
      <c r="L101" s="357"/>
      <c r="M101" s="358"/>
      <c r="N101" s="361">
        <v>107</v>
      </c>
      <c r="O101" s="358"/>
      <c r="P101" s="402">
        <v>1142.78</v>
      </c>
      <c r="Q101" s="402"/>
      <c r="R101" s="402">
        <v>22665.1</v>
      </c>
      <c r="S101" s="358">
        <v>826</v>
      </c>
      <c r="T101" s="188" t="s">
        <v>171</v>
      </c>
      <c r="U101" s="358"/>
      <c r="V101" s="358"/>
      <c r="W101" s="358"/>
      <c r="X101" s="402">
        <f t="shared" ref="X101:X132" si="10">AA101 + ABS(Y101) + ABS(Z101)</f>
        <v>28406.639999999999</v>
      </c>
      <c r="Y101" s="402">
        <v>-1363.52</v>
      </c>
      <c r="Z101" s="402">
        <v>0</v>
      </c>
      <c r="AA101" s="402">
        <v>27043.119999999999</v>
      </c>
      <c r="AB101" s="450">
        <v>978</v>
      </c>
      <c r="AC101" s="173" t="s">
        <v>172</v>
      </c>
      <c r="AD101" s="173" t="s">
        <v>173</v>
      </c>
      <c r="AE101" s="164" t="b">
        <v>1</v>
      </c>
      <c r="AF101" s="164" t="b">
        <v>1</v>
      </c>
      <c r="AG101" s="409">
        <f>(AB101-S101)/S101</f>
        <v>0.18401937046004843</v>
      </c>
      <c r="AH101" s="409">
        <f>(AA101-R101)/R101</f>
        <v>0.1931612920304786</v>
      </c>
      <c r="AI101" s="402">
        <f t="shared" si="8"/>
        <v>18771.019999999997</v>
      </c>
      <c r="AJ101" s="364">
        <v>-901.01</v>
      </c>
      <c r="AK101" s="364">
        <v>0</v>
      </c>
      <c r="AL101" s="364">
        <v>17870.009999999998</v>
      </c>
      <c r="AM101" s="1069">
        <v>643</v>
      </c>
      <c r="AN101" s="407">
        <v>46122</v>
      </c>
      <c r="AO101" s="148" t="s">
        <v>174</v>
      </c>
      <c r="AP101" s="860" t="b">
        <v>1</v>
      </c>
      <c r="AQ101" s="860" t="b">
        <v>1</v>
      </c>
      <c r="AR101" s="409">
        <f t="shared" ref="AR101:AR132" si="11">(AM101-AB101)/AB101</f>
        <v>-0.34253578732106338</v>
      </c>
      <c r="AS101" s="409">
        <f>(AL101-AA101)/AA101</f>
        <v>-0.33920309490916734</v>
      </c>
      <c r="AT101" s="402">
        <f t="shared" si="9"/>
        <v>0</v>
      </c>
      <c r="AU101" s="402"/>
      <c r="AV101" s="402"/>
      <c r="AW101" s="402"/>
      <c r="AX101" s="358"/>
      <c r="AY101" s="358"/>
      <c r="AZ101" s="358"/>
      <c r="BA101" s="164" t="b">
        <v>0</v>
      </c>
      <c r="BB101" s="164" t="b">
        <v>0</v>
      </c>
      <c r="BC101" s="358">
        <f>(AX101-AM101)/AM101</f>
        <v>-1</v>
      </c>
      <c r="BD101" s="358">
        <f>(AW101-AL101)/AL101</f>
        <v>-1</v>
      </c>
      <c r="BE101" s="402">
        <f>BH101 + ABS(BF101) + ABS(BG101)</f>
        <v>0</v>
      </c>
      <c r="BF101" s="402"/>
      <c r="BG101" s="402"/>
      <c r="BH101" s="402"/>
      <c r="BI101" s="358"/>
      <c r="BJ101" s="358"/>
      <c r="BK101" s="358"/>
      <c r="BL101" s="164" t="b">
        <v>0</v>
      </c>
      <c r="BM101" s="164" t="b">
        <v>0</v>
      </c>
      <c r="BN101" s="358" t="e">
        <f>(BI101-AZ101)/AZ101</f>
        <v>#DIV/0!</v>
      </c>
      <c r="BO101" s="358" t="e">
        <f>(BH101-AW101)/AW101</f>
        <v>#DIV/0!</v>
      </c>
      <c r="BP101" s="402">
        <f>BS101 + ABS(BQ101) + ABS(BR101)</f>
        <v>0</v>
      </c>
      <c r="BQ101" s="402"/>
      <c r="BR101" s="402"/>
      <c r="BS101" s="402"/>
      <c r="BT101" s="358"/>
      <c r="BU101" s="358"/>
      <c r="BV101" s="358"/>
      <c r="BW101" s="164" t="b">
        <v>0</v>
      </c>
      <c r="BX101" s="164" t="b">
        <v>0</v>
      </c>
      <c r="BY101" s="358" t="e">
        <f>(BT101-BI101)/BI101</f>
        <v>#DIV/0!</v>
      </c>
      <c r="BZ101" s="358" t="e">
        <f>(BS101-BH101)/BH101</f>
        <v>#DIV/0!</v>
      </c>
      <c r="CA101" s="402">
        <f>CD101 + ABS(CB101) + ABS(CC101)</f>
        <v>0</v>
      </c>
      <c r="CB101" s="402"/>
      <c r="CC101" s="402"/>
      <c r="CD101" s="402"/>
      <c r="CE101" s="358"/>
      <c r="CF101" s="358"/>
      <c r="CG101" s="358"/>
      <c r="CH101" s="164" t="b">
        <v>0</v>
      </c>
      <c r="CI101" s="164" t="b">
        <v>0</v>
      </c>
      <c r="CJ101" s="358" t="e">
        <f>(CE101-BV101)/BV101</f>
        <v>#DIV/0!</v>
      </c>
      <c r="CK101" s="358" t="e">
        <f>(CD101-BS101)/BS101</f>
        <v>#DIV/0!</v>
      </c>
      <c r="CL101" s="402">
        <f>CO101 + ABS(CM101) + ABS(CN101)</f>
        <v>0</v>
      </c>
      <c r="CM101" s="402"/>
      <c r="CN101" s="402"/>
      <c r="CO101" s="402"/>
      <c r="CP101" s="358"/>
      <c r="CQ101" s="358"/>
      <c r="CR101" s="358"/>
      <c r="CS101" s="164" t="b">
        <v>0</v>
      </c>
      <c r="CT101" s="164" t="b">
        <v>0</v>
      </c>
      <c r="CU101" s="358" t="e">
        <f>(CP101-CE101)/CE101</f>
        <v>#DIV/0!</v>
      </c>
      <c r="CV101" s="358" t="e">
        <f>(CO101-CD101)/CD101</f>
        <v>#DIV/0!</v>
      </c>
      <c r="CW101" s="402">
        <f>CZ101 + ABS(CX101) + ABS(CY101)</f>
        <v>0</v>
      </c>
      <c r="CX101" s="402"/>
      <c r="CY101" s="402"/>
      <c r="CZ101" s="402"/>
      <c r="DA101" s="358"/>
      <c r="DB101" s="358"/>
      <c r="DC101" s="358"/>
      <c r="DD101" s="164" t="b">
        <v>0</v>
      </c>
      <c r="DE101" s="164" t="b">
        <v>0</v>
      </c>
      <c r="DF101" s="358" t="e">
        <f>(DA101-CR101)/CR101</f>
        <v>#DIV/0!</v>
      </c>
      <c r="DG101" s="358" t="e">
        <f>(CZ101-CO101)/CO101</f>
        <v>#DIV/0!</v>
      </c>
      <c r="DH101" s="402">
        <f>DK101 + ABS(DI101) + ABS(DJ101)</f>
        <v>0</v>
      </c>
      <c r="DI101" s="402"/>
      <c r="DJ101" s="402"/>
      <c r="DK101" s="402"/>
      <c r="DL101" s="358"/>
      <c r="DM101" s="358"/>
      <c r="DN101" s="358"/>
      <c r="DO101" s="164" t="b">
        <v>0</v>
      </c>
      <c r="DP101" s="164" t="b">
        <v>0</v>
      </c>
      <c r="DQ101" s="358" t="e">
        <f>(DL101-DA101)/DA101</f>
        <v>#DIV/0!</v>
      </c>
      <c r="DR101" s="358" t="e">
        <f>(DK101-CZ101)/CZ101</f>
        <v>#DIV/0!</v>
      </c>
      <c r="DS101" s="402">
        <f>DV101 + ABS(DT101) + ABS(DU101)</f>
        <v>0</v>
      </c>
      <c r="DT101" s="402"/>
      <c r="DU101" s="402"/>
      <c r="DV101" s="402"/>
      <c r="DW101" s="358"/>
      <c r="DX101" s="358"/>
      <c r="DY101" s="358"/>
      <c r="DZ101" s="164" t="b">
        <v>0</v>
      </c>
      <c r="EA101" s="164" t="b">
        <v>0</v>
      </c>
      <c r="EB101" s="358" t="e">
        <f>(DW101-DN101)/DN101</f>
        <v>#DIV/0!</v>
      </c>
      <c r="EC101" s="358" t="e">
        <f>(DV101-DK101)/DK101</f>
        <v>#DIV/0!</v>
      </c>
      <c r="ED101" s="402">
        <f>EG101 + ABS(EE101) + ABS(EF101)</f>
        <v>0</v>
      </c>
      <c r="EE101" s="402"/>
      <c r="EF101" s="402"/>
      <c r="EG101" s="402"/>
      <c r="EH101" s="358"/>
      <c r="EI101" s="358"/>
      <c r="EJ101" s="358"/>
      <c r="EK101" s="164" t="b">
        <v>0</v>
      </c>
      <c r="EL101" s="164" t="b">
        <v>0</v>
      </c>
      <c r="EM101" s="358" t="e">
        <f>(EH101-DW101)/DW101</f>
        <v>#DIV/0!</v>
      </c>
      <c r="EN101" s="358" t="e">
        <f>(EG101-DV101)/DV101</f>
        <v>#DIV/0!</v>
      </c>
      <c r="EO101" s="402">
        <f>ER101 + ABS(EP101) + ABS(EQ101)</f>
        <v>0</v>
      </c>
      <c r="EP101" s="402"/>
      <c r="EQ101" s="402"/>
      <c r="ER101" s="402"/>
      <c r="ES101" s="358"/>
      <c r="ET101" s="358"/>
      <c r="EU101" s="358"/>
      <c r="EV101" s="164" t="b">
        <v>0</v>
      </c>
      <c r="EW101" s="164" t="b">
        <v>0</v>
      </c>
      <c r="EX101" s="358" t="e">
        <f>(ES101-EJ101)/EJ101</f>
        <v>#DIV/0!</v>
      </c>
      <c r="EY101" s="358" t="e">
        <f>(ER101-EG101)/EG101</f>
        <v>#DIV/0!</v>
      </c>
      <c r="EZ101" s="449"/>
      <c r="FA101" s="449"/>
      <c r="FB101" s="449"/>
      <c r="FC101" s="449"/>
      <c r="FD101" s="449"/>
      <c r="FE101" s="449"/>
      <c r="FF101" s="449"/>
      <c r="FG101" s="449"/>
      <c r="FH101" s="449"/>
      <c r="FI101" s="449"/>
      <c r="FJ101" s="449"/>
      <c r="FK101" s="449"/>
      <c r="FL101" s="449"/>
      <c r="FM101" s="449"/>
      <c r="FN101" s="449"/>
      <c r="FO101" s="449"/>
      <c r="FP101" s="449"/>
      <c r="FQ101" s="803"/>
      <c r="FR101" s="449"/>
      <c r="FS101" s="449"/>
      <c r="FT101" s="449"/>
      <c r="FU101" s="449"/>
      <c r="FV101" s="449"/>
      <c r="FW101" s="449"/>
      <c r="FX101" s="449"/>
      <c r="FY101" s="449"/>
      <c r="FZ101" s="449"/>
      <c r="GA101" s="449"/>
      <c r="GB101" s="449"/>
      <c r="GC101" s="449"/>
      <c r="GD101" s="449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</row>
    <row r="102" spans="2:221" ht="15">
      <c r="B102" s="175"/>
      <c r="C102" s="800" t="s">
        <v>430</v>
      </c>
      <c r="D102" s="357">
        <v>1450022</v>
      </c>
      <c r="E102" s="357">
        <v>165</v>
      </c>
      <c r="F102" s="357" t="s">
        <v>433</v>
      </c>
      <c r="G102" s="426" t="s">
        <v>434</v>
      </c>
      <c r="H102" s="148" t="s">
        <v>169</v>
      </c>
      <c r="I102" s="448" t="s">
        <v>170</v>
      </c>
      <c r="J102" s="357"/>
      <c r="K102" s="357"/>
      <c r="L102" s="357"/>
      <c r="M102" s="358"/>
      <c r="N102" s="359">
        <v>107</v>
      </c>
      <c r="O102" s="358"/>
      <c r="P102" s="402">
        <v>185.51</v>
      </c>
      <c r="Q102" s="402"/>
      <c r="R102" s="402">
        <v>3679.27</v>
      </c>
      <c r="S102" s="358">
        <v>161</v>
      </c>
      <c r="T102" s="188" t="s">
        <v>171</v>
      </c>
      <c r="U102" s="358"/>
      <c r="V102" s="358"/>
      <c r="W102" s="358"/>
      <c r="X102" s="402">
        <f t="shared" si="10"/>
        <v>8680.3799999999992</v>
      </c>
      <c r="Y102" s="402">
        <v>-416.66</v>
      </c>
      <c r="Z102" s="402">
        <v>0</v>
      </c>
      <c r="AA102" s="402">
        <v>8263.7199999999993</v>
      </c>
      <c r="AB102" s="450">
        <v>326</v>
      </c>
      <c r="AC102" s="173" t="s">
        <v>172</v>
      </c>
      <c r="AD102" s="173" t="s">
        <v>173</v>
      </c>
      <c r="AE102" s="164" t="b">
        <v>1</v>
      </c>
      <c r="AF102" s="164" t="b">
        <v>1</v>
      </c>
      <c r="AG102" s="409">
        <f>(AB102-S102)/S102</f>
        <v>1.0248447204968945</v>
      </c>
      <c r="AH102" s="409">
        <f>(AA102-R102)/R102</f>
        <v>1.2460216292905926</v>
      </c>
      <c r="AI102" s="402">
        <f t="shared" si="8"/>
        <v>10629.240000000002</v>
      </c>
      <c r="AJ102" s="364">
        <v>-510.2</v>
      </c>
      <c r="AK102" s="364">
        <v>0</v>
      </c>
      <c r="AL102" s="364">
        <v>10119.040000000001</v>
      </c>
      <c r="AM102" s="1069">
        <v>381</v>
      </c>
      <c r="AN102" s="407">
        <v>46122</v>
      </c>
      <c r="AO102" s="148" t="s">
        <v>174</v>
      </c>
      <c r="AP102" s="860" t="b">
        <v>1</v>
      </c>
      <c r="AQ102" s="860" t="b">
        <v>1</v>
      </c>
      <c r="AR102" s="409">
        <f t="shared" si="11"/>
        <v>0.16871165644171779</v>
      </c>
      <c r="AS102" s="409">
        <f>(AL102-AA102)/AA102</f>
        <v>0.22451389930927013</v>
      </c>
      <c r="AT102" s="402">
        <f t="shared" si="9"/>
        <v>0</v>
      </c>
      <c r="AU102" s="402"/>
      <c r="AV102" s="402"/>
      <c r="AW102" s="402"/>
      <c r="AX102" s="358"/>
      <c r="AY102" s="358"/>
      <c r="AZ102" s="358"/>
      <c r="BA102" s="164" t="b">
        <v>0</v>
      </c>
      <c r="BB102" s="164" t="b">
        <v>0</v>
      </c>
      <c r="BC102" s="358">
        <f>(AX102-AM102)/AM102</f>
        <v>-1</v>
      </c>
      <c r="BD102" s="358">
        <f>(AW102-AL102)/AL102</f>
        <v>-1</v>
      </c>
      <c r="BE102" s="402">
        <f>BH102 + ABS(BF102) + ABS(BG102)</f>
        <v>0</v>
      </c>
      <c r="BF102" s="402"/>
      <c r="BG102" s="402"/>
      <c r="BH102" s="402"/>
      <c r="BI102" s="358"/>
      <c r="BJ102" s="358"/>
      <c r="BK102" s="358"/>
      <c r="BL102" s="164" t="b">
        <v>0</v>
      </c>
      <c r="BM102" s="164" t="b">
        <v>0</v>
      </c>
      <c r="BN102" s="358" t="e">
        <f>(BI102-AZ102)/AZ102</f>
        <v>#DIV/0!</v>
      </c>
      <c r="BO102" s="358" t="e">
        <f>(BH102-AW102)/AW102</f>
        <v>#DIV/0!</v>
      </c>
      <c r="BP102" s="402">
        <f>BS102 + ABS(BQ102) + ABS(BR102)</f>
        <v>0</v>
      </c>
      <c r="BQ102" s="402"/>
      <c r="BR102" s="402"/>
      <c r="BS102" s="402"/>
      <c r="BT102" s="358"/>
      <c r="BU102" s="358"/>
      <c r="BV102" s="358"/>
      <c r="BW102" s="164" t="b">
        <v>0</v>
      </c>
      <c r="BX102" s="164" t="b">
        <v>0</v>
      </c>
      <c r="BY102" s="358" t="e">
        <f>(BT102-BI102)/BI102</f>
        <v>#DIV/0!</v>
      </c>
      <c r="BZ102" s="358" t="e">
        <f>(BS102-BH102)/BH102</f>
        <v>#DIV/0!</v>
      </c>
      <c r="CA102" s="402">
        <f>CD102 + ABS(CB102) + ABS(CC102)</f>
        <v>0</v>
      </c>
      <c r="CB102" s="402"/>
      <c r="CC102" s="402"/>
      <c r="CD102" s="402"/>
      <c r="CE102" s="358"/>
      <c r="CF102" s="358"/>
      <c r="CG102" s="358"/>
      <c r="CH102" s="164" t="b">
        <v>0</v>
      </c>
      <c r="CI102" s="164" t="b">
        <v>0</v>
      </c>
      <c r="CJ102" s="358" t="e">
        <f>(CE102-BV102)/BV102</f>
        <v>#DIV/0!</v>
      </c>
      <c r="CK102" s="358" t="e">
        <f>(CD102-BS102)/BS102</f>
        <v>#DIV/0!</v>
      </c>
      <c r="CL102" s="402">
        <f>CO102 + ABS(CM102) + ABS(CN102)</f>
        <v>0</v>
      </c>
      <c r="CM102" s="402"/>
      <c r="CN102" s="402"/>
      <c r="CO102" s="402"/>
      <c r="CP102" s="358"/>
      <c r="CQ102" s="358"/>
      <c r="CR102" s="358"/>
      <c r="CS102" s="164" t="b">
        <v>0</v>
      </c>
      <c r="CT102" s="164" t="b">
        <v>0</v>
      </c>
      <c r="CU102" s="358" t="e">
        <f>(CP102-CE102)/CE102</f>
        <v>#DIV/0!</v>
      </c>
      <c r="CV102" s="358" t="e">
        <f>(CO102-CD102)/CD102</f>
        <v>#DIV/0!</v>
      </c>
      <c r="CW102" s="402">
        <f>CZ102 + ABS(CX102) + ABS(CY102)</f>
        <v>0</v>
      </c>
      <c r="CX102" s="402"/>
      <c r="CY102" s="402"/>
      <c r="CZ102" s="402"/>
      <c r="DA102" s="358"/>
      <c r="DB102" s="358"/>
      <c r="DC102" s="358"/>
      <c r="DD102" s="164" t="b">
        <v>0</v>
      </c>
      <c r="DE102" s="164" t="b">
        <v>0</v>
      </c>
      <c r="DF102" s="358" t="e">
        <f>(DA102-CR102)/CR102</f>
        <v>#DIV/0!</v>
      </c>
      <c r="DG102" s="358" t="e">
        <f>(CZ102-CO102)/CO102</f>
        <v>#DIV/0!</v>
      </c>
      <c r="DH102" s="402">
        <f>DK102 + ABS(DI102) + ABS(DJ102)</f>
        <v>0</v>
      </c>
      <c r="DI102" s="402"/>
      <c r="DJ102" s="402"/>
      <c r="DK102" s="402"/>
      <c r="DL102" s="358"/>
      <c r="DM102" s="358"/>
      <c r="DN102" s="358"/>
      <c r="DO102" s="164" t="b">
        <v>0</v>
      </c>
      <c r="DP102" s="164" t="b">
        <v>0</v>
      </c>
      <c r="DQ102" s="358" t="e">
        <f>(DL102-DA102)/DA102</f>
        <v>#DIV/0!</v>
      </c>
      <c r="DR102" s="358" t="e">
        <f>(DK102-CZ102)/CZ102</f>
        <v>#DIV/0!</v>
      </c>
      <c r="DS102" s="402">
        <f>DV102 + ABS(DT102) + ABS(DU102)</f>
        <v>0</v>
      </c>
      <c r="DT102" s="402"/>
      <c r="DU102" s="402"/>
      <c r="DV102" s="402"/>
      <c r="DW102" s="358"/>
      <c r="DX102" s="358"/>
      <c r="DY102" s="358"/>
      <c r="DZ102" s="164" t="b">
        <v>0</v>
      </c>
      <c r="EA102" s="164" t="b">
        <v>0</v>
      </c>
      <c r="EB102" s="358" t="e">
        <f>(DW102-DN102)/DN102</f>
        <v>#DIV/0!</v>
      </c>
      <c r="EC102" s="358" t="e">
        <f>(DV102-DK102)/DK102</f>
        <v>#DIV/0!</v>
      </c>
      <c r="ED102" s="402">
        <f>EG102 + ABS(EE102) + ABS(EF102)</f>
        <v>0</v>
      </c>
      <c r="EE102" s="402"/>
      <c r="EF102" s="402"/>
      <c r="EG102" s="402"/>
      <c r="EH102" s="358"/>
      <c r="EI102" s="358"/>
      <c r="EJ102" s="358"/>
      <c r="EK102" s="164" t="b">
        <v>0</v>
      </c>
      <c r="EL102" s="164" t="b">
        <v>0</v>
      </c>
      <c r="EM102" s="358" t="e">
        <f>(EH102-DW102)/DW102</f>
        <v>#DIV/0!</v>
      </c>
      <c r="EN102" s="358" t="e">
        <f>(EG102-DV102)/DV102</f>
        <v>#DIV/0!</v>
      </c>
      <c r="EO102" s="402">
        <f>ER102 + ABS(EP102) + ABS(EQ102)</f>
        <v>0</v>
      </c>
      <c r="EP102" s="402"/>
      <c r="EQ102" s="402"/>
      <c r="ER102" s="402"/>
      <c r="ES102" s="358"/>
      <c r="ET102" s="358"/>
      <c r="EU102" s="358"/>
      <c r="EV102" s="164" t="b">
        <v>0</v>
      </c>
      <c r="EW102" s="164" t="b">
        <v>0</v>
      </c>
      <c r="EX102" s="358" t="e">
        <f>(ES102-EJ102)/EJ102</f>
        <v>#DIV/0!</v>
      </c>
      <c r="EY102" s="358" t="e">
        <f>(ER102-EG102)/EG102</f>
        <v>#DIV/0!</v>
      </c>
      <c r="EZ102" s="449"/>
      <c r="FA102" s="449"/>
      <c r="FB102" s="449"/>
      <c r="FC102" s="449"/>
      <c r="FD102" s="449"/>
      <c r="FE102" s="449"/>
      <c r="FF102" s="449"/>
      <c r="FG102" s="449"/>
      <c r="FH102" s="449"/>
      <c r="FI102" s="449"/>
      <c r="FJ102" s="449"/>
      <c r="FK102" s="449"/>
      <c r="FL102" s="449"/>
      <c r="FM102" s="449"/>
      <c r="FN102" s="449"/>
      <c r="FO102" s="449"/>
      <c r="FP102" s="449"/>
      <c r="FQ102" s="803"/>
      <c r="FR102" s="449"/>
      <c r="FS102" s="449"/>
      <c r="FT102" s="449"/>
      <c r="FU102" s="449"/>
      <c r="FV102" s="449"/>
      <c r="FW102" s="449"/>
      <c r="FX102" s="449"/>
      <c r="FY102" s="449"/>
      <c r="FZ102" s="449"/>
      <c r="GA102" s="449"/>
      <c r="GB102" s="449"/>
      <c r="GC102" s="449"/>
      <c r="GD102" s="449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</row>
    <row r="103" spans="2:221" ht="15">
      <c r="B103" s="175"/>
      <c r="C103" s="802" t="s">
        <v>435</v>
      </c>
      <c r="D103" s="154">
        <v>1450022</v>
      </c>
      <c r="E103" s="154">
        <v>369</v>
      </c>
      <c r="F103" s="154" t="s">
        <v>436</v>
      </c>
      <c r="G103" s="255" t="s">
        <v>437</v>
      </c>
      <c r="H103" s="171" t="s">
        <v>169</v>
      </c>
      <c r="I103" s="445" t="s">
        <v>170</v>
      </c>
      <c r="J103" s="154"/>
      <c r="K103" s="154"/>
      <c r="L103" s="154"/>
      <c r="M103" s="176"/>
      <c r="N103" s="418">
        <v>107</v>
      </c>
      <c r="O103" s="176"/>
      <c r="P103" s="203">
        <v>724.53</v>
      </c>
      <c r="Q103" s="203"/>
      <c r="R103" s="203">
        <v>14369.91</v>
      </c>
      <c r="S103" s="176">
        <v>538</v>
      </c>
      <c r="T103" s="188" t="s">
        <v>171</v>
      </c>
      <c r="U103" s="176"/>
      <c r="V103" s="176"/>
      <c r="W103" s="176"/>
      <c r="X103" s="203">
        <f t="shared" si="10"/>
        <v>14943.16</v>
      </c>
      <c r="Y103" s="203">
        <v>-717.27</v>
      </c>
      <c r="Z103" s="203">
        <v>0</v>
      </c>
      <c r="AA103" s="203">
        <v>14225.89</v>
      </c>
      <c r="AB103" s="446">
        <v>533</v>
      </c>
      <c r="AC103" s="444" t="s">
        <v>172</v>
      </c>
      <c r="AD103" s="444" t="s">
        <v>173</v>
      </c>
      <c r="AE103" s="177" t="b">
        <v>1</v>
      </c>
      <c r="AF103" s="177" t="b">
        <v>1</v>
      </c>
      <c r="AG103" s="392">
        <f>(AB103-S103)/S103</f>
        <v>-9.2936802973977699E-3</v>
      </c>
      <c r="AH103" s="392">
        <f>(AA103-R103)/R103</f>
        <v>-1.0022331385513231E-2</v>
      </c>
      <c r="AI103" s="203">
        <f t="shared" si="8"/>
        <v>18236.62</v>
      </c>
      <c r="AJ103" s="368">
        <v>-875.36</v>
      </c>
      <c r="AK103" s="368">
        <v>0</v>
      </c>
      <c r="AL103" s="368">
        <v>17361.259999999998</v>
      </c>
      <c r="AM103" s="1068">
        <v>620</v>
      </c>
      <c r="AN103" s="172">
        <v>46122</v>
      </c>
      <c r="AO103" s="171" t="s">
        <v>174</v>
      </c>
      <c r="AP103" s="861" t="b">
        <v>1</v>
      </c>
      <c r="AQ103" s="861" t="b">
        <v>1</v>
      </c>
      <c r="AR103" s="392">
        <f t="shared" si="11"/>
        <v>0.16322701688555347</v>
      </c>
      <c r="AS103" s="392">
        <f>(AL103-AA103)/AA103</f>
        <v>0.22039886432413008</v>
      </c>
      <c r="AT103" s="203">
        <f t="shared" si="9"/>
        <v>0</v>
      </c>
      <c r="AU103" s="203"/>
      <c r="AV103" s="203"/>
      <c r="AW103" s="203"/>
      <c r="AX103" s="176"/>
      <c r="AY103" s="176"/>
      <c r="AZ103" s="176"/>
      <c r="BA103" s="177" t="b">
        <v>0</v>
      </c>
      <c r="BB103" s="177" t="b">
        <v>0</v>
      </c>
      <c r="BC103" s="176">
        <f>(AX103-AM103)/AM103</f>
        <v>-1</v>
      </c>
      <c r="BD103" s="176">
        <f>(AW103-AL103)/AL103</f>
        <v>-1</v>
      </c>
      <c r="BE103" s="203">
        <f>BH103 + ABS(BF103) + ABS(BG103)</f>
        <v>0</v>
      </c>
      <c r="BF103" s="203"/>
      <c r="BG103" s="203"/>
      <c r="BH103" s="203"/>
      <c r="BI103" s="176"/>
      <c r="BJ103" s="176"/>
      <c r="BK103" s="176"/>
      <c r="BL103" s="177" t="b">
        <v>0</v>
      </c>
      <c r="BM103" s="177" t="b">
        <v>0</v>
      </c>
      <c r="BN103" s="176" t="e">
        <f>(BI103-AZ103)/AZ103</f>
        <v>#DIV/0!</v>
      </c>
      <c r="BO103" s="176" t="e">
        <f>(BH103-AW103)/AW103</f>
        <v>#DIV/0!</v>
      </c>
      <c r="BP103" s="203">
        <f>BS103 + ABS(BQ103) + ABS(BR103)</f>
        <v>0</v>
      </c>
      <c r="BQ103" s="203"/>
      <c r="BR103" s="203"/>
      <c r="BS103" s="203"/>
      <c r="BT103" s="176"/>
      <c r="BU103" s="176"/>
      <c r="BV103" s="176"/>
      <c r="BW103" s="177" t="b">
        <v>0</v>
      </c>
      <c r="BX103" s="177" t="b">
        <v>0</v>
      </c>
      <c r="BY103" s="176" t="e">
        <f>(BT103-BI103)/BI103</f>
        <v>#DIV/0!</v>
      </c>
      <c r="BZ103" s="176" t="e">
        <f>(BS103-BH103)/BH103</f>
        <v>#DIV/0!</v>
      </c>
      <c r="CA103" s="203">
        <f>CD103 + ABS(CB103) + ABS(CC103)</f>
        <v>0</v>
      </c>
      <c r="CB103" s="203"/>
      <c r="CC103" s="203"/>
      <c r="CD103" s="203"/>
      <c r="CE103" s="176"/>
      <c r="CF103" s="176"/>
      <c r="CG103" s="176"/>
      <c r="CH103" s="177" t="b">
        <v>0</v>
      </c>
      <c r="CI103" s="177" t="b">
        <v>0</v>
      </c>
      <c r="CJ103" s="176" t="e">
        <f>(CE103-BV103)/BV103</f>
        <v>#DIV/0!</v>
      </c>
      <c r="CK103" s="176" t="e">
        <f>(CD103-BS103)/BS103</f>
        <v>#DIV/0!</v>
      </c>
      <c r="CL103" s="203">
        <f>CO103 + ABS(CM103) + ABS(CN103)</f>
        <v>0</v>
      </c>
      <c r="CM103" s="203"/>
      <c r="CN103" s="203"/>
      <c r="CO103" s="203"/>
      <c r="CP103" s="176"/>
      <c r="CQ103" s="176"/>
      <c r="CR103" s="176"/>
      <c r="CS103" s="177" t="b">
        <v>0</v>
      </c>
      <c r="CT103" s="177" t="b">
        <v>0</v>
      </c>
      <c r="CU103" s="176" t="e">
        <f>(CP103-CE103)/CE103</f>
        <v>#DIV/0!</v>
      </c>
      <c r="CV103" s="176" t="e">
        <f>(CO103-CD103)/CD103</f>
        <v>#DIV/0!</v>
      </c>
      <c r="CW103" s="203">
        <f>CZ103 + ABS(CX103) + ABS(CY103)</f>
        <v>0</v>
      </c>
      <c r="CX103" s="203"/>
      <c r="CY103" s="203"/>
      <c r="CZ103" s="203"/>
      <c r="DA103" s="176"/>
      <c r="DB103" s="176"/>
      <c r="DC103" s="176"/>
      <c r="DD103" s="177" t="b">
        <v>0</v>
      </c>
      <c r="DE103" s="177" t="b">
        <v>0</v>
      </c>
      <c r="DF103" s="176" t="e">
        <f>(DA103-CR103)/CR103</f>
        <v>#DIV/0!</v>
      </c>
      <c r="DG103" s="176" t="e">
        <f>(CZ103-CO103)/CO103</f>
        <v>#DIV/0!</v>
      </c>
      <c r="DH103" s="203">
        <f>DK103 + ABS(DI103) + ABS(DJ103)</f>
        <v>0</v>
      </c>
      <c r="DI103" s="203"/>
      <c r="DJ103" s="203"/>
      <c r="DK103" s="203"/>
      <c r="DL103" s="176"/>
      <c r="DM103" s="176"/>
      <c r="DN103" s="176"/>
      <c r="DO103" s="177" t="b">
        <v>0</v>
      </c>
      <c r="DP103" s="177" t="b">
        <v>0</v>
      </c>
      <c r="DQ103" s="176" t="e">
        <f>(DL103-DA103)/DA103</f>
        <v>#DIV/0!</v>
      </c>
      <c r="DR103" s="176" t="e">
        <f>(DK103-CZ103)/CZ103</f>
        <v>#DIV/0!</v>
      </c>
      <c r="DS103" s="203">
        <f>DV103 + ABS(DT103) + ABS(DU103)</f>
        <v>0</v>
      </c>
      <c r="DT103" s="203"/>
      <c r="DU103" s="203"/>
      <c r="DV103" s="203"/>
      <c r="DW103" s="176"/>
      <c r="DX103" s="176"/>
      <c r="DY103" s="176"/>
      <c r="DZ103" s="177" t="b">
        <v>0</v>
      </c>
      <c r="EA103" s="177" t="b">
        <v>0</v>
      </c>
      <c r="EB103" s="176" t="e">
        <f>(DW103-DN103)/DN103</f>
        <v>#DIV/0!</v>
      </c>
      <c r="EC103" s="176" t="e">
        <f>(DV103-DK103)/DK103</f>
        <v>#DIV/0!</v>
      </c>
      <c r="ED103" s="203">
        <f>EG103 + ABS(EE103) + ABS(EF103)</f>
        <v>0</v>
      </c>
      <c r="EE103" s="203"/>
      <c r="EF103" s="203"/>
      <c r="EG103" s="203"/>
      <c r="EH103" s="176"/>
      <c r="EI103" s="176"/>
      <c r="EJ103" s="176"/>
      <c r="EK103" s="177" t="b">
        <v>0</v>
      </c>
      <c r="EL103" s="177" t="b">
        <v>0</v>
      </c>
      <c r="EM103" s="176" t="e">
        <f>(EH103-DW103)/DW103</f>
        <v>#DIV/0!</v>
      </c>
      <c r="EN103" s="176" t="e">
        <f>(EG103-DV103)/DV103</f>
        <v>#DIV/0!</v>
      </c>
      <c r="EO103" s="203">
        <f>ER103 + ABS(EP103) + ABS(EQ103)</f>
        <v>0</v>
      </c>
      <c r="EP103" s="203"/>
      <c r="EQ103" s="203"/>
      <c r="ER103" s="203"/>
      <c r="ES103" s="176"/>
      <c r="ET103" s="176"/>
      <c r="EU103" s="176"/>
      <c r="EV103" s="177" t="b">
        <v>0</v>
      </c>
      <c r="EW103" s="177" t="b">
        <v>0</v>
      </c>
      <c r="EX103" s="176" t="e">
        <f>(ES103-EJ103)/EJ103</f>
        <v>#DIV/0!</v>
      </c>
      <c r="EY103" s="176" t="e">
        <f>(ER103-EG103)/EG103</f>
        <v>#DIV/0!</v>
      </c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801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</row>
    <row r="104" spans="2:221" ht="15">
      <c r="B104" s="175"/>
      <c r="C104" s="802" t="s">
        <v>435</v>
      </c>
      <c r="D104" s="154">
        <v>1450022</v>
      </c>
      <c r="E104" s="154">
        <v>369</v>
      </c>
      <c r="F104" s="154" t="s">
        <v>438</v>
      </c>
      <c r="G104" s="255" t="s">
        <v>439</v>
      </c>
      <c r="H104" s="171" t="s">
        <v>169</v>
      </c>
      <c r="I104" s="445" t="s">
        <v>170</v>
      </c>
      <c r="J104" s="154"/>
      <c r="K104" s="154"/>
      <c r="L104" s="154"/>
      <c r="M104" s="176"/>
      <c r="N104" s="193">
        <v>107</v>
      </c>
      <c r="O104" s="176"/>
      <c r="P104" s="203">
        <v>386.16</v>
      </c>
      <c r="Q104" s="203"/>
      <c r="R104" s="203">
        <v>7658.87</v>
      </c>
      <c r="S104" s="176">
        <v>305</v>
      </c>
      <c r="T104" s="188" t="s">
        <v>171</v>
      </c>
      <c r="U104" s="176"/>
      <c r="V104" s="176"/>
      <c r="W104" s="176"/>
      <c r="X104" s="203">
        <f t="shared" si="10"/>
        <v>6320.49</v>
      </c>
      <c r="Y104" s="203">
        <v>-303.38</v>
      </c>
      <c r="Z104" s="203">
        <v>0</v>
      </c>
      <c r="AA104" s="203">
        <v>6017.11</v>
      </c>
      <c r="AB104" s="446">
        <v>248</v>
      </c>
      <c r="AC104" s="444" t="s">
        <v>172</v>
      </c>
      <c r="AD104" s="444" t="s">
        <v>173</v>
      </c>
      <c r="AE104" s="177" t="b">
        <v>1</v>
      </c>
      <c r="AF104" s="177" t="b">
        <v>1</v>
      </c>
      <c r="AG104" s="392">
        <f>(AB104-S104)/S104</f>
        <v>-0.18688524590163935</v>
      </c>
      <c r="AH104" s="392">
        <f>(AA104-R104)/R104</f>
        <v>-0.21436060411000582</v>
      </c>
      <c r="AI104" s="203">
        <f t="shared" si="8"/>
        <v>2814.06</v>
      </c>
      <c r="AJ104" s="368">
        <v>-135.07</v>
      </c>
      <c r="AK104" s="368">
        <v>0</v>
      </c>
      <c r="AL104" s="368">
        <v>2678.99</v>
      </c>
      <c r="AM104" s="1068">
        <v>116</v>
      </c>
      <c r="AN104" s="172">
        <v>46122</v>
      </c>
      <c r="AO104" s="171" t="s">
        <v>174</v>
      </c>
      <c r="AP104" s="861" t="b">
        <v>1</v>
      </c>
      <c r="AQ104" s="861" t="b">
        <v>1</v>
      </c>
      <c r="AR104" s="392">
        <f t="shared" si="11"/>
        <v>-0.532258064516129</v>
      </c>
      <c r="AS104" s="392">
        <f>(AL104-AA104)/AA104</f>
        <v>-0.55477131047961559</v>
      </c>
      <c r="AT104" s="203">
        <f t="shared" si="9"/>
        <v>0</v>
      </c>
      <c r="AU104" s="203"/>
      <c r="AV104" s="203"/>
      <c r="AW104" s="203"/>
      <c r="AX104" s="176"/>
      <c r="AY104" s="176"/>
      <c r="AZ104" s="176"/>
      <c r="BA104" s="177" t="b">
        <v>0</v>
      </c>
      <c r="BB104" s="177" t="b">
        <v>0</v>
      </c>
      <c r="BC104" s="176">
        <f>(AX104-AM104)/AM104</f>
        <v>-1</v>
      </c>
      <c r="BD104" s="176">
        <f>(AW104-AL104)/AL104</f>
        <v>-1</v>
      </c>
      <c r="BE104" s="203">
        <f>BH104 + ABS(BF104) + ABS(BG104)</f>
        <v>0</v>
      </c>
      <c r="BF104" s="203"/>
      <c r="BG104" s="203"/>
      <c r="BH104" s="203"/>
      <c r="BI104" s="176"/>
      <c r="BJ104" s="176"/>
      <c r="BK104" s="176"/>
      <c r="BL104" s="177" t="b">
        <v>0</v>
      </c>
      <c r="BM104" s="177" t="b">
        <v>0</v>
      </c>
      <c r="BN104" s="176" t="e">
        <f>(BI104-AZ104)/AZ104</f>
        <v>#DIV/0!</v>
      </c>
      <c r="BO104" s="176" t="e">
        <f>(BH104-AW104)/AW104</f>
        <v>#DIV/0!</v>
      </c>
      <c r="BP104" s="203">
        <f>BS104 + ABS(BQ104) + ABS(BR104)</f>
        <v>0</v>
      </c>
      <c r="BQ104" s="203"/>
      <c r="BR104" s="203"/>
      <c r="BS104" s="203"/>
      <c r="BT104" s="176"/>
      <c r="BU104" s="176"/>
      <c r="BV104" s="176"/>
      <c r="BW104" s="177" t="b">
        <v>0</v>
      </c>
      <c r="BX104" s="177" t="b">
        <v>0</v>
      </c>
      <c r="BY104" s="176" t="e">
        <f>(BT104-BI104)/BI104</f>
        <v>#DIV/0!</v>
      </c>
      <c r="BZ104" s="176" t="e">
        <f>(BS104-BH104)/BH104</f>
        <v>#DIV/0!</v>
      </c>
      <c r="CA104" s="203">
        <f>CD104 + ABS(CB104) + ABS(CC104)</f>
        <v>0</v>
      </c>
      <c r="CB104" s="203"/>
      <c r="CC104" s="203"/>
      <c r="CD104" s="203"/>
      <c r="CE104" s="176"/>
      <c r="CF104" s="176"/>
      <c r="CG104" s="176"/>
      <c r="CH104" s="177" t="b">
        <v>0</v>
      </c>
      <c r="CI104" s="177" t="b">
        <v>0</v>
      </c>
      <c r="CJ104" s="176" t="e">
        <f>(CE104-BV104)/BV104</f>
        <v>#DIV/0!</v>
      </c>
      <c r="CK104" s="176" t="e">
        <f>(CD104-BS104)/BS104</f>
        <v>#DIV/0!</v>
      </c>
      <c r="CL104" s="203">
        <f>CO104 + ABS(CM104) + ABS(CN104)</f>
        <v>0</v>
      </c>
      <c r="CM104" s="203"/>
      <c r="CN104" s="203"/>
      <c r="CO104" s="203"/>
      <c r="CP104" s="176"/>
      <c r="CQ104" s="176"/>
      <c r="CR104" s="176"/>
      <c r="CS104" s="177" t="b">
        <v>0</v>
      </c>
      <c r="CT104" s="177" t="b">
        <v>0</v>
      </c>
      <c r="CU104" s="176" t="e">
        <f>(CP104-CE104)/CE104</f>
        <v>#DIV/0!</v>
      </c>
      <c r="CV104" s="176" t="e">
        <f>(CO104-CD104)/CD104</f>
        <v>#DIV/0!</v>
      </c>
      <c r="CW104" s="203">
        <f>CZ104 + ABS(CX104) + ABS(CY104)</f>
        <v>0</v>
      </c>
      <c r="CX104" s="203"/>
      <c r="CY104" s="203"/>
      <c r="CZ104" s="203"/>
      <c r="DA104" s="176"/>
      <c r="DB104" s="176"/>
      <c r="DC104" s="176"/>
      <c r="DD104" s="177" t="b">
        <v>0</v>
      </c>
      <c r="DE104" s="177" t="b">
        <v>0</v>
      </c>
      <c r="DF104" s="176" t="e">
        <f>(DA104-CR104)/CR104</f>
        <v>#DIV/0!</v>
      </c>
      <c r="DG104" s="176" t="e">
        <f>(CZ104-CO104)/CO104</f>
        <v>#DIV/0!</v>
      </c>
      <c r="DH104" s="203">
        <f>DK104 + ABS(DI104) + ABS(DJ104)</f>
        <v>0</v>
      </c>
      <c r="DI104" s="203"/>
      <c r="DJ104" s="203"/>
      <c r="DK104" s="203"/>
      <c r="DL104" s="176"/>
      <c r="DM104" s="176"/>
      <c r="DN104" s="176"/>
      <c r="DO104" s="177" t="b">
        <v>0</v>
      </c>
      <c r="DP104" s="177" t="b">
        <v>0</v>
      </c>
      <c r="DQ104" s="176" t="e">
        <f>(DL104-DA104)/DA104</f>
        <v>#DIV/0!</v>
      </c>
      <c r="DR104" s="176" t="e">
        <f>(DK104-CZ104)/CZ104</f>
        <v>#DIV/0!</v>
      </c>
      <c r="DS104" s="203">
        <f>DV104 + ABS(DT104) + ABS(DU104)</f>
        <v>0</v>
      </c>
      <c r="DT104" s="203"/>
      <c r="DU104" s="203"/>
      <c r="DV104" s="203"/>
      <c r="DW104" s="176"/>
      <c r="DX104" s="176"/>
      <c r="DY104" s="176"/>
      <c r="DZ104" s="177" t="b">
        <v>0</v>
      </c>
      <c r="EA104" s="177" t="b">
        <v>0</v>
      </c>
      <c r="EB104" s="176" t="e">
        <f>(DW104-DN104)/DN104</f>
        <v>#DIV/0!</v>
      </c>
      <c r="EC104" s="176" t="e">
        <f>(DV104-DK104)/DK104</f>
        <v>#DIV/0!</v>
      </c>
      <c r="ED104" s="203">
        <f>EG104 + ABS(EE104) + ABS(EF104)</f>
        <v>0</v>
      </c>
      <c r="EE104" s="203"/>
      <c r="EF104" s="203"/>
      <c r="EG104" s="203"/>
      <c r="EH104" s="176"/>
      <c r="EI104" s="176"/>
      <c r="EJ104" s="176"/>
      <c r="EK104" s="177" t="b">
        <v>0</v>
      </c>
      <c r="EL104" s="177" t="b">
        <v>0</v>
      </c>
      <c r="EM104" s="176" t="e">
        <f>(EH104-DW104)/DW104</f>
        <v>#DIV/0!</v>
      </c>
      <c r="EN104" s="176" t="e">
        <f>(EG104-DV104)/DV104</f>
        <v>#DIV/0!</v>
      </c>
      <c r="EO104" s="203">
        <f>ER104 + ABS(EP104) + ABS(EQ104)</f>
        <v>0</v>
      </c>
      <c r="EP104" s="203"/>
      <c r="EQ104" s="203"/>
      <c r="ER104" s="203"/>
      <c r="ES104" s="176"/>
      <c r="ET104" s="176"/>
      <c r="EU104" s="176"/>
      <c r="EV104" s="177" t="b">
        <v>0</v>
      </c>
      <c r="EW104" s="177" t="b">
        <v>0</v>
      </c>
      <c r="EX104" s="176" t="e">
        <f>(ES104-EJ104)/EJ104</f>
        <v>#DIV/0!</v>
      </c>
      <c r="EY104" s="176" t="e">
        <f>(ER104-EG104)/EG104</f>
        <v>#DIV/0!</v>
      </c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801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</row>
    <row r="105" spans="2:221" ht="15">
      <c r="B105" s="175"/>
      <c r="C105" s="802" t="s">
        <v>435</v>
      </c>
      <c r="D105" s="154">
        <v>1450022</v>
      </c>
      <c r="E105" s="154">
        <v>369</v>
      </c>
      <c r="F105" s="154" t="s">
        <v>440</v>
      </c>
      <c r="G105" s="255" t="s">
        <v>441</v>
      </c>
      <c r="H105" s="171" t="s">
        <v>169</v>
      </c>
      <c r="I105" s="445" t="s">
        <v>170</v>
      </c>
      <c r="J105" s="154"/>
      <c r="K105" s="154"/>
      <c r="L105" s="154"/>
      <c r="M105" s="176"/>
      <c r="N105" s="418">
        <v>107</v>
      </c>
      <c r="O105" s="176"/>
      <c r="P105" s="203">
        <v>3</v>
      </c>
      <c r="Q105" s="203"/>
      <c r="R105" s="203">
        <v>59.46</v>
      </c>
      <c r="S105" s="176">
        <v>1</v>
      </c>
      <c r="T105" s="188" t="s">
        <v>171</v>
      </c>
      <c r="U105" s="176"/>
      <c r="V105" s="176"/>
      <c r="W105" s="176"/>
      <c r="X105" s="203">
        <f t="shared" si="10"/>
        <v>70.800000000000011</v>
      </c>
      <c r="Y105" s="203">
        <v>-3.4</v>
      </c>
      <c r="Z105" s="203">
        <v>0</v>
      </c>
      <c r="AA105" s="203">
        <v>67.400000000000006</v>
      </c>
      <c r="AB105" s="446">
        <v>2</v>
      </c>
      <c r="AC105" s="444" t="s">
        <v>172</v>
      </c>
      <c r="AD105" s="444" t="s">
        <v>173</v>
      </c>
      <c r="AE105" s="177" t="b">
        <v>1</v>
      </c>
      <c r="AF105" s="177" t="b">
        <v>1</v>
      </c>
      <c r="AG105" s="392">
        <f>(AB105-S105)/S105</f>
        <v>1</v>
      </c>
      <c r="AH105" s="392">
        <f>(AA105-R105)/R105</f>
        <v>0.13353514968045754</v>
      </c>
      <c r="AI105" s="203">
        <f t="shared" si="8"/>
        <v>69.839999999999989</v>
      </c>
      <c r="AJ105" s="368">
        <v>-3.35</v>
      </c>
      <c r="AK105" s="368">
        <v>0</v>
      </c>
      <c r="AL105" s="368">
        <v>66.489999999999995</v>
      </c>
      <c r="AM105" s="1068">
        <v>1</v>
      </c>
      <c r="AN105" s="172">
        <v>46122</v>
      </c>
      <c r="AO105" s="171" t="s">
        <v>174</v>
      </c>
      <c r="AP105" s="861" t="b">
        <v>1</v>
      </c>
      <c r="AQ105" s="861" t="b">
        <v>1</v>
      </c>
      <c r="AR105" s="392">
        <f t="shared" si="11"/>
        <v>-0.5</v>
      </c>
      <c r="AS105" s="392">
        <f>(AL105-AA105)/AA105</f>
        <v>-1.3501483679525382E-2</v>
      </c>
      <c r="AT105" s="203">
        <f t="shared" si="9"/>
        <v>0</v>
      </c>
      <c r="AU105" s="203"/>
      <c r="AV105" s="203"/>
      <c r="AW105" s="203"/>
      <c r="AX105" s="176"/>
      <c r="AY105" s="176"/>
      <c r="AZ105" s="176"/>
      <c r="BA105" s="177" t="b">
        <v>0</v>
      </c>
      <c r="BB105" s="177" t="b">
        <v>0</v>
      </c>
      <c r="BC105" s="176">
        <f>(AX105-AM105)/AM105</f>
        <v>-1</v>
      </c>
      <c r="BD105" s="176">
        <f>(AW105-AL105)/AL105</f>
        <v>-1</v>
      </c>
      <c r="BE105" s="203">
        <f>BH105 + ABS(BF105) + ABS(BG105)</f>
        <v>0</v>
      </c>
      <c r="BF105" s="203"/>
      <c r="BG105" s="203"/>
      <c r="BH105" s="203"/>
      <c r="BI105" s="176"/>
      <c r="BJ105" s="176"/>
      <c r="BK105" s="176"/>
      <c r="BL105" s="177" t="b">
        <v>0</v>
      </c>
      <c r="BM105" s="177" t="b">
        <v>0</v>
      </c>
      <c r="BN105" s="176" t="e">
        <f>(BI105-AZ105)/AZ105</f>
        <v>#DIV/0!</v>
      </c>
      <c r="BO105" s="176" t="e">
        <f>(BH105-AW105)/AW105</f>
        <v>#DIV/0!</v>
      </c>
      <c r="BP105" s="203">
        <f>BS105 + ABS(BQ105) + ABS(BR105)</f>
        <v>0</v>
      </c>
      <c r="BQ105" s="203"/>
      <c r="BR105" s="203"/>
      <c r="BS105" s="203"/>
      <c r="BT105" s="176"/>
      <c r="BU105" s="176"/>
      <c r="BV105" s="176"/>
      <c r="BW105" s="177" t="b">
        <v>0</v>
      </c>
      <c r="BX105" s="177" t="b">
        <v>0</v>
      </c>
      <c r="BY105" s="176" t="e">
        <f>(BT105-BI105)/BI105</f>
        <v>#DIV/0!</v>
      </c>
      <c r="BZ105" s="176" t="e">
        <f>(BS105-BH105)/BH105</f>
        <v>#DIV/0!</v>
      </c>
      <c r="CA105" s="203">
        <f>CD105 + ABS(CB105) + ABS(CC105)</f>
        <v>0</v>
      </c>
      <c r="CB105" s="203"/>
      <c r="CC105" s="203"/>
      <c r="CD105" s="203"/>
      <c r="CE105" s="176"/>
      <c r="CF105" s="176"/>
      <c r="CG105" s="176"/>
      <c r="CH105" s="177" t="b">
        <v>0</v>
      </c>
      <c r="CI105" s="177" t="b">
        <v>0</v>
      </c>
      <c r="CJ105" s="176" t="e">
        <f>(CE105-BV105)/BV105</f>
        <v>#DIV/0!</v>
      </c>
      <c r="CK105" s="176" t="e">
        <f>(CD105-BS105)/BS105</f>
        <v>#DIV/0!</v>
      </c>
      <c r="CL105" s="203">
        <f>CO105 + ABS(CM105) + ABS(CN105)</f>
        <v>0</v>
      </c>
      <c r="CM105" s="203"/>
      <c r="CN105" s="203"/>
      <c r="CO105" s="203"/>
      <c r="CP105" s="176"/>
      <c r="CQ105" s="176"/>
      <c r="CR105" s="176"/>
      <c r="CS105" s="177" t="b">
        <v>0</v>
      </c>
      <c r="CT105" s="177" t="b">
        <v>0</v>
      </c>
      <c r="CU105" s="176" t="e">
        <f>(CP105-CE105)/CE105</f>
        <v>#DIV/0!</v>
      </c>
      <c r="CV105" s="176" t="e">
        <f>(CO105-CD105)/CD105</f>
        <v>#DIV/0!</v>
      </c>
      <c r="CW105" s="203">
        <f>CZ105 + ABS(CX105) + ABS(CY105)</f>
        <v>0</v>
      </c>
      <c r="CX105" s="203"/>
      <c r="CY105" s="203"/>
      <c r="CZ105" s="203"/>
      <c r="DA105" s="176"/>
      <c r="DB105" s="176"/>
      <c r="DC105" s="176"/>
      <c r="DD105" s="177" t="b">
        <v>0</v>
      </c>
      <c r="DE105" s="177" t="b">
        <v>0</v>
      </c>
      <c r="DF105" s="176" t="e">
        <f>(DA105-CR105)/CR105</f>
        <v>#DIV/0!</v>
      </c>
      <c r="DG105" s="176" t="e">
        <f>(CZ105-CO105)/CO105</f>
        <v>#DIV/0!</v>
      </c>
      <c r="DH105" s="203">
        <f>DK105 + ABS(DI105) + ABS(DJ105)</f>
        <v>0</v>
      </c>
      <c r="DI105" s="203"/>
      <c r="DJ105" s="203"/>
      <c r="DK105" s="203"/>
      <c r="DL105" s="176"/>
      <c r="DM105" s="176"/>
      <c r="DN105" s="176"/>
      <c r="DO105" s="177" t="b">
        <v>0</v>
      </c>
      <c r="DP105" s="177" t="b">
        <v>0</v>
      </c>
      <c r="DQ105" s="176" t="e">
        <f>(DL105-DA105)/DA105</f>
        <v>#DIV/0!</v>
      </c>
      <c r="DR105" s="176" t="e">
        <f>(DK105-CZ105)/CZ105</f>
        <v>#DIV/0!</v>
      </c>
      <c r="DS105" s="203">
        <f>DV105 + ABS(DT105) + ABS(DU105)</f>
        <v>0</v>
      </c>
      <c r="DT105" s="203"/>
      <c r="DU105" s="203"/>
      <c r="DV105" s="203"/>
      <c r="DW105" s="176"/>
      <c r="DX105" s="176"/>
      <c r="DY105" s="176"/>
      <c r="DZ105" s="177" t="b">
        <v>0</v>
      </c>
      <c r="EA105" s="177" t="b">
        <v>0</v>
      </c>
      <c r="EB105" s="176" t="e">
        <f>(DW105-DN105)/DN105</f>
        <v>#DIV/0!</v>
      </c>
      <c r="EC105" s="176" t="e">
        <f>(DV105-DK105)/DK105</f>
        <v>#DIV/0!</v>
      </c>
      <c r="ED105" s="203">
        <f>EG105 + ABS(EE105) + ABS(EF105)</f>
        <v>0</v>
      </c>
      <c r="EE105" s="203"/>
      <c r="EF105" s="203"/>
      <c r="EG105" s="203"/>
      <c r="EH105" s="176"/>
      <c r="EI105" s="176"/>
      <c r="EJ105" s="176"/>
      <c r="EK105" s="177" t="b">
        <v>0</v>
      </c>
      <c r="EL105" s="177" t="b">
        <v>0</v>
      </c>
      <c r="EM105" s="176" t="e">
        <f>(EH105-DW105)/DW105</f>
        <v>#DIV/0!</v>
      </c>
      <c r="EN105" s="176" t="e">
        <f>(EG105-DV105)/DV105</f>
        <v>#DIV/0!</v>
      </c>
      <c r="EO105" s="203">
        <f>ER105 + ABS(EP105) + ABS(EQ105)</f>
        <v>0</v>
      </c>
      <c r="EP105" s="203"/>
      <c r="EQ105" s="203"/>
      <c r="ER105" s="203"/>
      <c r="ES105" s="176"/>
      <c r="ET105" s="176"/>
      <c r="EU105" s="176"/>
      <c r="EV105" s="177" t="b">
        <v>0</v>
      </c>
      <c r="EW105" s="177" t="b">
        <v>0</v>
      </c>
      <c r="EX105" s="176" t="e">
        <f>(ES105-EJ105)/EJ105</f>
        <v>#DIV/0!</v>
      </c>
      <c r="EY105" s="176" t="e">
        <f>(ER105-EG105)/EG105</f>
        <v>#DIV/0!</v>
      </c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801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</row>
    <row r="106" spans="2:221" ht="15">
      <c r="B106" s="175"/>
      <c r="C106" s="800" t="s">
        <v>442</v>
      </c>
      <c r="D106" s="357">
        <v>1450022</v>
      </c>
      <c r="E106" s="357">
        <v>127</v>
      </c>
      <c r="F106" s="357" t="s">
        <v>443</v>
      </c>
      <c r="G106" s="426" t="s">
        <v>444</v>
      </c>
      <c r="H106" s="148" t="s">
        <v>169</v>
      </c>
      <c r="I106" s="448" t="s">
        <v>170</v>
      </c>
      <c r="J106" s="357"/>
      <c r="K106" s="357"/>
      <c r="L106" s="357"/>
      <c r="M106" s="358"/>
      <c r="N106" s="359">
        <v>107</v>
      </c>
      <c r="O106" s="358"/>
      <c r="P106" s="402">
        <v>11446.42</v>
      </c>
      <c r="Q106" s="402"/>
      <c r="R106" s="402">
        <v>227020.69</v>
      </c>
      <c r="S106" s="358">
        <v>7921</v>
      </c>
      <c r="T106" s="188" t="s">
        <v>171</v>
      </c>
      <c r="U106" s="358"/>
      <c r="V106" s="358"/>
      <c r="W106" s="358"/>
      <c r="X106" s="402">
        <f t="shared" si="10"/>
        <v>301215.98</v>
      </c>
      <c r="Y106" s="402">
        <v>-14458.37</v>
      </c>
      <c r="Z106" s="402">
        <v>0</v>
      </c>
      <c r="AA106" s="402">
        <v>286757.61</v>
      </c>
      <c r="AB106" s="450">
        <v>9995</v>
      </c>
      <c r="AC106" s="173" t="s">
        <v>172</v>
      </c>
      <c r="AD106" s="173" t="s">
        <v>173</v>
      </c>
      <c r="AE106" s="164" t="b">
        <v>1</v>
      </c>
      <c r="AF106" s="164" t="b">
        <v>1</v>
      </c>
      <c r="AG106" s="409">
        <f>(AB106-S106)/S106</f>
        <v>0.26183562681479611</v>
      </c>
      <c r="AH106" s="409">
        <f>(AA106-R106)/R106</f>
        <v>0.26313425441531335</v>
      </c>
      <c r="AI106" s="402">
        <f t="shared" si="8"/>
        <v>273994.33</v>
      </c>
      <c r="AJ106" s="364">
        <v>-13151.73</v>
      </c>
      <c r="AK106" s="364">
        <v>0</v>
      </c>
      <c r="AL106" s="364">
        <v>260842.6</v>
      </c>
      <c r="AM106" s="1069">
        <v>8856</v>
      </c>
      <c r="AN106" s="407">
        <v>46122</v>
      </c>
      <c r="AO106" s="148" t="s">
        <v>174</v>
      </c>
      <c r="AP106" s="860" t="b">
        <v>1</v>
      </c>
      <c r="AQ106" s="860" t="b">
        <v>1</v>
      </c>
      <c r="AR106" s="409">
        <f t="shared" si="11"/>
        <v>-0.11395697848924462</v>
      </c>
      <c r="AS106" s="409">
        <f>(AL106-AA106)/AA106</f>
        <v>-9.0372527515485926E-2</v>
      </c>
      <c r="AT106" s="402">
        <f t="shared" si="9"/>
        <v>0</v>
      </c>
      <c r="AU106" s="402"/>
      <c r="AV106" s="402"/>
      <c r="AW106" s="402"/>
      <c r="AX106" s="358"/>
      <c r="AY106" s="358"/>
      <c r="AZ106" s="358"/>
      <c r="BA106" s="164" t="b">
        <v>0</v>
      </c>
      <c r="BB106" s="164" t="b">
        <v>0</v>
      </c>
      <c r="BC106" s="358">
        <f>(AX106-AM106)/AM106</f>
        <v>-1</v>
      </c>
      <c r="BD106" s="358">
        <f>(AW106-AL106)/AL106</f>
        <v>-1</v>
      </c>
      <c r="BE106" s="402">
        <f>BH106 + ABS(BF106) + ABS(BG106)</f>
        <v>0</v>
      </c>
      <c r="BF106" s="402"/>
      <c r="BG106" s="402"/>
      <c r="BH106" s="402"/>
      <c r="BI106" s="358"/>
      <c r="BJ106" s="358"/>
      <c r="BK106" s="358"/>
      <c r="BL106" s="164" t="b">
        <v>0</v>
      </c>
      <c r="BM106" s="164" t="b">
        <v>0</v>
      </c>
      <c r="BN106" s="358" t="e">
        <f>(BI106-AZ106)/AZ106</f>
        <v>#DIV/0!</v>
      </c>
      <c r="BO106" s="358" t="e">
        <f>(BH106-AW106)/AW106</f>
        <v>#DIV/0!</v>
      </c>
      <c r="BP106" s="402">
        <f>BS106 + ABS(BQ106) + ABS(BR106)</f>
        <v>0</v>
      </c>
      <c r="BQ106" s="402"/>
      <c r="BR106" s="402"/>
      <c r="BS106" s="402"/>
      <c r="BT106" s="358"/>
      <c r="BU106" s="358"/>
      <c r="BV106" s="358"/>
      <c r="BW106" s="164" t="b">
        <v>0</v>
      </c>
      <c r="BX106" s="164" t="b">
        <v>0</v>
      </c>
      <c r="BY106" s="358" t="e">
        <f>(BT106-BI106)/BI106</f>
        <v>#DIV/0!</v>
      </c>
      <c r="BZ106" s="358" t="e">
        <f>(BS106-BH106)/BH106</f>
        <v>#DIV/0!</v>
      </c>
      <c r="CA106" s="402">
        <f>CD106 + ABS(CB106) + ABS(CC106)</f>
        <v>0</v>
      </c>
      <c r="CB106" s="402"/>
      <c r="CC106" s="402"/>
      <c r="CD106" s="402"/>
      <c r="CE106" s="358"/>
      <c r="CF106" s="358"/>
      <c r="CG106" s="358"/>
      <c r="CH106" s="164" t="b">
        <v>0</v>
      </c>
      <c r="CI106" s="164" t="b">
        <v>0</v>
      </c>
      <c r="CJ106" s="358" t="e">
        <f>(CE106-BV106)/BV106</f>
        <v>#DIV/0!</v>
      </c>
      <c r="CK106" s="358" t="e">
        <f>(CD106-BS106)/BS106</f>
        <v>#DIV/0!</v>
      </c>
      <c r="CL106" s="402">
        <f>CO106 + ABS(CM106) + ABS(CN106)</f>
        <v>0</v>
      </c>
      <c r="CM106" s="402"/>
      <c r="CN106" s="402"/>
      <c r="CO106" s="402"/>
      <c r="CP106" s="358"/>
      <c r="CQ106" s="358"/>
      <c r="CR106" s="358"/>
      <c r="CS106" s="164" t="b">
        <v>0</v>
      </c>
      <c r="CT106" s="164" t="b">
        <v>0</v>
      </c>
      <c r="CU106" s="358" t="e">
        <f>(CP106-CE106)/CE106</f>
        <v>#DIV/0!</v>
      </c>
      <c r="CV106" s="358" t="e">
        <f>(CO106-CD106)/CD106</f>
        <v>#DIV/0!</v>
      </c>
      <c r="CW106" s="402">
        <f>CZ106 + ABS(CX106) + ABS(CY106)</f>
        <v>0</v>
      </c>
      <c r="CX106" s="402"/>
      <c r="CY106" s="402"/>
      <c r="CZ106" s="402"/>
      <c r="DA106" s="358"/>
      <c r="DB106" s="358"/>
      <c r="DC106" s="358"/>
      <c r="DD106" s="164" t="b">
        <v>0</v>
      </c>
      <c r="DE106" s="164" t="b">
        <v>0</v>
      </c>
      <c r="DF106" s="358" t="e">
        <f>(DA106-CR106)/CR106</f>
        <v>#DIV/0!</v>
      </c>
      <c r="DG106" s="358" t="e">
        <f>(CZ106-CO106)/CO106</f>
        <v>#DIV/0!</v>
      </c>
      <c r="DH106" s="402">
        <f>DK106 + ABS(DI106) + ABS(DJ106)</f>
        <v>0</v>
      </c>
      <c r="DI106" s="402"/>
      <c r="DJ106" s="402"/>
      <c r="DK106" s="402"/>
      <c r="DL106" s="358"/>
      <c r="DM106" s="358"/>
      <c r="DN106" s="358"/>
      <c r="DO106" s="164" t="b">
        <v>0</v>
      </c>
      <c r="DP106" s="164" t="b">
        <v>0</v>
      </c>
      <c r="DQ106" s="358" t="e">
        <f>(DL106-DA106)/DA106</f>
        <v>#DIV/0!</v>
      </c>
      <c r="DR106" s="358" t="e">
        <f>(DK106-CZ106)/CZ106</f>
        <v>#DIV/0!</v>
      </c>
      <c r="DS106" s="402">
        <f>DV106 + ABS(DT106) + ABS(DU106)</f>
        <v>0</v>
      </c>
      <c r="DT106" s="402"/>
      <c r="DU106" s="402"/>
      <c r="DV106" s="402"/>
      <c r="DW106" s="358"/>
      <c r="DX106" s="358"/>
      <c r="DY106" s="358"/>
      <c r="DZ106" s="164" t="b">
        <v>0</v>
      </c>
      <c r="EA106" s="164" t="b">
        <v>0</v>
      </c>
      <c r="EB106" s="358" t="e">
        <f>(DW106-DN106)/DN106</f>
        <v>#DIV/0!</v>
      </c>
      <c r="EC106" s="358" t="e">
        <f>(DV106-DK106)/DK106</f>
        <v>#DIV/0!</v>
      </c>
      <c r="ED106" s="402">
        <f>EG106 + ABS(EE106) + ABS(EF106)</f>
        <v>0</v>
      </c>
      <c r="EE106" s="402"/>
      <c r="EF106" s="402"/>
      <c r="EG106" s="402"/>
      <c r="EH106" s="358"/>
      <c r="EI106" s="358"/>
      <c r="EJ106" s="358"/>
      <c r="EK106" s="164" t="b">
        <v>0</v>
      </c>
      <c r="EL106" s="164" t="b">
        <v>0</v>
      </c>
      <c r="EM106" s="358" t="e">
        <f>(EH106-DW106)/DW106</f>
        <v>#DIV/0!</v>
      </c>
      <c r="EN106" s="358" t="e">
        <f>(EG106-DV106)/DV106</f>
        <v>#DIV/0!</v>
      </c>
      <c r="EO106" s="402">
        <f>ER106 + ABS(EP106) + ABS(EQ106)</f>
        <v>0</v>
      </c>
      <c r="EP106" s="402"/>
      <c r="EQ106" s="402"/>
      <c r="ER106" s="402"/>
      <c r="ES106" s="358"/>
      <c r="ET106" s="358"/>
      <c r="EU106" s="358"/>
      <c r="EV106" s="164" t="b">
        <v>0</v>
      </c>
      <c r="EW106" s="164" t="b">
        <v>0</v>
      </c>
      <c r="EX106" s="358" t="e">
        <f>(ES106-EJ106)/EJ106</f>
        <v>#DIV/0!</v>
      </c>
      <c r="EY106" s="358" t="e">
        <f>(ER106-EG106)/EG106</f>
        <v>#DIV/0!</v>
      </c>
      <c r="EZ106" s="449"/>
      <c r="FA106" s="449"/>
      <c r="FB106" s="449"/>
      <c r="FC106" s="449"/>
      <c r="FD106" s="449"/>
      <c r="FE106" s="449"/>
      <c r="FF106" s="449"/>
      <c r="FG106" s="449"/>
      <c r="FH106" s="449"/>
      <c r="FI106" s="449"/>
      <c r="FJ106" s="449"/>
      <c r="FK106" s="449"/>
      <c r="FL106" s="449"/>
      <c r="FM106" s="449"/>
      <c r="FN106" s="449"/>
      <c r="FO106" s="449"/>
      <c r="FP106" s="449"/>
      <c r="FQ106" s="801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</row>
    <row r="107" spans="2:221" ht="15">
      <c r="B107" s="175"/>
      <c r="C107" s="802" t="s">
        <v>445</v>
      </c>
      <c r="D107" s="154">
        <v>1450022</v>
      </c>
      <c r="E107" s="154">
        <v>326</v>
      </c>
      <c r="F107" s="154" t="s">
        <v>446</v>
      </c>
      <c r="G107" s="255" t="s">
        <v>447</v>
      </c>
      <c r="H107" s="171" t="s">
        <v>169</v>
      </c>
      <c r="I107" s="445" t="s">
        <v>170</v>
      </c>
      <c r="J107" s="154"/>
      <c r="K107" s="154"/>
      <c r="L107" s="154"/>
      <c r="M107" s="176"/>
      <c r="N107" s="418">
        <v>107</v>
      </c>
      <c r="O107" s="176"/>
      <c r="P107" s="203">
        <v>260.32</v>
      </c>
      <c r="Q107" s="203"/>
      <c r="R107" s="203">
        <v>5162.9399999999996</v>
      </c>
      <c r="S107" s="176">
        <v>351</v>
      </c>
      <c r="T107" s="188" t="s">
        <v>171</v>
      </c>
      <c r="U107" s="176"/>
      <c r="V107" s="176"/>
      <c r="W107" s="176"/>
      <c r="X107" s="203">
        <f t="shared" si="10"/>
        <v>6362.16</v>
      </c>
      <c r="Y107" s="203">
        <v>-305.38</v>
      </c>
      <c r="Z107" s="203">
        <v>0</v>
      </c>
      <c r="AA107" s="203">
        <v>6056.78</v>
      </c>
      <c r="AB107" s="446">
        <v>405</v>
      </c>
      <c r="AC107" s="255" t="s">
        <v>172</v>
      </c>
      <c r="AD107" s="255" t="s">
        <v>173</v>
      </c>
      <c r="AE107" s="177" t="b">
        <v>1</v>
      </c>
      <c r="AF107" s="177" t="b">
        <v>1</v>
      </c>
      <c r="AG107" s="392">
        <f>(AB107-S107)/S107</f>
        <v>0.15384615384615385</v>
      </c>
      <c r="AH107" s="392">
        <f>(AA107-R107)/R107</f>
        <v>0.17312616454965585</v>
      </c>
      <c r="AI107" s="203">
        <f t="shared" si="8"/>
        <v>6591</v>
      </c>
      <c r="AJ107" s="368">
        <v>-316.37</v>
      </c>
      <c r="AK107" s="368">
        <v>0</v>
      </c>
      <c r="AL107" s="368">
        <v>6274.63</v>
      </c>
      <c r="AM107" s="1068">
        <v>408</v>
      </c>
      <c r="AN107" s="172">
        <v>46122</v>
      </c>
      <c r="AO107" s="171" t="s">
        <v>174</v>
      </c>
      <c r="AP107" s="861" t="b">
        <v>1</v>
      </c>
      <c r="AQ107" s="861" t="b">
        <v>1</v>
      </c>
      <c r="AR107" s="392">
        <f t="shared" si="11"/>
        <v>7.4074074074074077E-3</v>
      </c>
      <c r="AS107" s="392">
        <f>(AL107-AA107)/AA107</f>
        <v>3.5967956570983325E-2</v>
      </c>
      <c r="AT107" s="203">
        <f t="shared" si="9"/>
        <v>0</v>
      </c>
      <c r="AU107" s="203"/>
      <c r="AV107" s="203"/>
      <c r="AW107" s="203"/>
      <c r="AX107" s="176"/>
      <c r="AY107" s="176"/>
      <c r="AZ107" s="176"/>
      <c r="BA107" s="177" t="b">
        <v>0</v>
      </c>
      <c r="BB107" s="177" t="b">
        <v>0</v>
      </c>
      <c r="BC107" s="176">
        <f>(AX107-AM107)/AM107</f>
        <v>-1</v>
      </c>
      <c r="BD107" s="176">
        <f>(AW107-AL107)/AL107</f>
        <v>-1</v>
      </c>
      <c r="BE107" s="203">
        <f>BH107 + ABS(BF107) + ABS(BG107)</f>
        <v>0</v>
      </c>
      <c r="BF107" s="203"/>
      <c r="BG107" s="203"/>
      <c r="BH107" s="203"/>
      <c r="BI107" s="176"/>
      <c r="BJ107" s="176"/>
      <c r="BK107" s="176"/>
      <c r="BL107" s="177" t="b">
        <v>0</v>
      </c>
      <c r="BM107" s="177" t="b">
        <v>0</v>
      </c>
      <c r="BN107" s="176" t="e">
        <f>(BI107-AZ107)/AZ107</f>
        <v>#DIV/0!</v>
      </c>
      <c r="BO107" s="176" t="e">
        <f>(BH107-AW107)/AW107</f>
        <v>#DIV/0!</v>
      </c>
      <c r="BP107" s="203">
        <f>BS107 + ABS(BQ107) + ABS(BR107)</f>
        <v>0</v>
      </c>
      <c r="BQ107" s="203"/>
      <c r="BR107" s="203"/>
      <c r="BS107" s="203"/>
      <c r="BT107" s="176"/>
      <c r="BU107" s="176"/>
      <c r="BV107" s="176"/>
      <c r="BW107" s="177" t="b">
        <v>0</v>
      </c>
      <c r="BX107" s="177" t="b">
        <v>0</v>
      </c>
      <c r="BY107" s="176" t="e">
        <f>(BT107-BI107)/BI107</f>
        <v>#DIV/0!</v>
      </c>
      <c r="BZ107" s="176" t="e">
        <f>(BS107-BH107)/BH107</f>
        <v>#DIV/0!</v>
      </c>
      <c r="CA107" s="203">
        <f>CD107 + ABS(CB107) + ABS(CC107)</f>
        <v>0</v>
      </c>
      <c r="CB107" s="203"/>
      <c r="CC107" s="203"/>
      <c r="CD107" s="203"/>
      <c r="CE107" s="176"/>
      <c r="CF107" s="176"/>
      <c r="CG107" s="176"/>
      <c r="CH107" s="177" t="b">
        <v>0</v>
      </c>
      <c r="CI107" s="177" t="b">
        <v>0</v>
      </c>
      <c r="CJ107" s="176" t="e">
        <f>(CE107-BV107)/BV107</f>
        <v>#DIV/0!</v>
      </c>
      <c r="CK107" s="176" t="e">
        <f>(CD107-BS107)/BS107</f>
        <v>#DIV/0!</v>
      </c>
      <c r="CL107" s="203">
        <f>CO107 + ABS(CM107) + ABS(CN107)</f>
        <v>0</v>
      </c>
      <c r="CM107" s="203"/>
      <c r="CN107" s="203"/>
      <c r="CO107" s="203"/>
      <c r="CP107" s="176"/>
      <c r="CQ107" s="176"/>
      <c r="CR107" s="176"/>
      <c r="CS107" s="177" t="b">
        <v>0</v>
      </c>
      <c r="CT107" s="177" t="b">
        <v>0</v>
      </c>
      <c r="CU107" s="176" t="e">
        <f>(CP107-CE107)/CE107</f>
        <v>#DIV/0!</v>
      </c>
      <c r="CV107" s="176" t="e">
        <f>(CO107-CD107)/CD107</f>
        <v>#DIV/0!</v>
      </c>
      <c r="CW107" s="203">
        <f>CZ107 + ABS(CX107) + ABS(CY107)</f>
        <v>0</v>
      </c>
      <c r="CX107" s="203"/>
      <c r="CY107" s="203"/>
      <c r="CZ107" s="203"/>
      <c r="DA107" s="176"/>
      <c r="DB107" s="176"/>
      <c r="DC107" s="176"/>
      <c r="DD107" s="177" t="b">
        <v>0</v>
      </c>
      <c r="DE107" s="177" t="b">
        <v>0</v>
      </c>
      <c r="DF107" s="176" t="e">
        <f>(DA107-CR107)/CR107</f>
        <v>#DIV/0!</v>
      </c>
      <c r="DG107" s="176" t="e">
        <f>(CZ107-CO107)/CO107</f>
        <v>#DIV/0!</v>
      </c>
      <c r="DH107" s="203">
        <f>DK107 + ABS(DI107) + ABS(DJ107)</f>
        <v>0</v>
      </c>
      <c r="DI107" s="203"/>
      <c r="DJ107" s="203"/>
      <c r="DK107" s="203"/>
      <c r="DL107" s="176"/>
      <c r="DM107" s="176"/>
      <c r="DN107" s="176"/>
      <c r="DO107" s="177" t="b">
        <v>0</v>
      </c>
      <c r="DP107" s="177" t="b">
        <v>0</v>
      </c>
      <c r="DQ107" s="176" t="e">
        <f>(DL107-DA107)/DA107</f>
        <v>#DIV/0!</v>
      </c>
      <c r="DR107" s="176" t="e">
        <f>(DK107-CZ107)/CZ107</f>
        <v>#DIV/0!</v>
      </c>
      <c r="DS107" s="203">
        <f>DV107 + ABS(DT107) + ABS(DU107)</f>
        <v>0</v>
      </c>
      <c r="DT107" s="203"/>
      <c r="DU107" s="203"/>
      <c r="DV107" s="203"/>
      <c r="DW107" s="176"/>
      <c r="DX107" s="176"/>
      <c r="DY107" s="176"/>
      <c r="DZ107" s="177" t="b">
        <v>0</v>
      </c>
      <c r="EA107" s="177" t="b">
        <v>0</v>
      </c>
      <c r="EB107" s="176" t="e">
        <f>(DW107-DN107)/DN107</f>
        <v>#DIV/0!</v>
      </c>
      <c r="EC107" s="176" t="e">
        <f>(DV107-DK107)/DK107</f>
        <v>#DIV/0!</v>
      </c>
      <c r="ED107" s="203">
        <f>EG107 + ABS(EE107) + ABS(EF107)</f>
        <v>0</v>
      </c>
      <c r="EE107" s="203"/>
      <c r="EF107" s="203"/>
      <c r="EG107" s="203"/>
      <c r="EH107" s="176"/>
      <c r="EI107" s="176"/>
      <c r="EJ107" s="176"/>
      <c r="EK107" s="177" t="b">
        <v>0</v>
      </c>
      <c r="EL107" s="177" t="b">
        <v>0</v>
      </c>
      <c r="EM107" s="176" t="e">
        <f>(EH107-DW107)/DW107</f>
        <v>#DIV/0!</v>
      </c>
      <c r="EN107" s="176" t="e">
        <f>(EG107-DV107)/DV107</f>
        <v>#DIV/0!</v>
      </c>
      <c r="EO107" s="203">
        <f>ER107 + ABS(EP107) + ABS(EQ107)</f>
        <v>0</v>
      </c>
      <c r="EP107" s="203"/>
      <c r="EQ107" s="203"/>
      <c r="ER107" s="203"/>
      <c r="ES107" s="176"/>
      <c r="ET107" s="176"/>
      <c r="EU107" s="176"/>
      <c r="EV107" s="177" t="b">
        <v>0</v>
      </c>
      <c r="EW107" s="177" t="b">
        <v>0</v>
      </c>
      <c r="EX107" s="176" t="e">
        <f>(ES107-EJ107)/EJ107</f>
        <v>#DIV/0!</v>
      </c>
      <c r="EY107" s="176" t="e">
        <f>(ER107-EG107)/EG107</f>
        <v>#DIV/0!</v>
      </c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801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</row>
    <row r="108" spans="2:221" ht="15">
      <c r="B108" s="175"/>
      <c r="C108" s="800" t="s">
        <v>448</v>
      </c>
      <c r="D108" s="357">
        <v>1450022</v>
      </c>
      <c r="E108" s="357">
        <v>135</v>
      </c>
      <c r="F108" s="357" t="s">
        <v>449</v>
      </c>
      <c r="G108" s="426" t="s">
        <v>450</v>
      </c>
      <c r="H108" s="148" t="s">
        <v>169</v>
      </c>
      <c r="I108" s="448" t="s">
        <v>170</v>
      </c>
      <c r="J108" s="357"/>
      <c r="K108" s="357"/>
      <c r="L108" s="357"/>
      <c r="M108" s="358"/>
      <c r="N108" s="359">
        <v>107</v>
      </c>
      <c r="O108" s="358"/>
      <c r="P108" s="402">
        <v>2429.46</v>
      </c>
      <c r="Q108" s="402"/>
      <c r="R108" s="402">
        <v>48184.35</v>
      </c>
      <c r="S108" s="358">
        <v>1712</v>
      </c>
      <c r="T108" s="188" t="s">
        <v>171</v>
      </c>
      <c r="U108" s="358"/>
      <c r="V108" s="358"/>
      <c r="W108" s="358"/>
      <c r="X108" s="402">
        <f t="shared" si="10"/>
        <v>55908.44</v>
      </c>
      <c r="Y108" s="402">
        <v>-2683.61</v>
      </c>
      <c r="Z108" s="402">
        <v>0</v>
      </c>
      <c r="AA108" s="402">
        <v>53224.83</v>
      </c>
      <c r="AB108" s="450">
        <v>1887</v>
      </c>
      <c r="AC108" s="173" t="s">
        <v>172</v>
      </c>
      <c r="AD108" s="173" t="s">
        <v>173</v>
      </c>
      <c r="AE108" s="164" t="b">
        <v>1</v>
      </c>
      <c r="AF108" s="164" t="b">
        <v>1</v>
      </c>
      <c r="AG108" s="409">
        <f>(AB108-S108)/S108</f>
        <v>0.1022196261682243</v>
      </c>
      <c r="AH108" s="409">
        <f>(AA108-R108)/R108</f>
        <v>0.10460823898215922</v>
      </c>
      <c r="AI108" s="402">
        <f t="shared" si="8"/>
        <v>58629.35</v>
      </c>
      <c r="AJ108" s="364">
        <v>-2814.21</v>
      </c>
      <c r="AK108" s="364">
        <v>0</v>
      </c>
      <c r="AL108" s="364">
        <v>55815.14</v>
      </c>
      <c r="AM108" s="1069">
        <v>1900</v>
      </c>
      <c r="AN108" s="407">
        <v>46122</v>
      </c>
      <c r="AO108" s="148" t="s">
        <v>174</v>
      </c>
      <c r="AP108" s="860" t="b">
        <v>1</v>
      </c>
      <c r="AQ108" s="860" t="b">
        <v>1</v>
      </c>
      <c r="AR108" s="409">
        <f t="shared" si="11"/>
        <v>6.8892421833598302E-3</v>
      </c>
      <c r="AS108" s="409">
        <f>(AL108-AA108)/AA108</f>
        <v>4.8667323127194538E-2</v>
      </c>
      <c r="AT108" s="402">
        <f t="shared" si="9"/>
        <v>0</v>
      </c>
      <c r="AU108" s="402"/>
      <c r="AV108" s="402"/>
      <c r="AW108" s="402"/>
      <c r="AX108" s="358"/>
      <c r="AY108" s="358"/>
      <c r="AZ108" s="358"/>
      <c r="BA108" s="164" t="b">
        <v>0</v>
      </c>
      <c r="BB108" s="164" t="b">
        <v>0</v>
      </c>
      <c r="BC108" s="358">
        <f>(AX108-AM108)/AM108</f>
        <v>-1</v>
      </c>
      <c r="BD108" s="358">
        <f>(AW108-AL108)/AL108</f>
        <v>-1</v>
      </c>
      <c r="BE108" s="402">
        <f>BH108 + ABS(BF108) + ABS(BG108)</f>
        <v>0</v>
      </c>
      <c r="BF108" s="402"/>
      <c r="BG108" s="402"/>
      <c r="BH108" s="402"/>
      <c r="BI108" s="358"/>
      <c r="BJ108" s="358"/>
      <c r="BK108" s="358"/>
      <c r="BL108" s="164" t="b">
        <v>0</v>
      </c>
      <c r="BM108" s="164" t="b">
        <v>0</v>
      </c>
      <c r="BN108" s="358" t="e">
        <f>(BI108-AZ108)/AZ108</f>
        <v>#DIV/0!</v>
      </c>
      <c r="BO108" s="358" t="e">
        <f>(BH108-AW108)/AW108</f>
        <v>#DIV/0!</v>
      </c>
      <c r="BP108" s="402">
        <f>BS108 + ABS(BQ108) + ABS(BR108)</f>
        <v>0</v>
      </c>
      <c r="BQ108" s="402"/>
      <c r="BR108" s="402"/>
      <c r="BS108" s="402"/>
      <c r="BT108" s="358"/>
      <c r="BU108" s="358"/>
      <c r="BV108" s="358"/>
      <c r="BW108" s="164" t="b">
        <v>0</v>
      </c>
      <c r="BX108" s="164" t="b">
        <v>0</v>
      </c>
      <c r="BY108" s="358" t="e">
        <f>(BT108-BI108)/BI108</f>
        <v>#DIV/0!</v>
      </c>
      <c r="BZ108" s="358" t="e">
        <f>(BS108-BH108)/BH108</f>
        <v>#DIV/0!</v>
      </c>
      <c r="CA108" s="402">
        <f>CD108 + ABS(CB108) + ABS(CC108)</f>
        <v>0</v>
      </c>
      <c r="CB108" s="402"/>
      <c r="CC108" s="402"/>
      <c r="CD108" s="402"/>
      <c r="CE108" s="358"/>
      <c r="CF108" s="358"/>
      <c r="CG108" s="358"/>
      <c r="CH108" s="164" t="b">
        <v>0</v>
      </c>
      <c r="CI108" s="164" t="b">
        <v>0</v>
      </c>
      <c r="CJ108" s="358" t="e">
        <f>(CE108-BV108)/BV108</f>
        <v>#DIV/0!</v>
      </c>
      <c r="CK108" s="358" t="e">
        <f>(CD108-BS108)/BS108</f>
        <v>#DIV/0!</v>
      </c>
      <c r="CL108" s="402">
        <f>CO108 + ABS(CM108) + ABS(CN108)</f>
        <v>0</v>
      </c>
      <c r="CM108" s="402"/>
      <c r="CN108" s="402"/>
      <c r="CO108" s="402"/>
      <c r="CP108" s="358"/>
      <c r="CQ108" s="358"/>
      <c r="CR108" s="358"/>
      <c r="CS108" s="164" t="b">
        <v>0</v>
      </c>
      <c r="CT108" s="164" t="b">
        <v>0</v>
      </c>
      <c r="CU108" s="358" t="e">
        <f>(CP108-CE108)/CE108</f>
        <v>#DIV/0!</v>
      </c>
      <c r="CV108" s="358" t="e">
        <f>(CO108-CD108)/CD108</f>
        <v>#DIV/0!</v>
      </c>
      <c r="CW108" s="402">
        <f>CZ108 + ABS(CX108) + ABS(CY108)</f>
        <v>0</v>
      </c>
      <c r="CX108" s="402"/>
      <c r="CY108" s="402"/>
      <c r="CZ108" s="402"/>
      <c r="DA108" s="358"/>
      <c r="DB108" s="358"/>
      <c r="DC108" s="358"/>
      <c r="DD108" s="164" t="b">
        <v>0</v>
      </c>
      <c r="DE108" s="164" t="b">
        <v>0</v>
      </c>
      <c r="DF108" s="358" t="e">
        <f>(DA108-CR108)/CR108</f>
        <v>#DIV/0!</v>
      </c>
      <c r="DG108" s="358" t="e">
        <f>(CZ108-CO108)/CO108</f>
        <v>#DIV/0!</v>
      </c>
      <c r="DH108" s="402">
        <f>DK108 + ABS(DI108) + ABS(DJ108)</f>
        <v>0</v>
      </c>
      <c r="DI108" s="402"/>
      <c r="DJ108" s="402"/>
      <c r="DK108" s="402"/>
      <c r="DL108" s="358"/>
      <c r="DM108" s="358"/>
      <c r="DN108" s="358"/>
      <c r="DO108" s="164" t="b">
        <v>0</v>
      </c>
      <c r="DP108" s="164" t="b">
        <v>0</v>
      </c>
      <c r="DQ108" s="358" t="e">
        <f>(DL108-DA108)/DA108</f>
        <v>#DIV/0!</v>
      </c>
      <c r="DR108" s="358" t="e">
        <f>(DK108-CZ108)/CZ108</f>
        <v>#DIV/0!</v>
      </c>
      <c r="DS108" s="402">
        <f>DV108 + ABS(DT108) + ABS(DU108)</f>
        <v>0</v>
      </c>
      <c r="DT108" s="402"/>
      <c r="DU108" s="402"/>
      <c r="DV108" s="402"/>
      <c r="DW108" s="358"/>
      <c r="DX108" s="358"/>
      <c r="DY108" s="358"/>
      <c r="DZ108" s="164" t="b">
        <v>0</v>
      </c>
      <c r="EA108" s="164" t="b">
        <v>0</v>
      </c>
      <c r="EB108" s="358" t="e">
        <f>(DW108-DN108)/DN108</f>
        <v>#DIV/0!</v>
      </c>
      <c r="EC108" s="358" t="e">
        <f>(DV108-DK108)/DK108</f>
        <v>#DIV/0!</v>
      </c>
      <c r="ED108" s="402">
        <f>EG108 + ABS(EE108) + ABS(EF108)</f>
        <v>0</v>
      </c>
      <c r="EE108" s="402"/>
      <c r="EF108" s="402"/>
      <c r="EG108" s="402"/>
      <c r="EH108" s="358"/>
      <c r="EI108" s="358"/>
      <c r="EJ108" s="358"/>
      <c r="EK108" s="164" t="b">
        <v>0</v>
      </c>
      <c r="EL108" s="164" t="b">
        <v>0</v>
      </c>
      <c r="EM108" s="358" t="e">
        <f>(EH108-DW108)/DW108</f>
        <v>#DIV/0!</v>
      </c>
      <c r="EN108" s="358" t="e">
        <f>(EG108-DV108)/DV108</f>
        <v>#DIV/0!</v>
      </c>
      <c r="EO108" s="402">
        <f>ER108 + ABS(EP108) + ABS(EQ108)</f>
        <v>0</v>
      </c>
      <c r="EP108" s="402"/>
      <c r="EQ108" s="402"/>
      <c r="ER108" s="402"/>
      <c r="ES108" s="358"/>
      <c r="ET108" s="358"/>
      <c r="EU108" s="358"/>
      <c r="EV108" s="164" t="b">
        <v>0</v>
      </c>
      <c r="EW108" s="164" t="b">
        <v>0</v>
      </c>
      <c r="EX108" s="358" t="e">
        <f>(ES108-EJ108)/EJ108</f>
        <v>#DIV/0!</v>
      </c>
      <c r="EY108" s="358" t="e">
        <f>(ER108-EG108)/EG108</f>
        <v>#DIV/0!</v>
      </c>
      <c r="EZ108" s="449"/>
      <c r="FA108" s="449"/>
      <c r="FB108" s="449"/>
      <c r="FC108" s="449"/>
      <c r="FD108" s="449"/>
      <c r="FE108" s="449"/>
      <c r="FF108" s="449"/>
      <c r="FG108" s="449"/>
      <c r="FH108" s="449"/>
      <c r="FI108" s="449"/>
      <c r="FJ108" s="449"/>
      <c r="FK108" s="449"/>
      <c r="FL108" s="449"/>
      <c r="FM108" s="449"/>
      <c r="FN108" s="449"/>
      <c r="FO108" s="449"/>
      <c r="FP108" s="449"/>
      <c r="FQ108" s="803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</row>
    <row r="109" spans="2:221" ht="15">
      <c r="B109" s="175"/>
      <c r="C109" s="802" t="s">
        <v>451</v>
      </c>
      <c r="D109" s="154">
        <v>1450022</v>
      </c>
      <c r="E109" s="154">
        <v>345</v>
      </c>
      <c r="F109" s="154" t="s">
        <v>452</v>
      </c>
      <c r="G109" s="255" t="s">
        <v>453</v>
      </c>
      <c r="H109" s="171" t="s">
        <v>169</v>
      </c>
      <c r="I109" s="445" t="s">
        <v>170</v>
      </c>
      <c r="J109" s="154"/>
      <c r="K109" s="154"/>
      <c r="L109" s="154"/>
      <c r="M109" s="176"/>
      <c r="N109" s="418">
        <v>107</v>
      </c>
      <c r="O109" s="176"/>
      <c r="P109" s="203">
        <v>1.49</v>
      </c>
      <c r="Q109" s="203"/>
      <c r="R109" s="203">
        <v>29.61</v>
      </c>
      <c r="S109" s="354"/>
      <c r="T109" s="188" t="s">
        <v>171</v>
      </c>
      <c r="U109" s="176"/>
      <c r="V109" s="176"/>
      <c r="W109" s="176"/>
      <c r="X109" s="203">
        <f t="shared" si="10"/>
        <v>91.64</v>
      </c>
      <c r="Y109" s="203">
        <v>-4.4000000000000004</v>
      </c>
      <c r="Z109" s="203">
        <v>0</v>
      </c>
      <c r="AA109" s="203">
        <v>87.24</v>
      </c>
      <c r="AB109" s="446">
        <v>10</v>
      </c>
      <c r="AC109" s="255" t="s">
        <v>172</v>
      </c>
      <c r="AD109" s="255" t="s">
        <v>173</v>
      </c>
      <c r="AE109" s="177" t="b">
        <v>1</v>
      </c>
      <c r="AF109" s="177" t="b">
        <v>1</v>
      </c>
      <c r="AG109" s="392" t="e">
        <f>(AB109-S109)/S109</f>
        <v>#DIV/0!</v>
      </c>
      <c r="AH109" s="392">
        <f>(AA109-R109)/R109</f>
        <v>1.9463019250253291</v>
      </c>
      <c r="AI109" s="203">
        <f t="shared" si="8"/>
        <v>613.07999999999993</v>
      </c>
      <c r="AJ109" s="368">
        <v>-29.43</v>
      </c>
      <c r="AK109" s="368">
        <v>0</v>
      </c>
      <c r="AL109" s="368">
        <v>583.65</v>
      </c>
      <c r="AM109" s="1068">
        <v>50</v>
      </c>
      <c r="AN109" s="172">
        <v>46122</v>
      </c>
      <c r="AO109" s="171" t="s">
        <v>174</v>
      </c>
      <c r="AP109" s="861" t="b">
        <v>1</v>
      </c>
      <c r="AQ109" s="861" t="b">
        <v>1</v>
      </c>
      <c r="AR109" s="392">
        <f t="shared" si="11"/>
        <v>4</v>
      </c>
      <c r="AS109" s="392">
        <f>(AL109-AA109)/AA109</f>
        <v>5.6901650618982114</v>
      </c>
      <c r="AT109" s="203">
        <f t="shared" si="9"/>
        <v>0</v>
      </c>
      <c r="AU109" s="203"/>
      <c r="AV109" s="203"/>
      <c r="AW109" s="203"/>
      <c r="AX109" s="176"/>
      <c r="AY109" s="176"/>
      <c r="AZ109" s="176"/>
      <c r="BA109" s="177" t="b">
        <v>0</v>
      </c>
      <c r="BB109" s="177" t="b">
        <v>0</v>
      </c>
      <c r="BC109" s="176">
        <f>(AX109-AM109)/AM109</f>
        <v>-1</v>
      </c>
      <c r="BD109" s="176">
        <f>(AW109-AL109)/AL109</f>
        <v>-1</v>
      </c>
      <c r="BE109" s="203">
        <f>BH109 + ABS(BF109) + ABS(BG109)</f>
        <v>0</v>
      </c>
      <c r="BF109" s="203"/>
      <c r="BG109" s="203"/>
      <c r="BH109" s="203"/>
      <c r="BI109" s="176"/>
      <c r="BJ109" s="176"/>
      <c r="BK109" s="176"/>
      <c r="BL109" s="177" t="b">
        <v>0</v>
      </c>
      <c r="BM109" s="177" t="b">
        <v>0</v>
      </c>
      <c r="BN109" s="176" t="e">
        <f>(BI109-AZ109)/AZ109</f>
        <v>#DIV/0!</v>
      </c>
      <c r="BO109" s="176" t="e">
        <f>(BH109-AW109)/AW109</f>
        <v>#DIV/0!</v>
      </c>
      <c r="BP109" s="203">
        <f>BS109 + ABS(BQ109) + ABS(BR109)</f>
        <v>0</v>
      </c>
      <c r="BQ109" s="203"/>
      <c r="BR109" s="203"/>
      <c r="BS109" s="203"/>
      <c r="BT109" s="176"/>
      <c r="BU109" s="176"/>
      <c r="BV109" s="176"/>
      <c r="BW109" s="177" t="b">
        <v>0</v>
      </c>
      <c r="BX109" s="177" t="b">
        <v>0</v>
      </c>
      <c r="BY109" s="176" t="e">
        <f>(BT109-BI109)/BI109</f>
        <v>#DIV/0!</v>
      </c>
      <c r="BZ109" s="176" t="e">
        <f>(BS109-BH109)/BH109</f>
        <v>#DIV/0!</v>
      </c>
      <c r="CA109" s="203">
        <f>CD109 + ABS(CB109) + ABS(CC109)</f>
        <v>0</v>
      </c>
      <c r="CB109" s="203"/>
      <c r="CC109" s="203"/>
      <c r="CD109" s="203"/>
      <c r="CE109" s="176"/>
      <c r="CF109" s="176"/>
      <c r="CG109" s="176"/>
      <c r="CH109" s="177" t="b">
        <v>0</v>
      </c>
      <c r="CI109" s="177" t="b">
        <v>0</v>
      </c>
      <c r="CJ109" s="176" t="e">
        <f>(CE109-BV109)/BV109</f>
        <v>#DIV/0!</v>
      </c>
      <c r="CK109" s="176" t="e">
        <f>(CD109-BS109)/BS109</f>
        <v>#DIV/0!</v>
      </c>
      <c r="CL109" s="203">
        <f>CO109 + ABS(CM109) + ABS(CN109)</f>
        <v>0</v>
      </c>
      <c r="CM109" s="203"/>
      <c r="CN109" s="203"/>
      <c r="CO109" s="203"/>
      <c r="CP109" s="176"/>
      <c r="CQ109" s="176"/>
      <c r="CR109" s="176"/>
      <c r="CS109" s="177" t="b">
        <v>0</v>
      </c>
      <c r="CT109" s="177" t="b">
        <v>0</v>
      </c>
      <c r="CU109" s="176" t="e">
        <f>(CP109-CE109)/CE109</f>
        <v>#DIV/0!</v>
      </c>
      <c r="CV109" s="176" t="e">
        <f>(CO109-CD109)/CD109</f>
        <v>#DIV/0!</v>
      </c>
      <c r="CW109" s="203">
        <f>CZ109 + ABS(CX109) + ABS(CY109)</f>
        <v>0</v>
      </c>
      <c r="CX109" s="203"/>
      <c r="CY109" s="203"/>
      <c r="CZ109" s="203"/>
      <c r="DA109" s="176"/>
      <c r="DB109" s="176"/>
      <c r="DC109" s="176"/>
      <c r="DD109" s="177" t="b">
        <v>0</v>
      </c>
      <c r="DE109" s="177" t="b">
        <v>0</v>
      </c>
      <c r="DF109" s="176" t="e">
        <f>(DA109-CR109)/CR109</f>
        <v>#DIV/0!</v>
      </c>
      <c r="DG109" s="176" t="e">
        <f>(CZ109-CO109)/CO109</f>
        <v>#DIV/0!</v>
      </c>
      <c r="DH109" s="203">
        <f>DK109 + ABS(DI109) + ABS(DJ109)</f>
        <v>0</v>
      </c>
      <c r="DI109" s="203"/>
      <c r="DJ109" s="203"/>
      <c r="DK109" s="203"/>
      <c r="DL109" s="176"/>
      <c r="DM109" s="176"/>
      <c r="DN109" s="176"/>
      <c r="DO109" s="177" t="b">
        <v>0</v>
      </c>
      <c r="DP109" s="177" t="b">
        <v>0</v>
      </c>
      <c r="DQ109" s="176" t="e">
        <f>(DL109-DA109)/DA109</f>
        <v>#DIV/0!</v>
      </c>
      <c r="DR109" s="176" t="e">
        <f>(DK109-CZ109)/CZ109</f>
        <v>#DIV/0!</v>
      </c>
      <c r="DS109" s="203">
        <f>DV109 + ABS(DT109) + ABS(DU109)</f>
        <v>0</v>
      </c>
      <c r="DT109" s="203"/>
      <c r="DU109" s="203"/>
      <c r="DV109" s="203"/>
      <c r="DW109" s="176"/>
      <c r="DX109" s="176"/>
      <c r="DY109" s="176"/>
      <c r="DZ109" s="177" t="b">
        <v>0</v>
      </c>
      <c r="EA109" s="177" t="b">
        <v>0</v>
      </c>
      <c r="EB109" s="176" t="e">
        <f>(DW109-DN109)/DN109</f>
        <v>#DIV/0!</v>
      </c>
      <c r="EC109" s="176" t="e">
        <f>(DV109-DK109)/DK109</f>
        <v>#DIV/0!</v>
      </c>
      <c r="ED109" s="203">
        <f>EG109 + ABS(EE109) + ABS(EF109)</f>
        <v>0</v>
      </c>
      <c r="EE109" s="203"/>
      <c r="EF109" s="203"/>
      <c r="EG109" s="203"/>
      <c r="EH109" s="176"/>
      <c r="EI109" s="176"/>
      <c r="EJ109" s="176"/>
      <c r="EK109" s="177" t="b">
        <v>0</v>
      </c>
      <c r="EL109" s="177" t="b">
        <v>0</v>
      </c>
      <c r="EM109" s="176" t="e">
        <f>(EH109-DW109)/DW109</f>
        <v>#DIV/0!</v>
      </c>
      <c r="EN109" s="176" t="e">
        <f>(EG109-DV109)/DV109</f>
        <v>#DIV/0!</v>
      </c>
      <c r="EO109" s="203">
        <f>ER109 + ABS(EP109) + ABS(EQ109)</f>
        <v>0</v>
      </c>
      <c r="EP109" s="203"/>
      <c r="EQ109" s="203"/>
      <c r="ER109" s="203"/>
      <c r="ES109" s="176"/>
      <c r="ET109" s="176"/>
      <c r="EU109" s="176"/>
      <c r="EV109" s="177" t="b">
        <v>0</v>
      </c>
      <c r="EW109" s="177" t="b">
        <v>0</v>
      </c>
      <c r="EX109" s="176" t="e">
        <f>(ES109-EJ109)/EJ109</f>
        <v>#DIV/0!</v>
      </c>
      <c r="EY109" s="176" t="e">
        <f>(ER109-EG109)/EG109</f>
        <v>#DIV/0!</v>
      </c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801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</row>
    <row r="110" spans="2:221" ht="15">
      <c r="B110" s="175"/>
      <c r="C110" s="800" t="s">
        <v>454</v>
      </c>
      <c r="D110" s="357">
        <v>1450022</v>
      </c>
      <c r="E110" s="357">
        <v>205</v>
      </c>
      <c r="F110" s="357" t="s">
        <v>455</v>
      </c>
      <c r="G110" s="426" t="s">
        <v>456</v>
      </c>
      <c r="H110" s="148" t="s">
        <v>169</v>
      </c>
      <c r="I110" s="448" t="s">
        <v>170</v>
      </c>
      <c r="J110" s="357"/>
      <c r="K110" s="357"/>
      <c r="L110" s="357"/>
      <c r="M110" s="358"/>
      <c r="N110" s="359">
        <v>107</v>
      </c>
      <c r="O110" s="358"/>
      <c r="P110" s="402">
        <v>532.84</v>
      </c>
      <c r="Q110" s="402"/>
      <c r="R110" s="402">
        <v>10567.94</v>
      </c>
      <c r="S110" s="358">
        <v>406</v>
      </c>
      <c r="T110" s="188" t="s">
        <v>171</v>
      </c>
      <c r="U110" s="358"/>
      <c r="V110" s="358"/>
      <c r="W110" s="358"/>
      <c r="X110" s="402">
        <f t="shared" si="10"/>
        <v>13400.16</v>
      </c>
      <c r="Y110" s="402">
        <v>-643.21</v>
      </c>
      <c r="Z110" s="402">
        <v>0</v>
      </c>
      <c r="AA110" s="402">
        <v>12756.95</v>
      </c>
      <c r="AB110" s="450">
        <v>482</v>
      </c>
      <c r="AC110" s="173" t="s">
        <v>172</v>
      </c>
      <c r="AD110" s="173" t="s">
        <v>173</v>
      </c>
      <c r="AE110" s="164" t="b">
        <v>1</v>
      </c>
      <c r="AF110" s="164" t="b">
        <v>1</v>
      </c>
      <c r="AG110" s="409">
        <f>(AB110-S110)/S110</f>
        <v>0.18719211822660098</v>
      </c>
      <c r="AH110" s="409">
        <f>(AA110-R110)/R110</f>
        <v>0.20713686868017797</v>
      </c>
      <c r="AI110" s="402">
        <f t="shared" si="8"/>
        <v>10373.58</v>
      </c>
      <c r="AJ110" s="364">
        <v>-497.93</v>
      </c>
      <c r="AK110" s="364">
        <v>0</v>
      </c>
      <c r="AL110" s="364">
        <v>9875.65</v>
      </c>
      <c r="AM110" s="1069">
        <v>370</v>
      </c>
      <c r="AN110" s="407">
        <v>46122</v>
      </c>
      <c r="AO110" s="148" t="s">
        <v>174</v>
      </c>
      <c r="AP110" s="860" t="b">
        <v>1</v>
      </c>
      <c r="AQ110" s="860" t="b">
        <v>1</v>
      </c>
      <c r="AR110" s="409">
        <f t="shared" si="11"/>
        <v>-0.23236514522821577</v>
      </c>
      <c r="AS110" s="409">
        <f>(AL110-AA110)/AA110</f>
        <v>-0.22586119722974543</v>
      </c>
      <c r="AT110" s="402">
        <f t="shared" si="9"/>
        <v>0</v>
      </c>
      <c r="AU110" s="402"/>
      <c r="AV110" s="402"/>
      <c r="AW110" s="402"/>
      <c r="AX110" s="358"/>
      <c r="AY110" s="358"/>
      <c r="AZ110" s="358"/>
      <c r="BA110" s="164" t="b">
        <v>0</v>
      </c>
      <c r="BB110" s="164" t="b">
        <v>0</v>
      </c>
      <c r="BC110" s="358">
        <f>(AX110-AM110)/AM110</f>
        <v>-1</v>
      </c>
      <c r="BD110" s="358">
        <f>(AW110-AL110)/AL110</f>
        <v>-1</v>
      </c>
      <c r="BE110" s="402">
        <f>BH110 + ABS(BF110) + ABS(BG110)</f>
        <v>0</v>
      </c>
      <c r="BF110" s="402"/>
      <c r="BG110" s="402"/>
      <c r="BH110" s="402"/>
      <c r="BI110" s="358"/>
      <c r="BJ110" s="358"/>
      <c r="BK110" s="358"/>
      <c r="BL110" s="164" t="b">
        <v>0</v>
      </c>
      <c r="BM110" s="164" t="b">
        <v>0</v>
      </c>
      <c r="BN110" s="358" t="e">
        <f>(BI110-AZ110)/AZ110</f>
        <v>#DIV/0!</v>
      </c>
      <c r="BO110" s="358" t="e">
        <f>(BH110-AW110)/AW110</f>
        <v>#DIV/0!</v>
      </c>
      <c r="BP110" s="402">
        <f>BS110 + ABS(BQ110) + ABS(BR110)</f>
        <v>0</v>
      </c>
      <c r="BQ110" s="402"/>
      <c r="BR110" s="402"/>
      <c r="BS110" s="402"/>
      <c r="BT110" s="358"/>
      <c r="BU110" s="358"/>
      <c r="BV110" s="358"/>
      <c r="BW110" s="164" t="b">
        <v>0</v>
      </c>
      <c r="BX110" s="164" t="b">
        <v>0</v>
      </c>
      <c r="BY110" s="358" t="e">
        <f>(BT110-BI110)/BI110</f>
        <v>#DIV/0!</v>
      </c>
      <c r="BZ110" s="358" t="e">
        <f>(BS110-BH110)/BH110</f>
        <v>#DIV/0!</v>
      </c>
      <c r="CA110" s="402">
        <f>CD110 + ABS(CB110) + ABS(CC110)</f>
        <v>0</v>
      </c>
      <c r="CB110" s="402"/>
      <c r="CC110" s="402"/>
      <c r="CD110" s="402"/>
      <c r="CE110" s="358"/>
      <c r="CF110" s="358"/>
      <c r="CG110" s="358"/>
      <c r="CH110" s="164" t="b">
        <v>0</v>
      </c>
      <c r="CI110" s="164" t="b">
        <v>0</v>
      </c>
      <c r="CJ110" s="358" t="e">
        <f>(CE110-BV110)/BV110</f>
        <v>#DIV/0!</v>
      </c>
      <c r="CK110" s="358" t="e">
        <f>(CD110-BS110)/BS110</f>
        <v>#DIV/0!</v>
      </c>
      <c r="CL110" s="402">
        <f>CO110 + ABS(CM110) + ABS(CN110)</f>
        <v>0</v>
      </c>
      <c r="CM110" s="402"/>
      <c r="CN110" s="402"/>
      <c r="CO110" s="402"/>
      <c r="CP110" s="358"/>
      <c r="CQ110" s="358"/>
      <c r="CR110" s="358"/>
      <c r="CS110" s="164" t="b">
        <v>0</v>
      </c>
      <c r="CT110" s="164" t="b">
        <v>0</v>
      </c>
      <c r="CU110" s="358" t="e">
        <f>(CP110-CE110)/CE110</f>
        <v>#DIV/0!</v>
      </c>
      <c r="CV110" s="358" t="e">
        <f>(CO110-CD110)/CD110</f>
        <v>#DIV/0!</v>
      </c>
      <c r="CW110" s="402">
        <f>CZ110 + ABS(CX110) + ABS(CY110)</f>
        <v>0</v>
      </c>
      <c r="CX110" s="402"/>
      <c r="CY110" s="402"/>
      <c r="CZ110" s="402"/>
      <c r="DA110" s="358"/>
      <c r="DB110" s="358"/>
      <c r="DC110" s="358"/>
      <c r="DD110" s="164" t="b">
        <v>0</v>
      </c>
      <c r="DE110" s="164" t="b">
        <v>0</v>
      </c>
      <c r="DF110" s="358" t="e">
        <f>(DA110-CR110)/CR110</f>
        <v>#DIV/0!</v>
      </c>
      <c r="DG110" s="358" t="e">
        <f>(CZ110-CO110)/CO110</f>
        <v>#DIV/0!</v>
      </c>
      <c r="DH110" s="402">
        <f>DK110 + ABS(DI110) + ABS(DJ110)</f>
        <v>0</v>
      </c>
      <c r="DI110" s="402"/>
      <c r="DJ110" s="402"/>
      <c r="DK110" s="402"/>
      <c r="DL110" s="358"/>
      <c r="DM110" s="358"/>
      <c r="DN110" s="358"/>
      <c r="DO110" s="164" t="b">
        <v>0</v>
      </c>
      <c r="DP110" s="164" t="b">
        <v>0</v>
      </c>
      <c r="DQ110" s="358" t="e">
        <f>(DL110-DA110)/DA110</f>
        <v>#DIV/0!</v>
      </c>
      <c r="DR110" s="358" t="e">
        <f>(DK110-CZ110)/CZ110</f>
        <v>#DIV/0!</v>
      </c>
      <c r="DS110" s="402">
        <f>DV110 + ABS(DT110) + ABS(DU110)</f>
        <v>0</v>
      </c>
      <c r="DT110" s="402"/>
      <c r="DU110" s="402"/>
      <c r="DV110" s="402"/>
      <c r="DW110" s="358"/>
      <c r="DX110" s="358"/>
      <c r="DY110" s="358"/>
      <c r="DZ110" s="164" t="b">
        <v>0</v>
      </c>
      <c r="EA110" s="164" t="b">
        <v>0</v>
      </c>
      <c r="EB110" s="358" t="e">
        <f>(DW110-DN110)/DN110</f>
        <v>#DIV/0!</v>
      </c>
      <c r="EC110" s="358" t="e">
        <f>(DV110-DK110)/DK110</f>
        <v>#DIV/0!</v>
      </c>
      <c r="ED110" s="402">
        <f>EG110 + ABS(EE110) + ABS(EF110)</f>
        <v>0</v>
      </c>
      <c r="EE110" s="402"/>
      <c r="EF110" s="402"/>
      <c r="EG110" s="402"/>
      <c r="EH110" s="358"/>
      <c r="EI110" s="358"/>
      <c r="EJ110" s="358"/>
      <c r="EK110" s="164" t="b">
        <v>0</v>
      </c>
      <c r="EL110" s="164" t="b">
        <v>0</v>
      </c>
      <c r="EM110" s="358" t="e">
        <f>(EH110-DW110)/DW110</f>
        <v>#DIV/0!</v>
      </c>
      <c r="EN110" s="358" t="e">
        <f>(EG110-DV110)/DV110</f>
        <v>#DIV/0!</v>
      </c>
      <c r="EO110" s="402">
        <f>ER110 + ABS(EP110) + ABS(EQ110)</f>
        <v>0</v>
      </c>
      <c r="EP110" s="402"/>
      <c r="EQ110" s="402"/>
      <c r="ER110" s="402"/>
      <c r="ES110" s="358"/>
      <c r="ET110" s="358"/>
      <c r="EU110" s="358"/>
      <c r="EV110" s="164" t="b">
        <v>0</v>
      </c>
      <c r="EW110" s="164" t="b">
        <v>0</v>
      </c>
      <c r="EX110" s="358" t="e">
        <f>(ES110-EJ110)/EJ110</f>
        <v>#DIV/0!</v>
      </c>
      <c r="EY110" s="358" t="e">
        <f>(ER110-EG110)/EG110</f>
        <v>#DIV/0!</v>
      </c>
      <c r="EZ110" s="449"/>
      <c r="FA110" s="449"/>
      <c r="FB110" s="449"/>
      <c r="FC110" s="449"/>
      <c r="FD110" s="449"/>
      <c r="FE110" s="449"/>
      <c r="FF110" s="449"/>
      <c r="FG110" s="449"/>
      <c r="FH110" s="449"/>
      <c r="FI110" s="449"/>
      <c r="FJ110" s="449"/>
      <c r="FK110" s="449"/>
      <c r="FL110" s="449"/>
      <c r="FM110" s="175"/>
      <c r="FN110" s="175"/>
      <c r="FO110" s="175"/>
      <c r="FP110" s="175"/>
      <c r="FQ110" s="801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</row>
    <row r="111" spans="2:221" ht="15">
      <c r="B111" s="175"/>
      <c r="C111" s="802" t="s">
        <v>457</v>
      </c>
      <c r="D111" s="154">
        <v>1450022</v>
      </c>
      <c r="E111" s="154">
        <v>314</v>
      </c>
      <c r="F111" s="154" t="s">
        <v>458</v>
      </c>
      <c r="G111" s="255" t="s">
        <v>459</v>
      </c>
      <c r="H111" s="171" t="s">
        <v>169</v>
      </c>
      <c r="I111" s="445" t="s">
        <v>170</v>
      </c>
      <c r="J111" s="154"/>
      <c r="K111" s="154"/>
      <c r="L111" s="154"/>
      <c r="M111" s="176"/>
      <c r="N111" s="418">
        <v>107</v>
      </c>
      <c r="O111" s="176"/>
      <c r="P111" s="203">
        <v>1106.47</v>
      </c>
      <c r="Q111" s="203"/>
      <c r="R111" s="203">
        <v>21945.040000000001</v>
      </c>
      <c r="S111" s="176">
        <v>801</v>
      </c>
      <c r="T111" s="188" t="s">
        <v>171</v>
      </c>
      <c r="U111" s="176"/>
      <c r="V111" s="176"/>
      <c r="W111" s="176"/>
      <c r="X111" s="203">
        <f t="shared" si="10"/>
        <v>24897.06</v>
      </c>
      <c r="Y111" s="203">
        <v>-1195.06</v>
      </c>
      <c r="Z111" s="203">
        <v>0</v>
      </c>
      <c r="AA111" s="203">
        <v>23702</v>
      </c>
      <c r="AB111" s="446">
        <v>862</v>
      </c>
      <c r="AC111" s="255" t="s">
        <v>172</v>
      </c>
      <c r="AD111" s="255" t="s">
        <v>173</v>
      </c>
      <c r="AE111" s="177" t="b">
        <v>1</v>
      </c>
      <c r="AF111" s="177" t="b">
        <v>1</v>
      </c>
      <c r="AG111" s="392">
        <f>(AB111-S111)/S111</f>
        <v>7.6154806491885149E-2</v>
      </c>
      <c r="AH111" s="392">
        <f>(AA111-R111)/R111</f>
        <v>8.0061827182816667E-2</v>
      </c>
      <c r="AI111" s="203">
        <f t="shared" si="8"/>
        <v>22461.9</v>
      </c>
      <c r="AJ111" s="368">
        <v>-1078.17</v>
      </c>
      <c r="AK111" s="368">
        <v>0</v>
      </c>
      <c r="AL111" s="368">
        <v>21383.73</v>
      </c>
      <c r="AM111" s="1068">
        <v>757</v>
      </c>
      <c r="AN111" s="172">
        <v>46122</v>
      </c>
      <c r="AO111" s="171" t="s">
        <v>174</v>
      </c>
      <c r="AP111" s="861" t="b">
        <v>1</v>
      </c>
      <c r="AQ111" s="861" t="b">
        <v>1</v>
      </c>
      <c r="AR111" s="392">
        <f t="shared" si="11"/>
        <v>-0.12180974477958237</v>
      </c>
      <c r="AS111" s="392">
        <f>(AL111-AA111)/AA111</f>
        <v>-9.7809045650156121E-2</v>
      </c>
      <c r="AT111" s="203">
        <f t="shared" si="9"/>
        <v>0</v>
      </c>
      <c r="AU111" s="203"/>
      <c r="AV111" s="203"/>
      <c r="AW111" s="203"/>
      <c r="AX111" s="176"/>
      <c r="AY111" s="176"/>
      <c r="AZ111" s="176"/>
      <c r="BA111" s="177" t="b">
        <v>0</v>
      </c>
      <c r="BB111" s="177" t="b">
        <v>0</v>
      </c>
      <c r="BC111" s="176">
        <f>(AX111-AM111)/AM111</f>
        <v>-1</v>
      </c>
      <c r="BD111" s="176">
        <f>(AW111-AL111)/AL111</f>
        <v>-1</v>
      </c>
      <c r="BE111" s="203">
        <f>BH111 + ABS(BF111) + ABS(BG111)</f>
        <v>0</v>
      </c>
      <c r="BF111" s="203"/>
      <c r="BG111" s="203"/>
      <c r="BH111" s="203"/>
      <c r="BI111" s="176"/>
      <c r="BJ111" s="176"/>
      <c r="BK111" s="176"/>
      <c r="BL111" s="177" t="b">
        <v>0</v>
      </c>
      <c r="BM111" s="177" t="b">
        <v>0</v>
      </c>
      <c r="BN111" s="176" t="e">
        <f>(BI111-AZ111)/AZ111</f>
        <v>#DIV/0!</v>
      </c>
      <c r="BO111" s="176" t="e">
        <f>(BH111-AW111)/AW111</f>
        <v>#DIV/0!</v>
      </c>
      <c r="BP111" s="203">
        <f>BS111 + ABS(BQ111) + ABS(BR111)</f>
        <v>0</v>
      </c>
      <c r="BQ111" s="203"/>
      <c r="BR111" s="203"/>
      <c r="BS111" s="203"/>
      <c r="BT111" s="176"/>
      <c r="BU111" s="176"/>
      <c r="BV111" s="176"/>
      <c r="BW111" s="177" t="b">
        <v>0</v>
      </c>
      <c r="BX111" s="177" t="b">
        <v>0</v>
      </c>
      <c r="BY111" s="176" t="e">
        <f>(BT111-BI111)/BI111</f>
        <v>#DIV/0!</v>
      </c>
      <c r="BZ111" s="176" t="e">
        <f>(BS111-BH111)/BH111</f>
        <v>#DIV/0!</v>
      </c>
      <c r="CA111" s="203">
        <f>CD111 + ABS(CB111) + ABS(CC111)</f>
        <v>0</v>
      </c>
      <c r="CB111" s="203"/>
      <c r="CC111" s="203"/>
      <c r="CD111" s="203"/>
      <c r="CE111" s="176"/>
      <c r="CF111" s="176"/>
      <c r="CG111" s="176"/>
      <c r="CH111" s="177" t="b">
        <v>0</v>
      </c>
      <c r="CI111" s="177" t="b">
        <v>0</v>
      </c>
      <c r="CJ111" s="176" t="e">
        <f>(CE111-BV111)/BV111</f>
        <v>#DIV/0!</v>
      </c>
      <c r="CK111" s="176" t="e">
        <f>(CD111-BS111)/BS111</f>
        <v>#DIV/0!</v>
      </c>
      <c r="CL111" s="203">
        <f>CO111 + ABS(CM111) + ABS(CN111)</f>
        <v>0</v>
      </c>
      <c r="CM111" s="203"/>
      <c r="CN111" s="203"/>
      <c r="CO111" s="203"/>
      <c r="CP111" s="176"/>
      <c r="CQ111" s="176"/>
      <c r="CR111" s="176"/>
      <c r="CS111" s="177" t="b">
        <v>0</v>
      </c>
      <c r="CT111" s="177" t="b">
        <v>0</v>
      </c>
      <c r="CU111" s="176" t="e">
        <f>(CP111-CE111)/CE111</f>
        <v>#DIV/0!</v>
      </c>
      <c r="CV111" s="176" t="e">
        <f>(CO111-CD111)/CD111</f>
        <v>#DIV/0!</v>
      </c>
      <c r="CW111" s="203">
        <f>CZ111 + ABS(CX111) + ABS(CY111)</f>
        <v>0</v>
      </c>
      <c r="CX111" s="203"/>
      <c r="CY111" s="203"/>
      <c r="CZ111" s="203"/>
      <c r="DA111" s="176"/>
      <c r="DB111" s="176"/>
      <c r="DC111" s="176"/>
      <c r="DD111" s="177" t="b">
        <v>0</v>
      </c>
      <c r="DE111" s="177" t="b">
        <v>0</v>
      </c>
      <c r="DF111" s="176" t="e">
        <f>(DA111-CR111)/CR111</f>
        <v>#DIV/0!</v>
      </c>
      <c r="DG111" s="176" t="e">
        <f>(CZ111-CO111)/CO111</f>
        <v>#DIV/0!</v>
      </c>
      <c r="DH111" s="203">
        <f>DK111 + ABS(DI111) + ABS(DJ111)</f>
        <v>0</v>
      </c>
      <c r="DI111" s="203"/>
      <c r="DJ111" s="203"/>
      <c r="DK111" s="203"/>
      <c r="DL111" s="176"/>
      <c r="DM111" s="176"/>
      <c r="DN111" s="176"/>
      <c r="DO111" s="177" t="b">
        <v>0</v>
      </c>
      <c r="DP111" s="177" t="b">
        <v>0</v>
      </c>
      <c r="DQ111" s="176" t="e">
        <f>(DL111-DA111)/DA111</f>
        <v>#DIV/0!</v>
      </c>
      <c r="DR111" s="176" t="e">
        <f>(DK111-CZ111)/CZ111</f>
        <v>#DIV/0!</v>
      </c>
      <c r="DS111" s="203">
        <f>DV111 + ABS(DT111) + ABS(DU111)</f>
        <v>0</v>
      </c>
      <c r="DT111" s="203"/>
      <c r="DU111" s="203"/>
      <c r="DV111" s="203"/>
      <c r="DW111" s="176"/>
      <c r="DX111" s="176"/>
      <c r="DY111" s="176"/>
      <c r="DZ111" s="177" t="b">
        <v>0</v>
      </c>
      <c r="EA111" s="177" t="b">
        <v>0</v>
      </c>
      <c r="EB111" s="176" t="e">
        <f>(DW111-DN111)/DN111</f>
        <v>#DIV/0!</v>
      </c>
      <c r="EC111" s="176" t="e">
        <f>(DV111-DK111)/DK111</f>
        <v>#DIV/0!</v>
      </c>
      <c r="ED111" s="203">
        <f>EG111 + ABS(EE111) + ABS(EF111)</f>
        <v>0</v>
      </c>
      <c r="EE111" s="203"/>
      <c r="EF111" s="203"/>
      <c r="EG111" s="203"/>
      <c r="EH111" s="176"/>
      <c r="EI111" s="176"/>
      <c r="EJ111" s="176"/>
      <c r="EK111" s="177" t="b">
        <v>0</v>
      </c>
      <c r="EL111" s="177" t="b">
        <v>0</v>
      </c>
      <c r="EM111" s="176" t="e">
        <f>(EH111-DW111)/DW111</f>
        <v>#DIV/0!</v>
      </c>
      <c r="EN111" s="176" t="e">
        <f>(EG111-DV111)/DV111</f>
        <v>#DIV/0!</v>
      </c>
      <c r="EO111" s="203">
        <f>ER111 + ABS(EP111) + ABS(EQ111)</f>
        <v>0</v>
      </c>
      <c r="EP111" s="203"/>
      <c r="EQ111" s="203"/>
      <c r="ER111" s="203"/>
      <c r="ES111" s="176"/>
      <c r="ET111" s="176"/>
      <c r="EU111" s="176"/>
      <c r="EV111" s="177" t="b">
        <v>0</v>
      </c>
      <c r="EW111" s="177" t="b">
        <v>0</v>
      </c>
      <c r="EX111" s="176" t="e">
        <f>(ES111-EJ111)/EJ111</f>
        <v>#DIV/0!</v>
      </c>
      <c r="EY111" s="176" t="e">
        <f>(ER111-EG111)/EG111</f>
        <v>#DIV/0!</v>
      </c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801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</row>
    <row r="112" spans="2:221" ht="15">
      <c r="B112" s="175"/>
      <c r="C112" s="800" t="s">
        <v>460</v>
      </c>
      <c r="D112" s="357">
        <v>1450022</v>
      </c>
      <c r="E112" s="357">
        <v>159</v>
      </c>
      <c r="F112" s="357" t="s">
        <v>461</v>
      </c>
      <c r="G112" s="426" t="s">
        <v>462</v>
      </c>
      <c r="H112" s="148" t="s">
        <v>169</v>
      </c>
      <c r="I112" s="448" t="s">
        <v>170</v>
      </c>
      <c r="J112" s="357"/>
      <c r="K112" s="357"/>
      <c r="L112" s="357"/>
      <c r="M112" s="358"/>
      <c r="N112" s="359">
        <v>107</v>
      </c>
      <c r="O112" s="358"/>
      <c r="P112" s="402">
        <v>48.42</v>
      </c>
      <c r="Q112" s="402"/>
      <c r="R112" s="402">
        <v>960.33</v>
      </c>
      <c r="S112" s="358">
        <v>50</v>
      </c>
      <c r="T112" s="188" t="s">
        <v>171</v>
      </c>
      <c r="U112" s="358"/>
      <c r="V112" s="358"/>
      <c r="W112" s="358"/>
      <c r="X112" s="402">
        <f t="shared" si="10"/>
        <v>1677.73</v>
      </c>
      <c r="Y112" s="402">
        <v>-80.53</v>
      </c>
      <c r="Z112" s="402">
        <v>0</v>
      </c>
      <c r="AA112" s="402">
        <v>1597.2</v>
      </c>
      <c r="AB112" s="450">
        <v>76</v>
      </c>
      <c r="AC112" s="173" t="s">
        <v>172</v>
      </c>
      <c r="AD112" s="173" t="s">
        <v>173</v>
      </c>
      <c r="AE112" s="164" t="b">
        <v>1</v>
      </c>
      <c r="AF112" s="164" t="b">
        <v>1</v>
      </c>
      <c r="AG112" s="409">
        <f>(AB112-S112)/S112</f>
        <v>0.52</v>
      </c>
      <c r="AH112" s="409">
        <f>(AA112-R112)/R112</f>
        <v>0.66317828246540245</v>
      </c>
      <c r="AI112" s="402">
        <f t="shared" si="8"/>
        <v>2014.89</v>
      </c>
      <c r="AJ112" s="364">
        <v>-96.71</v>
      </c>
      <c r="AK112" s="364">
        <v>0</v>
      </c>
      <c r="AL112" s="364">
        <v>1918.18</v>
      </c>
      <c r="AM112" s="1069">
        <v>87</v>
      </c>
      <c r="AN112" s="407">
        <v>46122</v>
      </c>
      <c r="AO112" s="148" t="s">
        <v>174</v>
      </c>
      <c r="AP112" s="860" t="b">
        <v>1</v>
      </c>
      <c r="AQ112" s="860" t="b">
        <v>1</v>
      </c>
      <c r="AR112" s="409">
        <f t="shared" si="11"/>
        <v>0.14473684210526316</v>
      </c>
      <c r="AS112" s="409">
        <f>(AL112-AA112)/AA112</f>
        <v>0.2009641873278237</v>
      </c>
      <c r="AT112" s="402">
        <f t="shared" si="9"/>
        <v>0</v>
      </c>
      <c r="AU112" s="402"/>
      <c r="AV112" s="402"/>
      <c r="AW112" s="402"/>
      <c r="AX112" s="358"/>
      <c r="AY112" s="358"/>
      <c r="AZ112" s="358"/>
      <c r="BA112" s="164" t="b">
        <v>0</v>
      </c>
      <c r="BB112" s="164" t="b">
        <v>0</v>
      </c>
      <c r="BC112" s="358">
        <f>(AX112-AM112)/AM112</f>
        <v>-1</v>
      </c>
      <c r="BD112" s="358">
        <f>(AW112-AL112)/AL112</f>
        <v>-1</v>
      </c>
      <c r="BE112" s="402">
        <f>BH112 + ABS(BF112) + ABS(BG112)</f>
        <v>0</v>
      </c>
      <c r="BF112" s="402"/>
      <c r="BG112" s="402"/>
      <c r="BH112" s="402"/>
      <c r="BI112" s="358"/>
      <c r="BJ112" s="358"/>
      <c r="BK112" s="358"/>
      <c r="BL112" s="164" t="b">
        <v>0</v>
      </c>
      <c r="BM112" s="164" t="b">
        <v>0</v>
      </c>
      <c r="BN112" s="358" t="e">
        <f>(BI112-AZ112)/AZ112</f>
        <v>#DIV/0!</v>
      </c>
      <c r="BO112" s="358" t="e">
        <f>(BH112-AW112)/AW112</f>
        <v>#DIV/0!</v>
      </c>
      <c r="BP112" s="402">
        <f>BS112 + ABS(BQ112) + ABS(BR112)</f>
        <v>0</v>
      </c>
      <c r="BQ112" s="402"/>
      <c r="BR112" s="402"/>
      <c r="BS112" s="402"/>
      <c r="BT112" s="358"/>
      <c r="BU112" s="358"/>
      <c r="BV112" s="358"/>
      <c r="BW112" s="164" t="b">
        <v>0</v>
      </c>
      <c r="BX112" s="164" t="b">
        <v>0</v>
      </c>
      <c r="BY112" s="358" t="e">
        <f>(BT112-BI112)/BI112</f>
        <v>#DIV/0!</v>
      </c>
      <c r="BZ112" s="358" t="e">
        <f>(BS112-BH112)/BH112</f>
        <v>#DIV/0!</v>
      </c>
      <c r="CA112" s="402">
        <f>CD112 + ABS(CB112) + ABS(CC112)</f>
        <v>0</v>
      </c>
      <c r="CB112" s="402"/>
      <c r="CC112" s="402"/>
      <c r="CD112" s="402"/>
      <c r="CE112" s="358"/>
      <c r="CF112" s="358"/>
      <c r="CG112" s="358"/>
      <c r="CH112" s="164" t="b">
        <v>0</v>
      </c>
      <c r="CI112" s="164" t="b">
        <v>0</v>
      </c>
      <c r="CJ112" s="358" t="e">
        <f>(CE112-BV112)/BV112</f>
        <v>#DIV/0!</v>
      </c>
      <c r="CK112" s="358" t="e">
        <f>(CD112-BS112)/BS112</f>
        <v>#DIV/0!</v>
      </c>
      <c r="CL112" s="402">
        <f>CO112 + ABS(CM112) + ABS(CN112)</f>
        <v>0</v>
      </c>
      <c r="CM112" s="402"/>
      <c r="CN112" s="402"/>
      <c r="CO112" s="402"/>
      <c r="CP112" s="358"/>
      <c r="CQ112" s="358"/>
      <c r="CR112" s="358"/>
      <c r="CS112" s="164" t="b">
        <v>0</v>
      </c>
      <c r="CT112" s="164" t="b">
        <v>0</v>
      </c>
      <c r="CU112" s="358" t="e">
        <f>(CP112-CE112)/CE112</f>
        <v>#DIV/0!</v>
      </c>
      <c r="CV112" s="358" t="e">
        <f>(CO112-CD112)/CD112</f>
        <v>#DIV/0!</v>
      </c>
      <c r="CW112" s="402">
        <f>CZ112 + ABS(CX112) + ABS(CY112)</f>
        <v>0</v>
      </c>
      <c r="CX112" s="402"/>
      <c r="CY112" s="402"/>
      <c r="CZ112" s="402"/>
      <c r="DA112" s="358"/>
      <c r="DB112" s="358"/>
      <c r="DC112" s="358"/>
      <c r="DD112" s="164" t="b">
        <v>0</v>
      </c>
      <c r="DE112" s="164" t="b">
        <v>0</v>
      </c>
      <c r="DF112" s="358" t="e">
        <f>(DA112-CR112)/CR112</f>
        <v>#DIV/0!</v>
      </c>
      <c r="DG112" s="358" t="e">
        <f>(CZ112-CO112)/CO112</f>
        <v>#DIV/0!</v>
      </c>
      <c r="DH112" s="402">
        <f>DK112 + ABS(DI112) + ABS(DJ112)</f>
        <v>0</v>
      </c>
      <c r="DI112" s="402"/>
      <c r="DJ112" s="402"/>
      <c r="DK112" s="402"/>
      <c r="DL112" s="358"/>
      <c r="DM112" s="358"/>
      <c r="DN112" s="358"/>
      <c r="DO112" s="164" t="b">
        <v>0</v>
      </c>
      <c r="DP112" s="164" t="b">
        <v>0</v>
      </c>
      <c r="DQ112" s="358" t="e">
        <f>(DL112-DA112)/DA112</f>
        <v>#DIV/0!</v>
      </c>
      <c r="DR112" s="358" t="e">
        <f>(DK112-CZ112)/CZ112</f>
        <v>#DIV/0!</v>
      </c>
      <c r="DS112" s="402">
        <f>DV112 + ABS(DT112) + ABS(DU112)</f>
        <v>0</v>
      </c>
      <c r="DT112" s="402"/>
      <c r="DU112" s="402"/>
      <c r="DV112" s="402"/>
      <c r="DW112" s="358"/>
      <c r="DX112" s="358"/>
      <c r="DY112" s="358"/>
      <c r="DZ112" s="164" t="b">
        <v>0</v>
      </c>
      <c r="EA112" s="164" t="b">
        <v>0</v>
      </c>
      <c r="EB112" s="358" t="e">
        <f>(DW112-DN112)/DN112</f>
        <v>#DIV/0!</v>
      </c>
      <c r="EC112" s="358" t="e">
        <f>(DV112-DK112)/DK112</f>
        <v>#DIV/0!</v>
      </c>
      <c r="ED112" s="402">
        <f>EG112 + ABS(EE112) + ABS(EF112)</f>
        <v>0</v>
      </c>
      <c r="EE112" s="402"/>
      <c r="EF112" s="402"/>
      <c r="EG112" s="402"/>
      <c r="EH112" s="358"/>
      <c r="EI112" s="358"/>
      <c r="EJ112" s="358"/>
      <c r="EK112" s="164" t="b">
        <v>0</v>
      </c>
      <c r="EL112" s="164" t="b">
        <v>0</v>
      </c>
      <c r="EM112" s="358" t="e">
        <f>(EH112-DW112)/DW112</f>
        <v>#DIV/0!</v>
      </c>
      <c r="EN112" s="358" t="e">
        <f>(EG112-DV112)/DV112</f>
        <v>#DIV/0!</v>
      </c>
      <c r="EO112" s="402">
        <f>ER112 + ABS(EP112) + ABS(EQ112)</f>
        <v>0</v>
      </c>
      <c r="EP112" s="402"/>
      <c r="EQ112" s="402"/>
      <c r="ER112" s="402"/>
      <c r="ES112" s="358"/>
      <c r="ET112" s="358"/>
      <c r="EU112" s="358"/>
      <c r="EV112" s="164" t="b">
        <v>0</v>
      </c>
      <c r="EW112" s="164" t="b">
        <v>0</v>
      </c>
      <c r="EX112" s="358" t="e">
        <f>(ES112-EJ112)/EJ112</f>
        <v>#DIV/0!</v>
      </c>
      <c r="EY112" s="358" t="e">
        <f>(ER112-EG112)/EG112</f>
        <v>#DIV/0!</v>
      </c>
      <c r="EZ112" s="449"/>
      <c r="FA112" s="449"/>
      <c r="FB112" s="449"/>
      <c r="FC112" s="449"/>
      <c r="FD112" s="449"/>
      <c r="FE112" s="449"/>
      <c r="FF112" s="449"/>
      <c r="FG112" s="449"/>
      <c r="FH112" s="449"/>
      <c r="FI112" s="449"/>
      <c r="FJ112" s="449"/>
      <c r="FK112" s="449"/>
      <c r="FL112" s="449"/>
      <c r="FM112" s="449"/>
      <c r="FN112" s="449"/>
      <c r="FO112" s="449"/>
      <c r="FP112" s="449"/>
      <c r="FQ112" s="803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</row>
    <row r="113" spans="2:221" ht="15">
      <c r="B113" s="175"/>
      <c r="C113" s="800" t="s">
        <v>460</v>
      </c>
      <c r="D113" s="357">
        <v>1450022</v>
      </c>
      <c r="E113" s="357">
        <v>159</v>
      </c>
      <c r="F113" s="357" t="s">
        <v>463</v>
      </c>
      <c r="G113" s="426" t="s">
        <v>464</v>
      </c>
      <c r="H113" s="148" t="s">
        <v>169</v>
      </c>
      <c r="I113" s="448" t="s">
        <v>170</v>
      </c>
      <c r="J113" s="357"/>
      <c r="K113" s="357"/>
      <c r="L113" s="357"/>
      <c r="M113" s="358"/>
      <c r="N113" s="361">
        <v>107</v>
      </c>
      <c r="O113" s="358"/>
      <c r="P113" s="402">
        <v>2.6</v>
      </c>
      <c r="Q113" s="402"/>
      <c r="R113" s="402">
        <v>51.52</v>
      </c>
      <c r="S113" s="354"/>
      <c r="T113" s="188" t="s">
        <v>171</v>
      </c>
      <c r="U113" s="358"/>
      <c r="V113" s="358"/>
      <c r="W113" s="358"/>
      <c r="X113" s="402">
        <f t="shared" si="10"/>
        <v>54.120000000000005</v>
      </c>
      <c r="Y113" s="402">
        <v>-2.6</v>
      </c>
      <c r="Z113" s="402">
        <v>0</v>
      </c>
      <c r="AA113" s="402">
        <v>51.52</v>
      </c>
      <c r="AB113" s="450">
        <v>0</v>
      </c>
      <c r="AC113" s="426" t="s">
        <v>172</v>
      </c>
      <c r="AD113" s="426" t="s">
        <v>173</v>
      </c>
      <c r="AE113" s="164" t="b">
        <v>1</v>
      </c>
      <c r="AF113" s="164" t="b">
        <v>1</v>
      </c>
      <c r="AG113" s="409" t="e">
        <f>(AB113-S113)/S113</f>
        <v>#DIV/0!</v>
      </c>
      <c r="AH113" s="409">
        <f>(AA113-R113)/R113</f>
        <v>0</v>
      </c>
      <c r="AI113" s="402">
        <f t="shared" si="8"/>
        <v>67.509999999999991</v>
      </c>
      <c r="AJ113" s="364">
        <v>-3.24</v>
      </c>
      <c r="AK113" s="364">
        <v>0</v>
      </c>
      <c r="AL113" s="364">
        <v>64.27</v>
      </c>
      <c r="AM113" s="1069">
        <v>1</v>
      </c>
      <c r="AN113" s="407">
        <v>46122</v>
      </c>
      <c r="AO113" s="148" t="s">
        <v>174</v>
      </c>
      <c r="AP113" s="860" t="b">
        <v>1</v>
      </c>
      <c r="AQ113" s="860" t="b">
        <v>1</v>
      </c>
      <c r="AR113" s="409" t="e">
        <f t="shared" si="11"/>
        <v>#DIV/0!</v>
      </c>
      <c r="AS113" s="409">
        <f>(AL113-AA113)/AA113</f>
        <v>0.24747670807453401</v>
      </c>
      <c r="AT113" s="402">
        <f t="shared" si="9"/>
        <v>0</v>
      </c>
      <c r="AU113" s="402"/>
      <c r="AV113" s="402"/>
      <c r="AW113" s="402"/>
      <c r="AX113" s="358"/>
      <c r="AY113" s="358"/>
      <c r="AZ113" s="358"/>
      <c r="BA113" s="164" t="b">
        <v>0</v>
      </c>
      <c r="BB113" s="164" t="b">
        <v>0</v>
      </c>
      <c r="BC113" s="358">
        <f>(AX113-AM113)/AM113</f>
        <v>-1</v>
      </c>
      <c r="BD113" s="358">
        <f>(AW113-AL113)/AL113</f>
        <v>-1</v>
      </c>
      <c r="BE113" s="402">
        <f>BH113 + ABS(BF113) + ABS(BG113)</f>
        <v>0</v>
      </c>
      <c r="BF113" s="402"/>
      <c r="BG113" s="402"/>
      <c r="BH113" s="402"/>
      <c r="BI113" s="358"/>
      <c r="BJ113" s="358"/>
      <c r="BK113" s="358"/>
      <c r="BL113" s="164" t="b">
        <v>0</v>
      </c>
      <c r="BM113" s="164" t="b">
        <v>0</v>
      </c>
      <c r="BN113" s="358" t="e">
        <f>(BI113-AZ113)/AZ113</f>
        <v>#DIV/0!</v>
      </c>
      <c r="BO113" s="358" t="e">
        <f>(BH113-AW113)/AW113</f>
        <v>#DIV/0!</v>
      </c>
      <c r="BP113" s="402">
        <f>BS113 + ABS(BQ113) + ABS(BR113)</f>
        <v>0</v>
      </c>
      <c r="BQ113" s="402"/>
      <c r="BR113" s="402"/>
      <c r="BS113" s="402"/>
      <c r="BT113" s="358"/>
      <c r="BU113" s="358"/>
      <c r="BV113" s="358"/>
      <c r="BW113" s="164" t="b">
        <v>0</v>
      </c>
      <c r="BX113" s="164" t="b">
        <v>0</v>
      </c>
      <c r="BY113" s="358" t="e">
        <f>(BT113-BI113)/BI113</f>
        <v>#DIV/0!</v>
      </c>
      <c r="BZ113" s="358" t="e">
        <f>(BS113-BH113)/BH113</f>
        <v>#DIV/0!</v>
      </c>
      <c r="CA113" s="402">
        <f>CD113 + ABS(CB113) + ABS(CC113)</f>
        <v>0</v>
      </c>
      <c r="CB113" s="402"/>
      <c r="CC113" s="402"/>
      <c r="CD113" s="402"/>
      <c r="CE113" s="358"/>
      <c r="CF113" s="358"/>
      <c r="CG113" s="358"/>
      <c r="CH113" s="164" t="b">
        <v>0</v>
      </c>
      <c r="CI113" s="164" t="b">
        <v>0</v>
      </c>
      <c r="CJ113" s="358" t="e">
        <f>(CE113-BV113)/BV113</f>
        <v>#DIV/0!</v>
      </c>
      <c r="CK113" s="358" t="e">
        <f>(CD113-BS113)/BS113</f>
        <v>#DIV/0!</v>
      </c>
      <c r="CL113" s="402">
        <f>CO113 + ABS(CM113) + ABS(CN113)</f>
        <v>0</v>
      </c>
      <c r="CM113" s="402"/>
      <c r="CN113" s="402"/>
      <c r="CO113" s="402"/>
      <c r="CP113" s="358"/>
      <c r="CQ113" s="358"/>
      <c r="CR113" s="358"/>
      <c r="CS113" s="164" t="b">
        <v>0</v>
      </c>
      <c r="CT113" s="164" t="b">
        <v>0</v>
      </c>
      <c r="CU113" s="358" t="e">
        <f>(CP113-CE113)/CE113</f>
        <v>#DIV/0!</v>
      </c>
      <c r="CV113" s="358" t="e">
        <f>(CO113-CD113)/CD113</f>
        <v>#DIV/0!</v>
      </c>
      <c r="CW113" s="402">
        <f>CZ113 + ABS(CX113) + ABS(CY113)</f>
        <v>0</v>
      </c>
      <c r="CX113" s="402"/>
      <c r="CY113" s="402"/>
      <c r="CZ113" s="402"/>
      <c r="DA113" s="358"/>
      <c r="DB113" s="358"/>
      <c r="DC113" s="358"/>
      <c r="DD113" s="164" t="b">
        <v>0</v>
      </c>
      <c r="DE113" s="164" t="b">
        <v>0</v>
      </c>
      <c r="DF113" s="358" t="e">
        <f>(DA113-CR113)/CR113</f>
        <v>#DIV/0!</v>
      </c>
      <c r="DG113" s="358" t="e">
        <f>(CZ113-CO113)/CO113</f>
        <v>#DIV/0!</v>
      </c>
      <c r="DH113" s="402">
        <f>DK113 + ABS(DI113) + ABS(DJ113)</f>
        <v>0</v>
      </c>
      <c r="DI113" s="402"/>
      <c r="DJ113" s="402"/>
      <c r="DK113" s="402"/>
      <c r="DL113" s="358"/>
      <c r="DM113" s="358"/>
      <c r="DN113" s="358"/>
      <c r="DO113" s="164" t="b">
        <v>0</v>
      </c>
      <c r="DP113" s="164" t="b">
        <v>0</v>
      </c>
      <c r="DQ113" s="358" t="e">
        <f>(DL113-DA113)/DA113</f>
        <v>#DIV/0!</v>
      </c>
      <c r="DR113" s="358" t="e">
        <f>(DK113-CZ113)/CZ113</f>
        <v>#DIV/0!</v>
      </c>
      <c r="DS113" s="402">
        <f>DV113 + ABS(DT113) + ABS(DU113)</f>
        <v>0</v>
      </c>
      <c r="DT113" s="402"/>
      <c r="DU113" s="402"/>
      <c r="DV113" s="402"/>
      <c r="DW113" s="358"/>
      <c r="DX113" s="358"/>
      <c r="DY113" s="358"/>
      <c r="DZ113" s="164" t="b">
        <v>0</v>
      </c>
      <c r="EA113" s="164" t="b">
        <v>0</v>
      </c>
      <c r="EB113" s="358" t="e">
        <f>(DW113-DN113)/DN113</f>
        <v>#DIV/0!</v>
      </c>
      <c r="EC113" s="358" t="e">
        <f>(DV113-DK113)/DK113</f>
        <v>#DIV/0!</v>
      </c>
      <c r="ED113" s="402">
        <f>EG113 + ABS(EE113) + ABS(EF113)</f>
        <v>0</v>
      </c>
      <c r="EE113" s="402"/>
      <c r="EF113" s="402"/>
      <c r="EG113" s="402"/>
      <c r="EH113" s="358"/>
      <c r="EI113" s="358"/>
      <c r="EJ113" s="358"/>
      <c r="EK113" s="164" t="b">
        <v>0</v>
      </c>
      <c r="EL113" s="164" t="b">
        <v>0</v>
      </c>
      <c r="EM113" s="358" t="e">
        <f>(EH113-DW113)/DW113</f>
        <v>#DIV/0!</v>
      </c>
      <c r="EN113" s="358" t="e">
        <f>(EG113-DV113)/DV113</f>
        <v>#DIV/0!</v>
      </c>
      <c r="EO113" s="402">
        <f>ER113 + ABS(EP113) + ABS(EQ113)</f>
        <v>0</v>
      </c>
      <c r="EP113" s="402"/>
      <c r="EQ113" s="402"/>
      <c r="ER113" s="402"/>
      <c r="ES113" s="358"/>
      <c r="ET113" s="358"/>
      <c r="EU113" s="358"/>
      <c r="EV113" s="164" t="b">
        <v>0</v>
      </c>
      <c r="EW113" s="164" t="b">
        <v>0</v>
      </c>
      <c r="EX113" s="358" t="e">
        <f>(ES113-EJ113)/EJ113</f>
        <v>#DIV/0!</v>
      </c>
      <c r="EY113" s="358" t="e">
        <f>(ER113-EG113)/EG113</f>
        <v>#DIV/0!</v>
      </c>
      <c r="EZ113" s="449"/>
      <c r="FA113" s="449"/>
      <c r="FB113" s="449"/>
      <c r="FC113" s="449"/>
      <c r="FD113" s="449"/>
      <c r="FE113" s="449"/>
      <c r="FF113" s="449"/>
      <c r="FG113" s="449"/>
      <c r="FH113" s="449"/>
      <c r="FI113" s="449"/>
      <c r="FJ113" s="449"/>
      <c r="FK113" s="449"/>
      <c r="FL113" s="449"/>
      <c r="FM113" s="449"/>
      <c r="FN113" s="449"/>
      <c r="FO113" s="449"/>
      <c r="FP113" s="449"/>
      <c r="FQ113" s="803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</row>
    <row r="114" spans="2:221" ht="15">
      <c r="B114" s="175"/>
      <c r="C114" s="800" t="s">
        <v>460</v>
      </c>
      <c r="D114" s="357">
        <v>1450022</v>
      </c>
      <c r="E114" s="357">
        <v>159</v>
      </c>
      <c r="F114" s="357" t="s">
        <v>465</v>
      </c>
      <c r="G114" s="426" t="s">
        <v>466</v>
      </c>
      <c r="H114" s="148" t="s">
        <v>169</v>
      </c>
      <c r="I114" s="448" t="s">
        <v>170</v>
      </c>
      <c r="J114" s="357"/>
      <c r="K114" s="357"/>
      <c r="L114" s="357"/>
      <c r="M114" s="358"/>
      <c r="N114" s="359">
        <v>107</v>
      </c>
      <c r="O114" s="358"/>
      <c r="P114" s="402">
        <v>485.73</v>
      </c>
      <c r="Q114" s="402"/>
      <c r="R114" s="402">
        <v>9633.7199999999993</v>
      </c>
      <c r="S114" s="358">
        <v>400</v>
      </c>
      <c r="T114" s="188" t="s">
        <v>171</v>
      </c>
      <c r="U114" s="358"/>
      <c r="V114" s="358"/>
      <c r="W114" s="358"/>
      <c r="X114" s="402">
        <f t="shared" si="10"/>
        <v>15790.31</v>
      </c>
      <c r="Y114" s="402">
        <v>-757.93</v>
      </c>
      <c r="Z114" s="402">
        <v>0</v>
      </c>
      <c r="AA114" s="402">
        <v>15032.38</v>
      </c>
      <c r="AB114" s="450">
        <v>561</v>
      </c>
      <c r="AC114" s="173" t="s">
        <v>172</v>
      </c>
      <c r="AD114" s="173" t="s">
        <v>173</v>
      </c>
      <c r="AE114" s="164" t="b">
        <v>1</v>
      </c>
      <c r="AF114" s="164" t="b">
        <v>1</v>
      </c>
      <c r="AG114" s="409">
        <f>(AB114-S114)/S114</f>
        <v>0.40250000000000002</v>
      </c>
      <c r="AH114" s="409">
        <f>(AA114-R114)/R114</f>
        <v>0.56039203962747519</v>
      </c>
      <c r="AI114" s="402">
        <f t="shared" si="8"/>
        <v>11022.59</v>
      </c>
      <c r="AJ114" s="364">
        <v>-529.08000000000004</v>
      </c>
      <c r="AK114" s="364">
        <v>0</v>
      </c>
      <c r="AL114" s="364">
        <v>10493.51</v>
      </c>
      <c r="AM114" s="1069">
        <v>390</v>
      </c>
      <c r="AN114" s="407">
        <v>46122</v>
      </c>
      <c r="AO114" s="148" t="s">
        <v>174</v>
      </c>
      <c r="AP114" s="860" t="b">
        <v>1</v>
      </c>
      <c r="AQ114" s="860" t="b">
        <v>1</v>
      </c>
      <c r="AR114" s="409">
        <f t="shared" si="11"/>
        <v>-0.30481283422459893</v>
      </c>
      <c r="AS114" s="409">
        <f>(AL114-AA114)/AA114</f>
        <v>-0.30193954649895755</v>
      </c>
      <c r="AT114" s="402">
        <f t="shared" si="9"/>
        <v>0</v>
      </c>
      <c r="AU114" s="402"/>
      <c r="AV114" s="402"/>
      <c r="AW114" s="402"/>
      <c r="AX114" s="358"/>
      <c r="AY114" s="358"/>
      <c r="AZ114" s="358"/>
      <c r="BA114" s="164" t="b">
        <v>0</v>
      </c>
      <c r="BB114" s="164" t="b">
        <v>0</v>
      </c>
      <c r="BC114" s="358">
        <f>(AX114-AM114)/AM114</f>
        <v>-1</v>
      </c>
      <c r="BD114" s="358">
        <f>(AW114-AL114)/AL114</f>
        <v>-1</v>
      </c>
      <c r="BE114" s="402">
        <f>BH114 + ABS(BF114) + ABS(BG114)</f>
        <v>0</v>
      </c>
      <c r="BF114" s="402"/>
      <c r="BG114" s="402"/>
      <c r="BH114" s="402"/>
      <c r="BI114" s="358"/>
      <c r="BJ114" s="358"/>
      <c r="BK114" s="358"/>
      <c r="BL114" s="164" t="b">
        <v>0</v>
      </c>
      <c r="BM114" s="164" t="b">
        <v>0</v>
      </c>
      <c r="BN114" s="358" t="e">
        <f>(BI114-AZ114)/AZ114</f>
        <v>#DIV/0!</v>
      </c>
      <c r="BO114" s="358" t="e">
        <f>(BH114-AW114)/AW114</f>
        <v>#DIV/0!</v>
      </c>
      <c r="BP114" s="402">
        <f>BS114 + ABS(BQ114) + ABS(BR114)</f>
        <v>0</v>
      </c>
      <c r="BQ114" s="402"/>
      <c r="BR114" s="402"/>
      <c r="BS114" s="402"/>
      <c r="BT114" s="358"/>
      <c r="BU114" s="358"/>
      <c r="BV114" s="358"/>
      <c r="BW114" s="164" t="b">
        <v>0</v>
      </c>
      <c r="BX114" s="164" t="b">
        <v>0</v>
      </c>
      <c r="BY114" s="358" t="e">
        <f>(BT114-BI114)/BI114</f>
        <v>#DIV/0!</v>
      </c>
      <c r="BZ114" s="358" t="e">
        <f>(BS114-BH114)/BH114</f>
        <v>#DIV/0!</v>
      </c>
      <c r="CA114" s="402">
        <f>CD114 + ABS(CB114) + ABS(CC114)</f>
        <v>0</v>
      </c>
      <c r="CB114" s="402"/>
      <c r="CC114" s="402"/>
      <c r="CD114" s="402"/>
      <c r="CE114" s="358"/>
      <c r="CF114" s="358"/>
      <c r="CG114" s="358"/>
      <c r="CH114" s="164" t="b">
        <v>0</v>
      </c>
      <c r="CI114" s="164" t="b">
        <v>0</v>
      </c>
      <c r="CJ114" s="358" t="e">
        <f>(CE114-BV114)/BV114</f>
        <v>#DIV/0!</v>
      </c>
      <c r="CK114" s="358" t="e">
        <f>(CD114-BS114)/BS114</f>
        <v>#DIV/0!</v>
      </c>
      <c r="CL114" s="402">
        <f>CO114 + ABS(CM114) + ABS(CN114)</f>
        <v>0</v>
      </c>
      <c r="CM114" s="402"/>
      <c r="CN114" s="402"/>
      <c r="CO114" s="402"/>
      <c r="CP114" s="358"/>
      <c r="CQ114" s="358"/>
      <c r="CR114" s="358"/>
      <c r="CS114" s="164" t="b">
        <v>0</v>
      </c>
      <c r="CT114" s="164" t="b">
        <v>0</v>
      </c>
      <c r="CU114" s="358" t="e">
        <f>(CP114-CE114)/CE114</f>
        <v>#DIV/0!</v>
      </c>
      <c r="CV114" s="358" t="e">
        <f>(CO114-CD114)/CD114</f>
        <v>#DIV/0!</v>
      </c>
      <c r="CW114" s="402">
        <f>CZ114 + ABS(CX114) + ABS(CY114)</f>
        <v>0</v>
      </c>
      <c r="CX114" s="402"/>
      <c r="CY114" s="402"/>
      <c r="CZ114" s="402"/>
      <c r="DA114" s="358"/>
      <c r="DB114" s="358"/>
      <c r="DC114" s="358"/>
      <c r="DD114" s="164" t="b">
        <v>0</v>
      </c>
      <c r="DE114" s="164" t="b">
        <v>0</v>
      </c>
      <c r="DF114" s="358" t="e">
        <f>(DA114-CR114)/CR114</f>
        <v>#DIV/0!</v>
      </c>
      <c r="DG114" s="358" t="e">
        <f>(CZ114-CO114)/CO114</f>
        <v>#DIV/0!</v>
      </c>
      <c r="DH114" s="402">
        <f>DK114 + ABS(DI114) + ABS(DJ114)</f>
        <v>0</v>
      </c>
      <c r="DI114" s="402"/>
      <c r="DJ114" s="402"/>
      <c r="DK114" s="402"/>
      <c r="DL114" s="358"/>
      <c r="DM114" s="358"/>
      <c r="DN114" s="358"/>
      <c r="DO114" s="164" t="b">
        <v>0</v>
      </c>
      <c r="DP114" s="164" t="b">
        <v>0</v>
      </c>
      <c r="DQ114" s="358" t="e">
        <f>(DL114-DA114)/DA114</f>
        <v>#DIV/0!</v>
      </c>
      <c r="DR114" s="358" t="e">
        <f>(DK114-CZ114)/CZ114</f>
        <v>#DIV/0!</v>
      </c>
      <c r="DS114" s="402">
        <f>DV114 + ABS(DT114) + ABS(DU114)</f>
        <v>0</v>
      </c>
      <c r="DT114" s="402"/>
      <c r="DU114" s="402"/>
      <c r="DV114" s="402"/>
      <c r="DW114" s="358"/>
      <c r="DX114" s="358"/>
      <c r="DY114" s="358"/>
      <c r="DZ114" s="164" t="b">
        <v>0</v>
      </c>
      <c r="EA114" s="164" t="b">
        <v>0</v>
      </c>
      <c r="EB114" s="358" t="e">
        <f>(DW114-DN114)/DN114</f>
        <v>#DIV/0!</v>
      </c>
      <c r="EC114" s="358" t="e">
        <f>(DV114-DK114)/DK114</f>
        <v>#DIV/0!</v>
      </c>
      <c r="ED114" s="402">
        <f>EG114 + ABS(EE114) + ABS(EF114)</f>
        <v>0</v>
      </c>
      <c r="EE114" s="402"/>
      <c r="EF114" s="402"/>
      <c r="EG114" s="402"/>
      <c r="EH114" s="358"/>
      <c r="EI114" s="358"/>
      <c r="EJ114" s="358"/>
      <c r="EK114" s="164" t="b">
        <v>0</v>
      </c>
      <c r="EL114" s="164" t="b">
        <v>0</v>
      </c>
      <c r="EM114" s="358" t="e">
        <f>(EH114-DW114)/DW114</f>
        <v>#DIV/0!</v>
      </c>
      <c r="EN114" s="358" t="e">
        <f>(EG114-DV114)/DV114</f>
        <v>#DIV/0!</v>
      </c>
      <c r="EO114" s="402">
        <f>ER114 + ABS(EP114) + ABS(EQ114)</f>
        <v>0</v>
      </c>
      <c r="EP114" s="402"/>
      <c r="EQ114" s="402"/>
      <c r="ER114" s="402"/>
      <c r="ES114" s="358"/>
      <c r="ET114" s="358"/>
      <c r="EU114" s="358"/>
      <c r="EV114" s="164" t="b">
        <v>0</v>
      </c>
      <c r="EW114" s="164" t="b">
        <v>0</v>
      </c>
      <c r="EX114" s="358" t="e">
        <f>(ES114-EJ114)/EJ114</f>
        <v>#DIV/0!</v>
      </c>
      <c r="EY114" s="358" t="e">
        <f>(ER114-EG114)/EG114</f>
        <v>#DIV/0!</v>
      </c>
      <c r="EZ114" s="449"/>
      <c r="FA114" s="449"/>
      <c r="FB114" s="449"/>
      <c r="FC114" s="449"/>
      <c r="FD114" s="449"/>
      <c r="FE114" s="449"/>
      <c r="FF114" s="449"/>
      <c r="FG114" s="449"/>
      <c r="FH114" s="449"/>
      <c r="FI114" s="449"/>
      <c r="FJ114" s="449"/>
      <c r="FK114" s="449"/>
      <c r="FL114" s="449"/>
      <c r="FM114" s="449"/>
      <c r="FN114" s="449"/>
      <c r="FO114" s="449"/>
      <c r="FP114" s="449"/>
      <c r="FQ114" s="803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</row>
    <row r="115" spans="2:221" ht="15">
      <c r="B115" s="175"/>
      <c r="C115" s="800" t="s">
        <v>460</v>
      </c>
      <c r="D115" s="357">
        <v>1450022</v>
      </c>
      <c r="E115" s="357">
        <v>159</v>
      </c>
      <c r="F115" s="357" t="s">
        <v>467</v>
      </c>
      <c r="G115" s="426" t="s">
        <v>468</v>
      </c>
      <c r="H115" s="148" t="s">
        <v>169</v>
      </c>
      <c r="I115" s="448" t="s">
        <v>170</v>
      </c>
      <c r="J115" s="357"/>
      <c r="K115" s="357"/>
      <c r="L115" s="357"/>
      <c r="M115" s="358"/>
      <c r="N115" s="361">
        <v>107</v>
      </c>
      <c r="O115" s="358"/>
      <c r="P115" s="402">
        <v>833.8</v>
      </c>
      <c r="Q115" s="402"/>
      <c r="R115" s="402">
        <v>16537</v>
      </c>
      <c r="S115" s="358">
        <v>327</v>
      </c>
      <c r="T115" s="188" t="s">
        <v>171</v>
      </c>
      <c r="U115" s="358"/>
      <c r="V115" s="358"/>
      <c r="W115" s="358"/>
      <c r="X115" s="402">
        <f t="shared" si="10"/>
        <v>17701.150000000001</v>
      </c>
      <c r="Y115" s="402">
        <v>-849.66</v>
      </c>
      <c r="Z115" s="402">
        <v>0</v>
      </c>
      <c r="AA115" s="402">
        <v>16851.490000000002</v>
      </c>
      <c r="AB115" s="450">
        <v>346</v>
      </c>
      <c r="AC115" s="426" t="s">
        <v>172</v>
      </c>
      <c r="AD115" s="426" t="s">
        <v>173</v>
      </c>
      <c r="AE115" s="164" t="b">
        <v>1</v>
      </c>
      <c r="AF115" s="164" t="b">
        <v>1</v>
      </c>
      <c r="AG115" s="409">
        <f>(AB115-S115)/S115</f>
        <v>5.8103975535168197E-2</v>
      </c>
      <c r="AH115" s="409">
        <f>(AA115-R115)/R115</f>
        <v>1.9017355022071816E-2</v>
      </c>
      <c r="AI115" s="402">
        <f t="shared" si="8"/>
        <v>18493.830000000002</v>
      </c>
      <c r="AJ115" s="364">
        <v>-887.7</v>
      </c>
      <c r="AK115" s="364">
        <v>0</v>
      </c>
      <c r="AL115" s="364">
        <v>17606.13</v>
      </c>
      <c r="AM115" s="1069">
        <v>365</v>
      </c>
      <c r="AN115" s="407">
        <v>46122</v>
      </c>
      <c r="AO115" s="148"/>
      <c r="AP115" s="860" t="b">
        <v>1</v>
      </c>
      <c r="AQ115" s="860" t="b">
        <v>1</v>
      </c>
      <c r="AR115" s="409">
        <f t="shared" si="11"/>
        <v>5.4913294797687862E-2</v>
      </c>
      <c r="AS115" s="409">
        <f>(AL115-AA115)/AA115</f>
        <v>4.4781796743195962E-2</v>
      </c>
      <c r="AT115" s="402">
        <f t="shared" si="9"/>
        <v>0</v>
      </c>
      <c r="AU115" s="402"/>
      <c r="AV115" s="402"/>
      <c r="AW115" s="402"/>
      <c r="AX115" s="358"/>
      <c r="AY115" s="358"/>
      <c r="AZ115" s="358"/>
      <c r="BA115" s="164" t="b">
        <v>0</v>
      </c>
      <c r="BB115" s="164" t="b">
        <v>0</v>
      </c>
      <c r="BC115" s="358">
        <f>(AX115-AM115)/AM115</f>
        <v>-1</v>
      </c>
      <c r="BD115" s="358">
        <f>(AW115-AL115)/AL115</f>
        <v>-1</v>
      </c>
      <c r="BE115" s="402">
        <f>BH115 + ABS(BF115) + ABS(BG115)</f>
        <v>0</v>
      </c>
      <c r="BF115" s="402"/>
      <c r="BG115" s="402"/>
      <c r="BH115" s="402"/>
      <c r="BI115" s="358"/>
      <c r="BJ115" s="358"/>
      <c r="BK115" s="358"/>
      <c r="BL115" s="164" t="b">
        <v>0</v>
      </c>
      <c r="BM115" s="164" t="b">
        <v>0</v>
      </c>
      <c r="BN115" s="358" t="e">
        <f>(BI115-AZ115)/AZ115</f>
        <v>#DIV/0!</v>
      </c>
      <c r="BO115" s="358" t="e">
        <f>(BH115-AW115)/AW115</f>
        <v>#DIV/0!</v>
      </c>
      <c r="BP115" s="402">
        <f>BS115 + ABS(BQ115) + ABS(BR115)</f>
        <v>0</v>
      </c>
      <c r="BQ115" s="402"/>
      <c r="BR115" s="402"/>
      <c r="BS115" s="402"/>
      <c r="BT115" s="358"/>
      <c r="BU115" s="358"/>
      <c r="BV115" s="358"/>
      <c r="BW115" s="164" t="b">
        <v>0</v>
      </c>
      <c r="BX115" s="164" t="b">
        <v>0</v>
      </c>
      <c r="BY115" s="358" t="e">
        <f>(BT115-BI115)/BI115</f>
        <v>#DIV/0!</v>
      </c>
      <c r="BZ115" s="358" t="e">
        <f>(BS115-BH115)/BH115</f>
        <v>#DIV/0!</v>
      </c>
      <c r="CA115" s="402">
        <f>CD115 + ABS(CB115) + ABS(CC115)</f>
        <v>0</v>
      </c>
      <c r="CB115" s="402"/>
      <c r="CC115" s="402"/>
      <c r="CD115" s="402"/>
      <c r="CE115" s="358"/>
      <c r="CF115" s="358"/>
      <c r="CG115" s="358"/>
      <c r="CH115" s="164" t="b">
        <v>0</v>
      </c>
      <c r="CI115" s="164" t="b">
        <v>0</v>
      </c>
      <c r="CJ115" s="358" t="e">
        <f>(CE115-BV115)/BV115</f>
        <v>#DIV/0!</v>
      </c>
      <c r="CK115" s="358" t="e">
        <f>(CD115-BS115)/BS115</f>
        <v>#DIV/0!</v>
      </c>
      <c r="CL115" s="402">
        <f>CO115 + ABS(CM115) + ABS(CN115)</f>
        <v>0</v>
      </c>
      <c r="CM115" s="402"/>
      <c r="CN115" s="402"/>
      <c r="CO115" s="402"/>
      <c r="CP115" s="358"/>
      <c r="CQ115" s="358"/>
      <c r="CR115" s="358"/>
      <c r="CS115" s="164" t="b">
        <v>0</v>
      </c>
      <c r="CT115" s="164" t="b">
        <v>0</v>
      </c>
      <c r="CU115" s="358" t="e">
        <f>(CP115-CE115)/CE115</f>
        <v>#DIV/0!</v>
      </c>
      <c r="CV115" s="358" t="e">
        <f>(CO115-CD115)/CD115</f>
        <v>#DIV/0!</v>
      </c>
      <c r="CW115" s="402">
        <f>CZ115 + ABS(CX115) + ABS(CY115)</f>
        <v>0</v>
      </c>
      <c r="CX115" s="402"/>
      <c r="CY115" s="402"/>
      <c r="CZ115" s="402"/>
      <c r="DA115" s="358"/>
      <c r="DB115" s="358"/>
      <c r="DC115" s="358"/>
      <c r="DD115" s="164" t="b">
        <v>0</v>
      </c>
      <c r="DE115" s="164" t="b">
        <v>0</v>
      </c>
      <c r="DF115" s="358" t="e">
        <f>(DA115-CR115)/CR115</f>
        <v>#DIV/0!</v>
      </c>
      <c r="DG115" s="358" t="e">
        <f>(CZ115-CO115)/CO115</f>
        <v>#DIV/0!</v>
      </c>
      <c r="DH115" s="402">
        <f>DK115 + ABS(DI115) + ABS(DJ115)</f>
        <v>0</v>
      </c>
      <c r="DI115" s="402"/>
      <c r="DJ115" s="402"/>
      <c r="DK115" s="402"/>
      <c r="DL115" s="358"/>
      <c r="DM115" s="358"/>
      <c r="DN115" s="358"/>
      <c r="DO115" s="164" t="b">
        <v>0</v>
      </c>
      <c r="DP115" s="164" t="b">
        <v>0</v>
      </c>
      <c r="DQ115" s="358" t="e">
        <f>(DL115-DA115)/DA115</f>
        <v>#DIV/0!</v>
      </c>
      <c r="DR115" s="358" t="e">
        <f>(DK115-CZ115)/CZ115</f>
        <v>#DIV/0!</v>
      </c>
      <c r="DS115" s="402">
        <f>DV115 + ABS(DT115) + ABS(DU115)</f>
        <v>0</v>
      </c>
      <c r="DT115" s="402"/>
      <c r="DU115" s="402"/>
      <c r="DV115" s="402"/>
      <c r="DW115" s="358"/>
      <c r="DX115" s="358"/>
      <c r="DY115" s="358"/>
      <c r="DZ115" s="164" t="b">
        <v>0</v>
      </c>
      <c r="EA115" s="164" t="b">
        <v>0</v>
      </c>
      <c r="EB115" s="358" t="e">
        <f>(DW115-DN115)/DN115</f>
        <v>#DIV/0!</v>
      </c>
      <c r="EC115" s="358" t="e">
        <f>(DV115-DK115)/DK115</f>
        <v>#DIV/0!</v>
      </c>
      <c r="ED115" s="402">
        <f>EG115 + ABS(EE115) + ABS(EF115)</f>
        <v>0</v>
      </c>
      <c r="EE115" s="402"/>
      <c r="EF115" s="402"/>
      <c r="EG115" s="402"/>
      <c r="EH115" s="358"/>
      <c r="EI115" s="358"/>
      <c r="EJ115" s="358"/>
      <c r="EK115" s="164" t="b">
        <v>0</v>
      </c>
      <c r="EL115" s="164" t="b">
        <v>0</v>
      </c>
      <c r="EM115" s="358" t="e">
        <f>(EH115-DW115)/DW115</f>
        <v>#DIV/0!</v>
      </c>
      <c r="EN115" s="358" t="e">
        <f>(EG115-DV115)/DV115</f>
        <v>#DIV/0!</v>
      </c>
      <c r="EO115" s="402">
        <f>ER115 + ABS(EP115) + ABS(EQ115)</f>
        <v>0</v>
      </c>
      <c r="EP115" s="402"/>
      <c r="EQ115" s="402"/>
      <c r="ER115" s="402"/>
      <c r="ES115" s="358"/>
      <c r="ET115" s="358"/>
      <c r="EU115" s="358"/>
      <c r="EV115" s="164" t="b">
        <v>0</v>
      </c>
      <c r="EW115" s="164" t="b">
        <v>0</v>
      </c>
      <c r="EX115" s="358" t="e">
        <f>(ES115-EJ115)/EJ115</f>
        <v>#DIV/0!</v>
      </c>
      <c r="EY115" s="358" t="e">
        <f>(ER115-EG115)/EG115</f>
        <v>#DIV/0!</v>
      </c>
      <c r="EZ115" s="449"/>
      <c r="FA115" s="449"/>
      <c r="FB115" s="449"/>
      <c r="FC115" s="449"/>
      <c r="FD115" s="449"/>
      <c r="FE115" s="449"/>
      <c r="FF115" s="449"/>
      <c r="FG115" s="449"/>
      <c r="FH115" s="449"/>
      <c r="FI115" s="449"/>
      <c r="FJ115" s="449"/>
      <c r="FK115" s="449"/>
      <c r="FL115" s="449"/>
      <c r="FM115" s="449"/>
      <c r="FN115" s="449"/>
      <c r="FO115" s="449"/>
      <c r="FP115" s="449"/>
      <c r="FQ115" s="803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</row>
    <row r="116" spans="2:221" ht="15">
      <c r="B116" s="175"/>
      <c r="C116" s="802" t="s">
        <v>469</v>
      </c>
      <c r="D116" s="154">
        <v>1450022</v>
      </c>
      <c r="E116" s="154">
        <v>154</v>
      </c>
      <c r="F116" s="154" t="s">
        <v>470</v>
      </c>
      <c r="G116" s="255" t="s">
        <v>471</v>
      </c>
      <c r="H116" s="171" t="s">
        <v>169</v>
      </c>
      <c r="I116" s="445" t="s">
        <v>170</v>
      </c>
      <c r="J116" s="154"/>
      <c r="K116" s="154"/>
      <c r="L116" s="154"/>
      <c r="M116" s="176"/>
      <c r="N116" s="193">
        <v>107</v>
      </c>
      <c r="O116" s="176"/>
      <c r="P116" s="203">
        <v>1394.02</v>
      </c>
      <c r="Q116" s="203"/>
      <c r="R116" s="203">
        <v>27647.97</v>
      </c>
      <c r="S116" s="176">
        <v>999</v>
      </c>
      <c r="T116" s="188" t="s">
        <v>171</v>
      </c>
      <c r="U116" s="176"/>
      <c r="V116" s="176"/>
      <c r="W116" s="176"/>
      <c r="X116" s="203">
        <f t="shared" si="10"/>
        <v>30615.26</v>
      </c>
      <c r="Y116" s="203">
        <v>-1469.53</v>
      </c>
      <c r="Z116" s="203">
        <v>0</v>
      </c>
      <c r="AA116" s="203">
        <v>29145.73</v>
      </c>
      <c r="AB116" s="446">
        <v>1051</v>
      </c>
      <c r="AC116" s="444" t="s">
        <v>172</v>
      </c>
      <c r="AD116" s="444" t="s">
        <v>173</v>
      </c>
      <c r="AE116" s="177" t="b">
        <v>1</v>
      </c>
      <c r="AF116" s="177" t="b">
        <v>1</v>
      </c>
      <c r="AG116" s="392">
        <f>(AB116-S116)/S116</f>
        <v>5.2052052052052052E-2</v>
      </c>
      <c r="AH116" s="392">
        <f>(AA116-R116)/R116</f>
        <v>5.4172512484641666E-2</v>
      </c>
      <c r="AI116" s="203">
        <f t="shared" si="8"/>
        <v>26603.49</v>
      </c>
      <c r="AJ116" s="368">
        <v>-1276.97</v>
      </c>
      <c r="AK116" s="368">
        <v>0</v>
      </c>
      <c r="AL116" s="368">
        <v>25326.52</v>
      </c>
      <c r="AM116" s="1068">
        <v>888</v>
      </c>
      <c r="AN116" s="172">
        <v>46122</v>
      </c>
      <c r="AO116" s="171" t="s">
        <v>174</v>
      </c>
      <c r="AP116" s="861" t="b">
        <v>1</v>
      </c>
      <c r="AQ116" s="861" t="b">
        <v>1</v>
      </c>
      <c r="AR116" s="392">
        <f t="shared" si="11"/>
        <v>-0.15509039010466222</v>
      </c>
      <c r="AS116" s="392">
        <f>(AL116-AA116)/AA116</f>
        <v>-0.13103840596890176</v>
      </c>
      <c r="AT116" s="203">
        <f t="shared" si="9"/>
        <v>0</v>
      </c>
      <c r="AU116" s="203"/>
      <c r="AV116" s="203"/>
      <c r="AW116" s="203"/>
      <c r="AX116" s="176"/>
      <c r="AY116" s="176"/>
      <c r="AZ116" s="176"/>
      <c r="BA116" s="177" t="b">
        <v>0</v>
      </c>
      <c r="BB116" s="177" t="b">
        <v>0</v>
      </c>
      <c r="BC116" s="176">
        <f>(AX116-AM116)/AM116</f>
        <v>-1</v>
      </c>
      <c r="BD116" s="176">
        <f>(AW116-AL116)/AL116</f>
        <v>-1</v>
      </c>
      <c r="BE116" s="203">
        <f>BH116 + ABS(BF116) + ABS(BG116)</f>
        <v>0</v>
      </c>
      <c r="BF116" s="203"/>
      <c r="BG116" s="203"/>
      <c r="BH116" s="203"/>
      <c r="BI116" s="176"/>
      <c r="BJ116" s="176"/>
      <c r="BK116" s="176"/>
      <c r="BL116" s="177" t="b">
        <v>0</v>
      </c>
      <c r="BM116" s="177" t="b">
        <v>0</v>
      </c>
      <c r="BN116" s="176" t="e">
        <f>(BI116-AZ116)/AZ116</f>
        <v>#DIV/0!</v>
      </c>
      <c r="BO116" s="176" t="e">
        <f>(BH116-AW116)/AW116</f>
        <v>#DIV/0!</v>
      </c>
      <c r="BP116" s="203">
        <f>BS116 + ABS(BQ116) + ABS(BR116)</f>
        <v>0</v>
      </c>
      <c r="BQ116" s="203"/>
      <c r="BR116" s="203"/>
      <c r="BS116" s="203"/>
      <c r="BT116" s="176"/>
      <c r="BU116" s="176"/>
      <c r="BV116" s="176"/>
      <c r="BW116" s="177" t="b">
        <v>0</v>
      </c>
      <c r="BX116" s="177" t="b">
        <v>0</v>
      </c>
      <c r="BY116" s="176" t="e">
        <f>(BT116-BI116)/BI116</f>
        <v>#DIV/0!</v>
      </c>
      <c r="BZ116" s="176" t="e">
        <f>(BS116-BH116)/BH116</f>
        <v>#DIV/0!</v>
      </c>
      <c r="CA116" s="203">
        <f>CD116 + ABS(CB116) + ABS(CC116)</f>
        <v>0</v>
      </c>
      <c r="CB116" s="203"/>
      <c r="CC116" s="203"/>
      <c r="CD116" s="203"/>
      <c r="CE116" s="176"/>
      <c r="CF116" s="176"/>
      <c r="CG116" s="176"/>
      <c r="CH116" s="177" t="b">
        <v>0</v>
      </c>
      <c r="CI116" s="177" t="b">
        <v>0</v>
      </c>
      <c r="CJ116" s="176" t="e">
        <f>(CE116-BV116)/BV116</f>
        <v>#DIV/0!</v>
      </c>
      <c r="CK116" s="176" t="e">
        <f>(CD116-BS116)/BS116</f>
        <v>#DIV/0!</v>
      </c>
      <c r="CL116" s="203">
        <f>CO116 + ABS(CM116) + ABS(CN116)</f>
        <v>0</v>
      </c>
      <c r="CM116" s="203"/>
      <c r="CN116" s="203"/>
      <c r="CO116" s="203"/>
      <c r="CP116" s="176"/>
      <c r="CQ116" s="176"/>
      <c r="CR116" s="176"/>
      <c r="CS116" s="177" t="b">
        <v>0</v>
      </c>
      <c r="CT116" s="177" t="b">
        <v>0</v>
      </c>
      <c r="CU116" s="176" t="e">
        <f>(CP116-CE116)/CE116</f>
        <v>#DIV/0!</v>
      </c>
      <c r="CV116" s="176" t="e">
        <f>(CO116-CD116)/CD116</f>
        <v>#DIV/0!</v>
      </c>
      <c r="CW116" s="203">
        <f>CZ116 + ABS(CX116) + ABS(CY116)</f>
        <v>0</v>
      </c>
      <c r="CX116" s="203"/>
      <c r="CY116" s="203"/>
      <c r="CZ116" s="203"/>
      <c r="DA116" s="176"/>
      <c r="DB116" s="176"/>
      <c r="DC116" s="176"/>
      <c r="DD116" s="177" t="b">
        <v>0</v>
      </c>
      <c r="DE116" s="177" t="b">
        <v>0</v>
      </c>
      <c r="DF116" s="176" t="e">
        <f>(DA116-CR116)/CR116</f>
        <v>#DIV/0!</v>
      </c>
      <c r="DG116" s="176" t="e">
        <f>(CZ116-CO116)/CO116</f>
        <v>#DIV/0!</v>
      </c>
      <c r="DH116" s="203">
        <f>DK116 + ABS(DI116) + ABS(DJ116)</f>
        <v>0</v>
      </c>
      <c r="DI116" s="203"/>
      <c r="DJ116" s="203"/>
      <c r="DK116" s="203"/>
      <c r="DL116" s="176"/>
      <c r="DM116" s="176"/>
      <c r="DN116" s="176"/>
      <c r="DO116" s="177" t="b">
        <v>0</v>
      </c>
      <c r="DP116" s="177" t="b">
        <v>0</v>
      </c>
      <c r="DQ116" s="176" t="e">
        <f>(DL116-DA116)/DA116</f>
        <v>#DIV/0!</v>
      </c>
      <c r="DR116" s="176" t="e">
        <f>(DK116-CZ116)/CZ116</f>
        <v>#DIV/0!</v>
      </c>
      <c r="DS116" s="203">
        <f>DV116 + ABS(DT116) + ABS(DU116)</f>
        <v>0</v>
      </c>
      <c r="DT116" s="203"/>
      <c r="DU116" s="203"/>
      <c r="DV116" s="203"/>
      <c r="DW116" s="176"/>
      <c r="DX116" s="176"/>
      <c r="DY116" s="176"/>
      <c r="DZ116" s="177" t="b">
        <v>0</v>
      </c>
      <c r="EA116" s="177" t="b">
        <v>0</v>
      </c>
      <c r="EB116" s="176" t="e">
        <f>(DW116-DN116)/DN116</f>
        <v>#DIV/0!</v>
      </c>
      <c r="EC116" s="176" t="e">
        <f>(DV116-DK116)/DK116</f>
        <v>#DIV/0!</v>
      </c>
      <c r="ED116" s="203">
        <f>EG116 + ABS(EE116) + ABS(EF116)</f>
        <v>0</v>
      </c>
      <c r="EE116" s="203"/>
      <c r="EF116" s="203"/>
      <c r="EG116" s="203"/>
      <c r="EH116" s="176"/>
      <c r="EI116" s="176"/>
      <c r="EJ116" s="176"/>
      <c r="EK116" s="177" t="b">
        <v>0</v>
      </c>
      <c r="EL116" s="177" t="b">
        <v>0</v>
      </c>
      <c r="EM116" s="176" t="e">
        <f>(EH116-DW116)/DW116</f>
        <v>#DIV/0!</v>
      </c>
      <c r="EN116" s="176" t="e">
        <f>(EG116-DV116)/DV116</f>
        <v>#DIV/0!</v>
      </c>
      <c r="EO116" s="203">
        <f>ER116 + ABS(EP116) + ABS(EQ116)</f>
        <v>0</v>
      </c>
      <c r="EP116" s="203"/>
      <c r="EQ116" s="203"/>
      <c r="ER116" s="203"/>
      <c r="ES116" s="176"/>
      <c r="ET116" s="176"/>
      <c r="EU116" s="176"/>
      <c r="EV116" s="177" t="b">
        <v>0</v>
      </c>
      <c r="EW116" s="177" t="b">
        <v>0</v>
      </c>
      <c r="EX116" s="176" t="e">
        <f>(ES116-EJ116)/EJ116</f>
        <v>#DIV/0!</v>
      </c>
      <c r="EY116" s="176" t="e">
        <f>(ER116-EG116)/EG116</f>
        <v>#DIV/0!</v>
      </c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801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</row>
    <row r="117" spans="2:221" ht="15">
      <c r="B117" s="175"/>
      <c r="C117" s="802" t="s">
        <v>469</v>
      </c>
      <c r="D117" s="154">
        <v>1450022</v>
      </c>
      <c r="E117" s="154">
        <v>154</v>
      </c>
      <c r="F117" s="154" t="s">
        <v>472</v>
      </c>
      <c r="G117" s="255" t="s">
        <v>473</v>
      </c>
      <c r="H117" s="171" t="s">
        <v>169</v>
      </c>
      <c r="I117" s="445" t="s">
        <v>170</v>
      </c>
      <c r="J117" s="154"/>
      <c r="K117" s="154"/>
      <c r="L117" s="154"/>
      <c r="M117" s="176"/>
      <c r="N117" s="418">
        <v>107</v>
      </c>
      <c r="O117" s="176"/>
      <c r="P117" s="203">
        <v>482.01</v>
      </c>
      <c r="Q117" s="203"/>
      <c r="R117" s="203">
        <v>9559.85</v>
      </c>
      <c r="S117" s="176">
        <v>371</v>
      </c>
      <c r="T117" s="188" t="s">
        <v>171</v>
      </c>
      <c r="U117" s="176"/>
      <c r="V117" s="176"/>
      <c r="W117" s="176"/>
      <c r="X117" s="203">
        <f t="shared" si="10"/>
        <v>9799.81</v>
      </c>
      <c r="Y117" s="203">
        <v>-470.39</v>
      </c>
      <c r="Z117" s="203">
        <v>0</v>
      </c>
      <c r="AA117" s="203">
        <v>9329.42</v>
      </c>
      <c r="AB117" s="446">
        <v>363</v>
      </c>
      <c r="AC117" s="255" t="s">
        <v>172</v>
      </c>
      <c r="AD117" s="255" t="s">
        <v>173</v>
      </c>
      <c r="AE117" s="177" t="b">
        <v>1</v>
      </c>
      <c r="AF117" s="177" t="b">
        <v>1</v>
      </c>
      <c r="AG117" s="392">
        <f>(AB117-S117)/S117</f>
        <v>-2.15633423180593E-2</v>
      </c>
      <c r="AH117" s="392">
        <f>(AA117-R117)/R117</f>
        <v>-2.4103934685167683E-2</v>
      </c>
      <c r="AI117" s="203">
        <f t="shared" si="8"/>
        <v>8493.66</v>
      </c>
      <c r="AJ117" s="368">
        <v>-407.7</v>
      </c>
      <c r="AK117" s="368">
        <v>0</v>
      </c>
      <c r="AL117" s="368">
        <v>8085.96</v>
      </c>
      <c r="AM117" s="1068">
        <v>310</v>
      </c>
      <c r="AN117" s="172">
        <v>46122</v>
      </c>
      <c r="AO117" s="171" t="s">
        <v>174</v>
      </c>
      <c r="AP117" s="861" t="b">
        <v>1</v>
      </c>
      <c r="AQ117" s="861" t="b">
        <v>1</v>
      </c>
      <c r="AR117" s="392">
        <f t="shared" si="11"/>
        <v>-0.14600550964187328</v>
      </c>
      <c r="AS117" s="392">
        <f>(AL117-AA117)/AA117</f>
        <v>-0.13328374111145172</v>
      </c>
      <c r="AT117" s="203">
        <f t="shared" si="9"/>
        <v>0</v>
      </c>
      <c r="AU117" s="203"/>
      <c r="AV117" s="203"/>
      <c r="AW117" s="203"/>
      <c r="AX117" s="176"/>
      <c r="AY117" s="176"/>
      <c r="AZ117" s="176"/>
      <c r="BA117" s="177" t="b">
        <v>0</v>
      </c>
      <c r="BB117" s="177" t="b">
        <v>0</v>
      </c>
      <c r="BC117" s="176">
        <f>(AX117-AM117)/AM117</f>
        <v>-1</v>
      </c>
      <c r="BD117" s="176">
        <f>(AW117-AL117)/AL117</f>
        <v>-1</v>
      </c>
      <c r="BE117" s="203">
        <f>BH117 + ABS(BF117) + ABS(BG117)</f>
        <v>0</v>
      </c>
      <c r="BF117" s="203"/>
      <c r="BG117" s="203"/>
      <c r="BH117" s="203"/>
      <c r="BI117" s="176"/>
      <c r="BJ117" s="176"/>
      <c r="BK117" s="176"/>
      <c r="BL117" s="177" t="b">
        <v>0</v>
      </c>
      <c r="BM117" s="177" t="b">
        <v>0</v>
      </c>
      <c r="BN117" s="176" t="e">
        <f>(BI117-AZ117)/AZ117</f>
        <v>#DIV/0!</v>
      </c>
      <c r="BO117" s="176" t="e">
        <f>(BH117-AW117)/AW117</f>
        <v>#DIV/0!</v>
      </c>
      <c r="BP117" s="203">
        <f>BS117 + ABS(BQ117) + ABS(BR117)</f>
        <v>0</v>
      </c>
      <c r="BQ117" s="203"/>
      <c r="BR117" s="203"/>
      <c r="BS117" s="203"/>
      <c r="BT117" s="176"/>
      <c r="BU117" s="176"/>
      <c r="BV117" s="176"/>
      <c r="BW117" s="177" t="b">
        <v>0</v>
      </c>
      <c r="BX117" s="177" t="b">
        <v>0</v>
      </c>
      <c r="BY117" s="176" t="e">
        <f>(BT117-BI117)/BI117</f>
        <v>#DIV/0!</v>
      </c>
      <c r="BZ117" s="176" t="e">
        <f>(BS117-BH117)/BH117</f>
        <v>#DIV/0!</v>
      </c>
      <c r="CA117" s="203">
        <f>CD117 + ABS(CB117) + ABS(CC117)</f>
        <v>0</v>
      </c>
      <c r="CB117" s="203"/>
      <c r="CC117" s="203"/>
      <c r="CD117" s="203"/>
      <c r="CE117" s="176"/>
      <c r="CF117" s="176"/>
      <c r="CG117" s="176"/>
      <c r="CH117" s="177" t="b">
        <v>0</v>
      </c>
      <c r="CI117" s="177" t="b">
        <v>0</v>
      </c>
      <c r="CJ117" s="176" t="e">
        <f>(CE117-BV117)/BV117</f>
        <v>#DIV/0!</v>
      </c>
      <c r="CK117" s="176" t="e">
        <f>(CD117-BS117)/BS117</f>
        <v>#DIV/0!</v>
      </c>
      <c r="CL117" s="203">
        <f>CO117 + ABS(CM117) + ABS(CN117)</f>
        <v>0</v>
      </c>
      <c r="CM117" s="203"/>
      <c r="CN117" s="203"/>
      <c r="CO117" s="203"/>
      <c r="CP117" s="176"/>
      <c r="CQ117" s="176"/>
      <c r="CR117" s="176"/>
      <c r="CS117" s="177" t="b">
        <v>0</v>
      </c>
      <c r="CT117" s="177" t="b">
        <v>0</v>
      </c>
      <c r="CU117" s="176" t="e">
        <f>(CP117-CE117)/CE117</f>
        <v>#DIV/0!</v>
      </c>
      <c r="CV117" s="176" t="e">
        <f>(CO117-CD117)/CD117</f>
        <v>#DIV/0!</v>
      </c>
      <c r="CW117" s="203">
        <f>CZ117 + ABS(CX117) + ABS(CY117)</f>
        <v>0</v>
      </c>
      <c r="CX117" s="203"/>
      <c r="CY117" s="203"/>
      <c r="CZ117" s="203"/>
      <c r="DA117" s="176"/>
      <c r="DB117" s="176"/>
      <c r="DC117" s="176"/>
      <c r="DD117" s="177" t="b">
        <v>0</v>
      </c>
      <c r="DE117" s="177" t="b">
        <v>0</v>
      </c>
      <c r="DF117" s="176" t="e">
        <f>(DA117-CR117)/CR117</f>
        <v>#DIV/0!</v>
      </c>
      <c r="DG117" s="176" t="e">
        <f>(CZ117-CO117)/CO117</f>
        <v>#DIV/0!</v>
      </c>
      <c r="DH117" s="203">
        <f>DK117 + ABS(DI117) + ABS(DJ117)</f>
        <v>0</v>
      </c>
      <c r="DI117" s="203"/>
      <c r="DJ117" s="203"/>
      <c r="DK117" s="203"/>
      <c r="DL117" s="176"/>
      <c r="DM117" s="176"/>
      <c r="DN117" s="176"/>
      <c r="DO117" s="177" t="b">
        <v>0</v>
      </c>
      <c r="DP117" s="177" t="b">
        <v>0</v>
      </c>
      <c r="DQ117" s="176" t="e">
        <f>(DL117-DA117)/DA117</f>
        <v>#DIV/0!</v>
      </c>
      <c r="DR117" s="176" t="e">
        <f>(DK117-CZ117)/CZ117</f>
        <v>#DIV/0!</v>
      </c>
      <c r="DS117" s="203">
        <f>DV117 + ABS(DT117) + ABS(DU117)</f>
        <v>0</v>
      </c>
      <c r="DT117" s="203"/>
      <c r="DU117" s="203"/>
      <c r="DV117" s="203"/>
      <c r="DW117" s="176"/>
      <c r="DX117" s="176"/>
      <c r="DY117" s="176"/>
      <c r="DZ117" s="177" t="b">
        <v>0</v>
      </c>
      <c r="EA117" s="177" t="b">
        <v>0</v>
      </c>
      <c r="EB117" s="176" t="e">
        <f>(DW117-DN117)/DN117</f>
        <v>#DIV/0!</v>
      </c>
      <c r="EC117" s="176" t="e">
        <f>(DV117-DK117)/DK117</f>
        <v>#DIV/0!</v>
      </c>
      <c r="ED117" s="203">
        <f>EG117 + ABS(EE117) + ABS(EF117)</f>
        <v>0</v>
      </c>
      <c r="EE117" s="203"/>
      <c r="EF117" s="203"/>
      <c r="EG117" s="203"/>
      <c r="EH117" s="176"/>
      <c r="EI117" s="176"/>
      <c r="EJ117" s="176"/>
      <c r="EK117" s="177" t="b">
        <v>0</v>
      </c>
      <c r="EL117" s="177" t="b">
        <v>0</v>
      </c>
      <c r="EM117" s="176" t="e">
        <f>(EH117-DW117)/DW117</f>
        <v>#DIV/0!</v>
      </c>
      <c r="EN117" s="176" t="e">
        <f>(EG117-DV117)/DV117</f>
        <v>#DIV/0!</v>
      </c>
      <c r="EO117" s="203">
        <f>ER117 + ABS(EP117) + ABS(EQ117)</f>
        <v>0</v>
      </c>
      <c r="EP117" s="203"/>
      <c r="EQ117" s="203"/>
      <c r="ER117" s="203"/>
      <c r="ES117" s="176"/>
      <c r="ET117" s="176"/>
      <c r="EU117" s="176"/>
      <c r="EV117" s="177" t="b">
        <v>0</v>
      </c>
      <c r="EW117" s="177" t="b">
        <v>0</v>
      </c>
      <c r="EX117" s="176" t="e">
        <f>(ES117-EJ117)/EJ117</f>
        <v>#DIV/0!</v>
      </c>
      <c r="EY117" s="176" t="e">
        <f>(ER117-EG117)/EG117</f>
        <v>#DIV/0!</v>
      </c>
      <c r="EZ117" s="175"/>
      <c r="FA117" s="175"/>
      <c r="FB117" s="175"/>
      <c r="FC117" s="175"/>
      <c r="FD117" s="175"/>
      <c r="FE117" s="175"/>
      <c r="FF117" s="175"/>
      <c r="FG117" s="175"/>
      <c r="FH117" s="175"/>
      <c r="FI117" s="175"/>
      <c r="FJ117" s="175"/>
      <c r="FK117" s="175"/>
      <c r="FL117" s="175"/>
      <c r="FM117" s="175"/>
      <c r="FN117" s="175"/>
      <c r="FO117" s="175"/>
      <c r="FP117" s="175"/>
      <c r="FQ117" s="801"/>
      <c r="FR117" s="175"/>
      <c r="FS117" s="175"/>
      <c r="FT117" s="175"/>
      <c r="FU117" s="175"/>
      <c r="FV117" s="175"/>
      <c r="FW117" s="175"/>
      <c r="FX117" s="175"/>
      <c r="FY117" s="175"/>
      <c r="FZ117" s="175"/>
      <c r="GA117" s="175"/>
      <c r="GB117" s="175"/>
      <c r="GC117" s="175"/>
      <c r="GD117" s="175"/>
      <c r="GE117" s="175"/>
      <c r="GF117" s="175"/>
      <c r="GG117" s="175"/>
      <c r="GH117" s="175"/>
      <c r="GI117" s="175"/>
      <c r="GJ117" s="175"/>
      <c r="GK117" s="175"/>
      <c r="GL117" s="175"/>
      <c r="GM117" s="175"/>
      <c r="GN117" s="175"/>
      <c r="GO117" s="175"/>
      <c r="GP117" s="175"/>
      <c r="GQ117" s="175"/>
      <c r="GR117" s="175"/>
      <c r="GS117" s="175"/>
      <c r="GT117" s="175"/>
      <c r="GU117" s="175"/>
      <c r="GV117" s="175"/>
      <c r="GW117" s="175"/>
      <c r="GX117" s="175"/>
      <c r="GY117" s="175"/>
      <c r="GZ117" s="175"/>
      <c r="HA117" s="175"/>
      <c r="HB117" s="175"/>
      <c r="HC117" s="175"/>
      <c r="HD117" s="175"/>
      <c r="HE117" s="175"/>
      <c r="HF117" s="175"/>
      <c r="HG117" s="175"/>
      <c r="HH117" s="175"/>
      <c r="HI117" s="175"/>
      <c r="HJ117" s="175"/>
      <c r="HK117" s="175"/>
      <c r="HL117" s="175"/>
      <c r="HM117" s="175"/>
    </row>
    <row r="118" spans="2:221" ht="15">
      <c r="B118" s="175"/>
      <c r="C118" s="800" t="s">
        <v>474</v>
      </c>
      <c r="D118" s="357">
        <v>1450022</v>
      </c>
      <c r="E118" s="357">
        <v>238</v>
      </c>
      <c r="F118" s="357" t="s">
        <v>475</v>
      </c>
      <c r="G118" s="426" t="s">
        <v>476</v>
      </c>
      <c r="H118" s="148" t="s">
        <v>169</v>
      </c>
      <c r="I118" s="448" t="s">
        <v>170</v>
      </c>
      <c r="J118" s="357"/>
      <c r="K118" s="357"/>
      <c r="L118" s="357"/>
      <c r="M118" s="358"/>
      <c r="N118" s="359">
        <v>107</v>
      </c>
      <c r="O118" s="358"/>
      <c r="P118" s="402">
        <v>1221.2</v>
      </c>
      <c r="Q118" s="402"/>
      <c r="R118" s="402">
        <v>24220.45</v>
      </c>
      <c r="S118" s="358">
        <v>880</v>
      </c>
      <c r="T118" s="188" t="s">
        <v>171</v>
      </c>
      <c r="U118" s="358"/>
      <c r="V118" s="358"/>
      <c r="W118" s="358"/>
      <c r="X118" s="402">
        <f t="shared" si="10"/>
        <v>27877.46</v>
      </c>
      <c r="Y118" s="402">
        <v>-1338.12</v>
      </c>
      <c r="Z118" s="402">
        <v>0</v>
      </c>
      <c r="AA118" s="402">
        <v>26539.34</v>
      </c>
      <c r="AB118" s="450">
        <v>950</v>
      </c>
      <c r="AC118" s="173" t="s">
        <v>172</v>
      </c>
      <c r="AD118" s="173" t="s">
        <v>173</v>
      </c>
      <c r="AE118" s="164" t="b">
        <v>1</v>
      </c>
      <c r="AF118" s="164" t="b">
        <v>1</v>
      </c>
      <c r="AG118" s="409">
        <f>(AB118-S118)/S118</f>
        <v>7.9545454545454544E-2</v>
      </c>
      <c r="AH118" s="409">
        <f>(AA118-R118)/R118</f>
        <v>9.5740995728815906E-2</v>
      </c>
      <c r="AI118" s="402">
        <f t="shared" si="8"/>
        <v>27175.97</v>
      </c>
      <c r="AJ118" s="364">
        <v>-1304.45</v>
      </c>
      <c r="AK118" s="364">
        <v>0</v>
      </c>
      <c r="AL118" s="364">
        <v>25871.52</v>
      </c>
      <c r="AM118" s="1069">
        <v>895</v>
      </c>
      <c r="AN118" s="407">
        <v>46122</v>
      </c>
      <c r="AO118" s="148" t="s">
        <v>174</v>
      </c>
      <c r="AP118" s="860" t="b">
        <v>1</v>
      </c>
      <c r="AQ118" s="860" t="b">
        <v>1</v>
      </c>
      <c r="AR118" s="409">
        <f t="shared" si="11"/>
        <v>-5.7894736842105263E-2</v>
      </c>
      <c r="AS118" s="409">
        <f>(AL118-AA118)/AA118</f>
        <v>-2.5163398939084383E-2</v>
      </c>
      <c r="AT118" s="402">
        <f t="shared" si="9"/>
        <v>0</v>
      </c>
      <c r="AU118" s="402"/>
      <c r="AV118" s="402"/>
      <c r="AW118" s="402"/>
      <c r="AX118" s="358"/>
      <c r="AY118" s="358"/>
      <c r="AZ118" s="358"/>
      <c r="BA118" s="164" t="b">
        <v>0</v>
      </c>
      <c r="BB118" s="164" t="b">
        <v>0</v>
      </c>
      <c r="BC118" s="358">
        <f>(AX118-AM118)/AM118</f>
        <v>-1</v>
      </c>
      <c r="BD118" s="358">
        <f>(AW118-AL118)/AL118</f>
        <v>-1</v>
      </c>
      <c r="BE118" s="402">
        <f>BH118 + ABS(BF118) + ABS(BG118)</f>
        <v>0</v>
      </c>
      <c r="BF118" s="402"/>
      <c r="BG118" s="402"/>
      <c r="BH118" s="402"/>
      <c r="BI118" s="358"/>
      <c r="BJ118" s="358"/>
      <c r="BK118" s="358"/>
      <c r="BL118" s="164" t="b">
        <v>0</v>
      </c>
      <c r="BM118" s="164" t="b">
        <v>0</v>
      </c>
      <c r="BN118" s="358" t="e">
        <f>(BI118-AZ118)/AZ118</f>
        <v>#DIV/0!</v>
      </c>
      <c r="BO118" s="358" t="e">
        <f>(BH118-AW118)/AW118</f>
        <v>#DIV/0!</v>
      </c>
      <c r="BP118" s="402">
        <f>BS118 + ABS(BQ118) + ABS(BR118)</f>
        <v>0</v>
      </c>
      <c r="BQ118" s="402"/>
      <c r="BR118" s="402"/>
      <c r="BS118" s="402"/>
      <c r="BT118" s="358"/>
      <c r="BU118" s="358"/>
      <c r="BV118" s="358"/>
      <c r="BW118" s="164" t="b">
        <v>0</v>
      </c>
      <c r="BX118" s="164" t="b">
        <v>0</v>
      </c>
      <c r="BY118" s="358" t="e">
        <f>(BT118-BI118)/BI118</f>
        <v>#DIV/0!</v>
      </c>
      <c r="BZ118" s="358" t="e">
        <f>(BS118-BH118)/BH118</f>
        <v>#DIV/0!</v>
      </c>
      <c r="CA118" s="402">
        <f>CD118 + ABS(CB118) + ABS(CC118)</f>
        <v>0</v>
      </c>
      <c r="CB118" s="402"/>
      <c r="CC118" s="402"/>
      <c r="CD118" s="402"/>
      <c r="CE118" s="358"/>
      <c r="CF118" s="358"/>
      <c r="CG118" s="358"/>
      <c r="CH118" s="164" t="b">
        <v>0</v>
      </c>
      <c r="CI118" s="164" t="b">
        <v>0</v>
      </c>
      <c r="CJ118" s="358" t="e">
        <f>(CE118-BV118)/BV118</f>
        <v>#DIV/0!</v>
      </c>
      <c r="CK118" s="358" t="e">
        <f>(CD118-BS118)/BS118</f>
        <v>#DIV/0!</v>
      </c>
      <c r="CL118" s="402">
        <f>CO118 + ABS(CM118) + ABS(CN118)</f>
        <v>0</v>
      </c>
      <c r="CM118" s="402"/>
      <c r="CN118" s="402"/>
      <c r="CO118" s="402"/>
      <c r="CP118" s="358"/>
      <c r="CQ118" s="358"/>
      <c r="CR118" s="358"/>
      <c r="CS118" s="164" t="b">
        <v>0</v>
      </c>
      <c r="CT118" s="164" t="b">
        <v>0</v>
      </c>
      <c r="CU118" s="358" t="e">
        <f>(CP118-CE118)/CE118</f>
        <v>#DIV/0!</v>
      </c>
      <c r="CV118" s="358" t="e">
        <f>(CO118-CD118)/CD118</f>
        <v>#DIV/0!</v>
      </c>
      <c r="CW118" s="402">
        <f>CZ118 + ABS(CX118) + ABS(CY118)</f>
        <v>0</v>
      </c>
      <c r="CX118" s="402"/>
      <c r="CY118" s="402"/>
      <c r="CZ118" s="402"/>
      <c r="DA118" s="358"/>
      <c r="DB118" s="358"/>
      <c r="DC118" s="358"/>
      <c r="DD118" s="164" t="b">
        <v>0</v>
      </c>
      <c r="DE118" s="164" t="b">
        <v>0</v>
      </c>
      <c r="DF118" s="358" t="e">
        <f>(DA118-CR118)/CR118</f>
        <v>#DIV/0!</v>
      </c>
      <c r="DG118" s="358" t="e">
        <f>(CZ118-CO118)/CO118</f>
        <v>#DIV/0!</v>
      </c>
      <c r="DH118" s="402">
        <f>DK118 + ABS(DI118) + ABS(DJ118)</f>
        <v>0</v>
      </c>
      <c r="DI118" s="402"/>
      <c r="DJ118" s="402"/>
      <c r="DK118" s="402"/>
      <c r="DL118" s="358"/>
      <c r="DM118" s="358"/>
      <c r="DN118" s="358"/>
      <c r="DO118" s="164" t="b">
        <v>0</v>
      </c>
      <c r="DP118" s="164" t="b">
        <v>0</v>
      </c>
      <c r="DQ118" s="358" t="e">
        <f>(DL118-DA118)/DA118</f>
        <v>#DIV/0!</v>
      </c>
      <c r="DR118" s="358" t="e">
        <f>(DK118-CZ118)/CZ118</f>
        <v>#DIV/0!</v>
      </c>
      <c r="DS118" s="402">
        <f>DV118 + ABS(DT118) + ABS(DU118)</f>
        <v>0</v>
      </c>
      <c r="DT118" s="402"/>
      <c r="DU118" s="402"/>
      <c r="DV118" s="402"/>
      <c r="DW118" s="358"/>
      <c r="DX118" s="358"/>
      <c r="DY118" s="358"/>
      <c r="DZ118" s="164" t="b">
        <v>0</v>
      </c>
      <c r="EA118" s="164" t="b">
        <v>0</v>
      </c>
      <c r="EB118" s="358" t="e">
        <f>(DW118-DN118)/DN118</f>
        <v>#DIV/0!</v>
      </c>
      <c r="EC118" s="358" t="e">
        <f>(DV118-DK118)/DK118</f>
        <v>#DIV/0!</v>
      </c>
      <c r="ED118" s="402">
        <f>EG118 + ABS(EE118) + ABS(EF118)</f>
        <v>0</v>
      </c>
      <c r="EE118" s="402"/>
      <c r="EF118" s="402"/>
      <c r="EG118" s="402"/>
      <c r="EH118" s="358"/>
      <c r="EI118" s="358"/>
      <c r="EJ118" s="358"/>
      <c r="EK118" s="164" t="b">
        <v>0</v>
      </c>
      <c r="EL118" s="164" t="b">
        <v>0</v>
      </c>
      <c r="EM118" s="358" t="e">
        <f>(EH118-DW118)/DW118</f>
        <v>#DIV/0!</v>
      </c>
      <c r="EN118" s="358" t="e">
        <f>(EG118-DV118)/DV118</f>
        <v>#DIV/0!</v>
      </c>
      <c r="EO118" s="402">
        <f>ER118 + ABS(EP118) + ABS(EQ118)</f>
        <v>0</v>
      </c>
      <c r="EP118" s="402"/>
      <c r="EQ118" s="402"/>
      <c r="ER118" s="402"/>
      <c r="ES118" s="358"/>
      <c r="ET118" s="358"/>
      <c r="EU118" s="358"/>
      <c r="EV118" s="164" t="b">
        <v>0</v>
      </c>
      <c r="EW118" s="164" t="b">
        <v>0</v>
      </c>
      <c r="EX118" s="358" t="e">
        <f>(ES118-EJ118)/EJ118</f>
        <v>#DIV/0!</v>
      </c>
      <c r="EY118" s="358" t="e">
        <f>(ER118-EG118)/EG118</f>
        <v>#DIV/0!</v>
      </c>
      <c r="EZ118" s="449"/>
      <c r="FA118" s="449"/>
      <c r="FB118" s="449"/>
      <c r="FC118" s="449"/>
      <c r="FD118" s="449"/>
      <c r="FE118" s="449"/>
      <c r="FF118" s="449"/>
      <c r="FG118" s="449"/>
      <c r="FH118" s="449"/>
      <c r="FI118" s="449"/>
      <c r="FJ118" s="449"/>
      <c r="FK118" s="449"/>
      <c r="FL118" s="449"/>
      <c r="FM118" s="449"/>
      <c r="FN118" s="449"/>
      <c r="FO118" s="175"/>
      <c r="FP118" s="175"/>
      <c r="FQ118" s="801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</row>
    <row r="119" spans="2:221" ht="15">
      <c r="B119" s="175"/>
      <c r="C119" s="800" t="s">
        <v>474</v>
      </c>
      <c r="D119" s="357">
        <v>1450022</v>
      </c>
      <c r="E119" s="357">
        <v>238</v>
      </c>
      <c r="F119" s="357" t="s">
        <v>477</v>
      </c>
      <c r="G119" s="426" t="s">
        <v>478</v>
      </c>
      <c r="H119" s="148" t="s">
        <v>169</v>
      </c>
      <c r="I119" s="448" t="s">
        <v>170</v>
      </c>
      <c r="J119" s="357"/>
      <c r="K119" s="357"/>
      <c r="L119" s="357"/>
      <c r="M119" s="358"/>
      <c r="N119" s="361">
        <v>107</v>
      </c>
      <c r="O119" s="358"/>
      <c r="P119" s="402">
        <v>2.6</v>
      </c>
      <c r="Q119" s="402"/>
      <c r="R119" s="402">
        <v>51.52</v>
      </c>
      <c r="S119" s="354"/>
      <c r="T119" s="188" t="s">
        <v>171</v>
      </c>
      <c r="U119" s="358"/>
      <c r="V119" s="358"/>
      <c r="W119" s="358"/>
      <c r="X119" s="402">
        <f t="shared" si="10"/>
        <v>98.54</v>
      </c>
      <c r="Y119" s="402">
        <v>-4.7300000000000004</v>
      </c>
      <c r="Z119" s="402">
        <v>0</v>
      </c>
      <c r="AA119" s="402">
        <v>93.81</v>
      </c>
      <c r="AB119" s="450">
        <v>5</v>
      </c>
      <c r="AC119" s="426" t="s">
        <v>172</v>
      </c>
      <c r="AD119" s="426" t="s">
        <v>173</v>
      </c>
      <c r="AE119" s="164" t="b">
        <v>1</v>
      </c>
      <c r="AF119" s="164" t="b">
        <v>1</v>
      </c>
      <c r="AG119" s="409" t="e">
        <f>(AB119-S119)/S119</f>
        <v>#DIV/0!</v>
      </c>
      <c r="AH119" s="409">
        <f>(AA119-R119)/R119</f>
        <v>0.82084627329192539</v>
      </c>
      <c r="AI119" s="402">
        <f t="shared" si="8"/>
        <v>107.44</v>
      </c>
      <c r="AJ119" s="364">
        <v>-5.16</v>
      </c>
      <c r="AK119" s="364">
        <v>0</v>
      </c>
      <c r="AL119" s="364">
        <v>102.28</v>
      </c>
      <c r="AM119" s="1069">
        <v>5</v>
      </c>
      <c r="AN119" s="407">
        <v>46122</v>
      </c>
      <c r="AO119" s="148" t="s">
        <v>174</v>
      </c>
      <c r="AP119" s="860" t="b">
        <v>1</v>
      </c>
      <c r="AQ119" s="860" t="b">
        <v>1</v>
      </c>
      <c r="AR119" s="409">
        <f t="shared" si="11"/>
        <v>0</v>
      </c>
      <c r="AS119" s="409">
        <f>(AL119-AA119)/AA119</f>
        <v>9.0288881782325969E-2</v>
      </c>
      <c r="AT119" s="402">
        <f t="shared" si="9"/>
        <v>0</v>
      </c>
      <c r="AU119" s="402"/>
      <c r="AV119" s="402"/>
      <c r="AW119" s="402"/>
      <c r="AX119" s="358"/>
      <c r="AY119" s="358"/>
      <c r="AZ119" s="358"/>
      <c r="BA119" s="164" t="b">
        <v>0</v>
      </c>
      <c r="BB119" s="164" t="b">
        <v>0</v>
      </c>
      <c r="BC119" s="358">
        <f>(AX119-AM119)/AM119</f>
        <v>-1</v>
      </c>
      <c r="BD119" s="358">
        <f>(AW119-AL119)/AL119</f>
        <v>-1</v>
      </c>
      <c r="BE119" s="402">
        <f>BH119 + ABS(BF119) + ABS(BG119)</f>
        <v>0</v>
      </c>
      <c r="BF119" s="402"/>
      <c r="BG119" s="402"/>
      <c r="BH119" s="402"/>
      <c r="BI119" s="358"/>
      <c r="BJ119" s="358"/>
      <c r="BK119" s="358"/>
      <c r="BL119" s="164" t="b">
        <v>0</v>
      </c>
      <c r="BM119" s="164" t="b">
        <v>0</v>
      </c>
      <c r="BN119" s="358" t="e">
        <f>(BI119-AZ119)/AZ119</f>
        <v>#DIV/0!</v>
      </c>
      <c r="BO119" s="358" t="e">
        <f>(BH119-AW119)/AW119</f>
        <v>#DIV/0!</v>
      </c>
      <c r="BP119" s="402">
        <f>BS119 + ABS(BQ119) + ABS(BR119)</f>
        <v>0</v>
      </c>
      <c r="BQ119" s="402"/>
      <c r="BR119" s="402"/>
      <c r="BS119" s="402"/>
      <c r="BT119" s="358"/>
      <c r="BU119" s="358"/>
      <c r="BV119" s="358"/>
      <c r="BW119" s="164" t="b">
        <v>0</v>
      </c>
      <c r="BX119" s="164" t="b">
        <v>0</v>
      </c>
      <c r="BY119" s="358" t="e">
        <f>(BT119-BI119)/BI119</f>
        <v>#DIV/0!</v>
      </c>
      <c r="BZ119" s="358" t="e">
        <f>(BS119-BH119)/BH119</f>
        <v>#DIV/0!</v>
      </c>
      <c r="CA119" s="402">
        <f>CD119 + ABS(CB119) + ABS(CC119)</f>
        <v>0</v>
      </c>
      <c r="CB119" s="402"/>
      <c r="CC119" s="402"/>
      <c r="CD119" s="402"/>
      <c r="CE119" s="358"/>
      <c r="CF119" s="358"/>
      <c r="CG119" s="358"/>
      <c r="CH119" s="164" t="b">
        <v>0</v>
      </c>
      <c r="CI119" s="164" t="b">
        <v>0</v>
      </c>
      <c r="CJ119" s="358" t="e">
        <f>(CE119-BV119)/BV119</f>
        <v>#DIV/0!</v>
      </c>
      <c r="CK119" s="358" t="e">
        <f>(CD119-BS119)/BS119</f>
        <v>#DIV/0!</v>
      </c>
      <c r="CL119" s="402">
        <f>CO119 + ABS(CM119) + ABS(CN119)</f>
        <v>0</v>
      </c>
      <c r="CM119" s="402"/>
      <c r="CN119" s="402"/>
      <c r="CO119" s="402"/>
      <c r="CP119" s="358"/>
      <c r="CQ119" s="358"/>
      <c r="CR119" s="358"/>
      <c r="CS119" s="164" t="b">
        <v>0</v>
      </c>
      <c r="CT119" s="164" t="b">
        <v>0</v>
      </c>
      <c r="CU119" s="358" t="e">
        <f>(CP119-CE119)/CE119</f>
        <v>#DIV/0!</v>
      </c>
      <c r="CV119" s="358" t="e">
        <f>(CO119-CD119)/CD119</f>
        <v>#DIV/0!</v>
      </c>
      <c r="CW119" s="402">
        <f>CZ119 + ABS(CX119) + ABS(CY119)</f>
        <v>0</v>
      </c>
      <c r="CX119" s="402"/>
      <c r="CY119" s="402"/>
      <c r="CZ119" s="402"/>
      <c r="DA119" s="358"/>
      <c r="DB119" s="358"/>
      <c r="DC119" s="358"/>
      <c r="DD119" s="164" t="b">
        <v>0</v>
      </c>
      <c r="DE119" s="164" t="b">
        <v>0</v>
      </c>
      <c r="DF119" s="358" t="e">
        <f>(DA119-CR119)/CR119</f>
        <v>#DIV/0!</v>
      </c>
      <c r="DG119" s="358" t="e">
        <f>(CZ119-CO119)/CO119</f>
        <v>#DIV/0!</v>
      </c>
      <c r="DH119" s="402">
        <f>DK119 + ABS(DI119) + ABS(DJ119)</f>
        <v>0</v>
      </c>
      <c r="DI119" s="402"/>
      <c r="DJ119" s="402"/>
      <c r="DK119" s="402"/>
      <c r="DL119" s="358"/>
      <c r="DM119" s="358"/>
      <c r="DN119" s="358"/>
      <c r="DO119" s="164" t="b">
        <v>0</v>
      </c>
      <c r="DP119" s="164" t="b">
        <v>0</v>
      </c>
      <c r="DQ119" s="358" t="e">
        <f>(DL119-DA119)/DA119</f>
        <v>#DIV/0!</v>
      </c>
      <c r="DR119" s="358" t="e">
        <f>(DK119-CZ119)/CZ119</f>
        <v>#DIV/0!</v>
      </c>
      <c r="DS119" s="402">
        <f>DV119 + ABS(DT119) + ABS(DU119)</f>
        <v>0</v>
      </c>
      <c r="DT119" s="402"/>
      <c r="DU119" s="402"/>
      <c r="DV119" s="402"/>
      <c r="DW119" s="358"/>
      <c r="DX119" s="358"/>
      <c r="DY119" s="358"/>
      <c r="DZ119" s="164" t="b">
        <v>0</v>
      </c>
      <c r="EA119" s="164" t="b">
        <v>0</v>
      </c>
      <c r="EB119" s="358" t="e">
        <f>(DW119-DN119)/DN119</f>
        <v>#DIV/0!</v>
      </c>
      <c r="EC119" s="358" t="e">
        <f>(DV119-DK119)/DK119</f>
        <v>#DIV/0!</v>
      </c>
      <c r="ED119" s="402">
        <f>EG119 + ABS(EE119) + ABS(EF119)</f>
        <v>0</v>
      </c>
      <c r="EE119" s="402"/>
      <c r="EF119" s="402"/>
      <c r="EG119" s="402"/>
      <c r="EH119" s="358"/>
      <c r="EI119" s="358"/>
      <c r="EJ119" s="358"/>
      <c r="EK119" s="164" t="b">
        <v>0</v>
      </c>
      <c r="EL119" s="164" t="b">
        <v>0</v>
      </c>
      <c r="EM119" s="358" t="e">
        <f>(EH119-DW119)/DW119</f>
        <v>#DIV/0!</v>
      </c>
      <c r="EN119" s="358" t="e">
        <f>(EG119-DV119)/DV119</f>
        <v>#DIV/0!</v>
      </c>
      <c r="EO119" s="402">
        <f>ER119 + ABS(EP119) + ABS(EQ119)</f>
        <v>0</v>
      </c>
      <c r="EP119" s="402"/>
      <c r="EQ119" s="402"/>
      <c r="ER119" s="402"/>
      <c r="ES119" s="358"/>
      <c r="ET119" s="358"/>
      <c r="EU119" s="358"/>
      <c r="EV119" s="164" t="b">
        <v>0</v>
      </c>
      <c r="EW119" s="164" t="b">
        <v>0</v>
      </c>
      <c r="EX119" s="358" t="e">
        <f>(ES119-EJ119)/EJ119</f>
        <v>#DIV/0!</v>
      </c>
      <c r="EY119" s="358" t="e">
        <f>(ER119-EG119)/EG119</f>
        <v>#DIV/0!</v>
      </c>
      <c r="EZ119" s="449"/>
      <c r="FA119" s="449"/>
      <c r="FB119" s="449"/>
      <c r="FC119" s="449"/>
      <c r="FD119" s="449"/>
      <c r="FE119" s="449"/>
      <c r="FF119" s="449"/>
      <c r="FG119" s="449"/>
      <c r="FH119" s="449"/>
      <c r="FI119" s="449"/>
      <c r="FJ119" s="449"/>
      <c r="FK119" s="449"/>
      <c r="FL119" s="449"/>
      <c r="FM119" s="449"/>
      <c r="FN119" s="449"/>
      <c r="FO119" s="175"/>
      <c r="FP119" s="175"/>
      <c r="FQ119" s="801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</row>
    <row r="120" spans="2:221" ht="15">
      <c r="B120" s="175"/>
      <c r="C120" s="802" t="s">
        <v>479</v>
      </c>
      <c r="D120" s="154">
        <v>1450022</v>
      </c>
      <c r="E120" s="154">
        <v>81</v>
      </c>
      <c r="F120" s="154" t="s">
        <v>480</v>
      </c>
      <c r="G120" s="255" t="s">
        <v>481</v>
      </c>
      <c r="H120" s="171" t="s">
        <v>169</v>
      </c>
      <c r="I120" s="445" t="s">
        <v>170</v>
      </c>
      <c r="J120" s="154"/>
      <c r="K120" s="154"/>
      <c r="L120" s="154"/>
      <c r="M120" s="176"/>
      <c r="N120" s="193">
        <v>107</v>
      </c>
      <c r="O120" s="176"/>
      <c r="P120" s="203">
        <v>4241.8599999999997</v>
      </c>
      <c r="Q120" s="203"/>
      <c r="R120" s="203">
        <v>84130.19</v>
      </c>
      <c r="S120" s="176">
        <v>2960</v>
      </c>
      <c r="T120" s="188" t="s">
        <v>171</v>
      </c>
      <c r="U120" s="176"/>
      <c r="V120" s="176"/>
      <c r="W120" s="176"/>
      <c r="X120" s="203">
        <f t="shared" si="10"/>
        <v>85921.39</v>
      </c>
      <c r="Y120" s="203">
        <v>-4124.2299999999996</v>
      </c>
      <c r="Z120" s="203">
        <v>0</v>
      </c>
      <c r="AA120" s="203">
        <v>81797.16</v>
      </c>
      <c r="AB120" s="446">
        <v>2879</v>
      </c>
      <c r="AC120" s="444" t="s">
        <v>172</v>
      </c>
      <c r="AD120" s="444" t="s">
        <v>173</v>
      </c>
      <c r="AE120" s="177" t="b">
        <v>1</v>
      </c>
      <c r="AF120" s="177" t="b">
        <v>1</v>
      </c>
      <c r="AG120" s="392">
        <f>(AB120-S120)/S120</f>
        <v>-2.7364864864864866E-2</v>
      </c>
      <c r="AH120" s="392">
        <f>(AA120-R120)/R120</f>
        <v>-2.7731186628723873E-2</v>
      </c>
      <c r="AI120" s="203">
        <f t="shared" si="8"/>
        <v>75761.990000000005</v>
      </c>
      <c r="AJ120" s="368">
        <v>-3636.58</v>
      </c>
      <c r="AK120" s="368">
        <v>0</v>
      </c>
      <c r="AL120" s="368">
        <v>72125.41</v>
      </c>
      <c r="AM120" s="1068">
        <v>2453</v>
      </c>
      <c r="AN120" s="172">
        <v>46122</v>
      </c>
      <c r="AO120" s="171" t="s">
        <v>174</v>
      </c>
      <c r="AP120" s="861" t="b">
        <v>1</v>
      </c>
      <c r="AQ120" s="861" t="b">
        <v>1</v>
      </c>
      <c r="AR120" s="392">
        <f t="shared" si="11"/>
        <v>-0.1479680444598819</v>
      </c>
      <c r="AS120" s="392">
        <f>(AL120-AA120)/AA120</f>
        <v>-0.1182406577441075</v>
      </c>
      <c r="AT120" s="203">
        <f t="shared" si="9"/>
        <v>0</v>
      </c>
      <c r="AU120" s="203"/>
      <c r="AV120" s="203"/>
      <c r="AW120" s="203"/>
      <c r="AX120" s="176"/>
      <c r="AY120" s="176"/>
      <c r="AZ120" s="176"/>
      <c r="BA120" s="177" t="b">
        <v>0</v>
      </c>
      <c r="BB120" s="177" t="b">
        <v>0</v>
      </c>
      <c r="BC120" s="176">
        <f>(AX120-AM120)/AM120</f>
        <v>-1</v>
      </c>
      <c r="BD120" s="176">
        <f>(AW120-AL120)/AL120</f>
        <v>-1</v>
      </c>
      <c r="BE120" s="203">
        <f>BH120 + ABS(BF120) + ABS(BG120)</f>
        <v>0</v>
      </c>
      <c r="BF120" s="203"/>
      <c r="BG120" s="203"/>
      <c r="BH120" s="203"/>
      <c r="BI120" s="176"/>
      <c r="BJ120" s="176"/>
      <c r="BK120" s="176"/>
      <c r="BL120" s="177" t="b">
        <v>0</v>
      </c>
      <c r="BM120" s="177" t="b">
        <v>0</v>
      </c>
      <c r="BN120" s="176" t="e">
        <f>(BI120-AZ120)/AZ120</f>
        <v>#DIV/0!</v>
      </c>
      <c r="BO120" s="176" t="e">
        <f>(BH120-AW120)/AW120</f>
        <v>#DIV/0!</v>
      </c>
      <c r="BP120" s="203">
        <f>BS120 + ABS(BQ120) + ABS(BR120)</f>
        <v>0</v>
      </c>
      <c r="BQ120" s="203"/>
      <c r="BR120" s="203"/>
      <c r="BS120" s="203"/>
      <c r="BT120" s="176"/>
      <c r="BU120" s="176"/>
      <c r="BV120" s="176"/>
      <c r="BW120" s="177" t="b">
        <v>0</v>
      </c>
      <c r="BX120" s="177" t="b">
        <v>0</v>
      </c>
      <c r="BY120" s="176" t="e">
        <f>(BT120-BI120)/BI120</f>
        <v>#DIV/0!</v>
      </c>
      <c r="BZ120" s="176" t="e">
        <f>(BS120-BH120)/BH120</f>
        <v>#DIV/0!</v>
      </c>
      <c r="CA120" s="203">
        <f>CD120 + ABS(CB120) + ABS(CC120)</f>
        <v>0</v>
      </c>
      <c r="CB120" s="203"/>
      <c r="CC120" s="203"/>
      <c r="CD120" s="203"/>
      <c r="CE120" s="176"/>
      <c r="CF120" s="176"/>
      <c r="CG120" s="176"/>
      <c r="CH120" s="177" t="b">
        <v>0</v>
      </c>
      <c r="CI120" s="177" t="b">
        <v>0</v>
      </c>
      <c r="CJ120" s="176" t="e">
        <f>(CE120-BV120)/BV120</f>
        <v>#DIV/0!</v>
      </c>
      <c r="CK120" s="176" t="e">
        <f>(CD120-BS120)/BS120</f>
        <v>#DIV/0!</v>
      </c>
      <c r="CL120" s="203">
        <f>CO120 + ABS(CM120) + ABS(CN120)</f>
        <v>0</v>
      </c>
      <c r="CM120" s="203"/>
      <c r="CN120" s="203"/>
      <c r="CO120" s="203"/>
      <c r="CP120" s="176"/>
      <c r="CQ120" s="176"/>
      <c r="CR120" s="176"/>
      <c r="CS120" s="177" t="b">
        <v>0</v>
      </c>
      <c r="CT120" s="177" t="b">
        <v>0</v>
      </c>
      <c r="CU120" s="176" t="e">
        <f>(CP120-CE120)/CE120</f>
        <v>#DIV/0!</v>
      </c>
      <c r="CV120" s="176" t="e">
        <f>(CO120-CD120)/CD120</f>
        <v>#DIV/0!</v>
      </c>
      <c r="CW120" s="203">
        <f>CZ120 + ABS(CX120) + ABS(CY120)</f>
        <v>0</v>
      </c>
      <c r="CX120" s="203"/>
      <c r="CY120" s="203"/>
      <c r="CZ120" s="203"/>
      <c r="DA120" s="176"/>
      <c r="DB120" s="176"/>
      <c r="DC120" s="176"/>
      <c r="DD120" s="177" t="b">
        <v>0</v>
      </c>
      <c r="DE120" s="177" t="b">
        <v>0</v>
      </c>
      <c r="DF120" s="176" t="e">
        <f>(DA120-CR120)/CR120</f>
        <v>#DIV/0!</v>
      </c>
      <c r="DG120" s="176" t="e">
        <f>(CZ120-CO120)/CO120</f>
        <v>#DIV/0!</v>
      </c>
      <c r="DH120" s="203">
        <f>DK120 + ABS(DI120) + ABS(DJ120)</f>
        <v>0</v>
      </c>
      <c r="DI120" s="203"/>
      <c r="DJ120" s="203"/>
      <c r="DK120" s="203"/>
      <c r="DL120" s="176"/>
      <c r="DM120" s="176"/>
      <c r="DN120" s="176"/>
      <c r="DO120" s="177" t="b">
        <v>0</v>
      </c>
      <c r="DP120" s="177" t="b">
        <v>0</v>
      </c>
      <c r="DQ120" s="176" t="e">
        <f>(DL120-DA120)/DA120</f>
        <v>#DIV/0!</v>
      </c>
      <c r="DR120" s="176" t="e">
        <f>(DK120-CZ120)/CZ120</f>
        <v>#DIV/0!</v>
      </c>
      <c r="DS120" s="203">
        <f>DV120 + ABS(DT120) + ABS(DU120)</f>
        <v>0</v>
      </c>
      <c r="DT120" s="203"/>
      <c r="DU120" s="203"/>
      <c r="DV120" s="203"/>
      <c r="DW120" s="176"/>
      <c r="DX120" s="176"/>
      <c r="DY120" s="176"/>
      <c r="DZ120" s="177" t="b">
        <v>0</v>
      </c>
      <c r="EA120" s="177" t="b">
        <v>0</v>
      </c>
      <c r="EB120" s="176" t="e">
        <f>(DW120-DN120)/DN120</f>
        <v>#DIV/0!</v>
      </c>
      <c r="EC120" s="176" t="e">
        <f>(DV120-DK120)/DK120</f>
        <v>#DIV/0!</v>
      </c>
      <c r="ED120" s="203">
        <f>EG120 + ABS(EE120) + ABS(EF120)</f>
        <v>0</v>
      </c>
      <c r="EE120" s="203"/>
      <c r="EF120" s="203"/>
      <c r="EG120" s="203"/>
      <c r="EH120" s="176"/>
      <c r="EI120" s="176"/>
      <c r="EJ120" s="176"/>
      <c r="EK120" s="177" t="b">
        <v>0</v>
      </c>
      <c r="EL120" s="177" t="b">
        <v>0</v>
      </c>
      <c r="EM120" s="176" t="e">
        <f>(EH120-DW120)/DW120</f>
        <v>#DIV/0!</v>
      </c>
      <c r="EN120" s="176" t="e">
        <f>(EG120-DV120)/DV120</f>
        <v>#DIV/0!</v>
      </c>
      <c r="EO120" s="203">
        <f>ER120 + ABS(EP120) + ABS(EQ120)</f>
        <v>0</v>
      </c>
      <c r="EP120" s="203"/>
      <c r="EQ120" s="203"/>
      <c r="ER120" s="203"/>
      <c r="ES120" s="176"/>
      <c r="ET120" s="176"/>
      <c r="EU120" s="176"/>
      <c r="EV120" s="177" t="b">
        <v>0</v>
      </c>
      <c r="EW120" s="177" t="b">
        <v>0</v>
      </c>
      <c r="EX120" s="176" t="e">
        <f>(ES120-EJ120)/EJ120</f>
        <v>#DIV/0!</v>
      </c>
      <c r="EY120" s="176" t="e">
        <f>(ER120-EG120)/EG120</f>
        <v>#DIV/0!</v>
      </c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801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</row>
    <row r="121" spans="2:221" ht="15">
      <c r="B121" s="175"/>
      <c r="C121" s="800" t="s">
        <v>482</v>
      </c>
      <c r="D121" s="357">
        <v>1450022</v>
      </c>
      <c r="E121" s="357">
        <v>186</v>
      </c>
      <c r="F121" s="357" t="s">
        <v>483</v>
      </c>
      <c r="G121" s="426" t="s">
        <v>484</v>
      </c>
      <c r="H121" s="148" t="s">
        <v>169</v>
      </c>
      <c r="I121" s="448" t="s">
        <v>170</v>
      </c>
      <c r="J121" s="357"/>
      <c r="K121" s="357"/>
      <c r="L121" s="357"/>
      <c r="M121" s="358"/>
      <c r="N121" s="361">
        <v>107</v>
      </c>
      <c r="O121" s="358"/>
      <c r="P121" s="402">
        <v>662.09</v>
      </c>
      <c r="Q121" s="402"/>
      <c r="R121" s="402">
        <v>13131.39</v>
      </c>
      <c r="S121" s="358">
        <v>495</v>
      </c>
      <c r="T121" s="188" t="s">
        <v>171</v>
      </c>
      <c r="U121" s="358"/>
      <c r="V121" s="358"/>
      <c r="W121" s="358"/>
      <c r="X121" s="402">
        <f t="shared" si="10"/>
        <v>24382.73</v>
      </c>
      <c r="Y121" s="402">
        <v>-1170.3699999999999</v>
      </c>
      <c r="Z121" s="402">
        <v>0</v>
      </c>
      <c r="AA121" s="402">
        <v>23212.36</v>
      </c>
      <c r="AB121" s="357">
        <v>845</v>
      </c>
      <c r="AC121" s="173" t="s">
        <v>172</v>
      </c>
      <c r="AD121" s="173" t="s">
        <v>173</v>
      </c>
      <c r="AE121" s="164" t="b">
        <v>1</v>
      </c>
      <c r="AF121" s="164" t="b">
        <v>1</v>
      </c>
      <c r="AG121" s="409">
        <f>(AB121-S121)/S121</f>
        <v>0.70707070707070707</v>
      </c>
      <c r="AH121" s="409">
        <f>(AA121-R121)/R121</f>
        <v>0.76770014446300061</v>
      </c>
      <c r="AI121" s="402">
        <f t="shared" si="8"/>
        <v>18707.849999999999</v>
      </c>
      <c r="AJ121" s="364">
        <v>-897.98</v>
      </c>
      <c r="AK121" s="364">
        <v>0</v>
      </c>
      <c r="AL121" s="364">
        <v>17809.87</v>
      </c>
      <c r="AM121" s="1069">
        <v>636</v>
      </c>
      <c r="AN121" s="407">
        <v>46122</v>
      </c>
      <c r="AO121" s="148" t="s">
        <v>174</v>
      </c>
      <c r="AP121" s="860" t="b">
        <v>1</v>
      </c>
      <c r="AQ121" s="860" t="b">
        <v>1</v>
      </c>
      <c r="AR121" s="409">
        <f t="shared" si="11"/>
        <v>-0.24733727810650888</v>
      </c>
      <c r="AS121" s="409">
        <f>(AL121-AA121)/AA121</f>
        <v>-0.23274195299400843</v>
      </c>
      <c r="AT121" s="402">
        <f t="shared" si="9"/>
        <v>0</v>
      </c>
      <c r="AU121" s="402"/>
      <c r="AV121" s="402"/>
      <c r="AW121" s="402"/>
      <c r="AX121" s="358"/>
      <c r="AY121" s="358"/>
      <c r="AZ121" s="358"/>
      <c r="BA121" s="164" t="b">
        <v>0</v>
      </c>
      <c r="BB121" s="164" t="b">
        <v>0</v>
      </c>
      <c r="BC121" s="358">
        <f>(AX121-AM121)/AM121</f>
        <v>-1</v>
      </c>
      <c r="BD121" s="358">
        <f>(AW121-AL121)/AL121</f>
        <v>-1</v>
      </c>
      <c r="BE121" s="402">
        <f>BH121 + ABS(BF121) + ABS(BG121)</f>
        <v>0</v>
      </c>
      <c r="BF121" s="402"/>
      <c r="BG121" s="402"/>
      <c r="BH121" s="402"/>
      <c r="BI121" s="358"/>
      <c r="BJ121" s="358"/>
      <c r="BK121" s="358"/>
      <c r="BL121" s="164" t="b">
        <v>0</v>
      </c>
      <c r="BM121" s="164" t="b">
        <v>0</v>
      </c>
      <c r="BN121" s="358" t="e">
        <f>(BI121-AZ121)/AZ121</f>
        <v>#DIV/0!</v>
      </c>
      <c r="BO121" s="358" t="e">
        <f>(BH121-AW121)/AW121</f>
        <v>#DIV/0!</v>
      </c>
      <c r="BP121" s="402">
        <f>BS121 + ABS(BQ121) + ABS(BR121)</f>
        <v>0</v>
      </c>
      <c r="BQ121" s="402"/>
      <c r="BR121" s="402"/>
      <c r="BS121" s="402"/>
      <c r="BT121" s="358"/>
      <c r="BU121" s="358"/>
      <c r="BV121" s="358"/>
      <c r="BW121" s="164" t="b">
        <v>0</v>
      </c>
      <c r="BX121" s="164" t="b">
        <v>0</v>
      </c>
      <c r="BY121" s="358" t="e">
        <f>(BT121-BI121)/BI121</f>
        <v>#DIV/0!</v>
      </c>
      <c r="BZ121" s="358" t="e">
        <f>(BS121-BH121)/BH121</f>
        <v>#DIV/0!</v>
      </c>
      <c r="CA121" s="402">
        <f>CD121 + ABS(CB121) + ABS(CC121)</f>
        <v>0</v>
      </c>
      <c r="CB121" s="402"/>
      <c r="CC121" s="402"/>
      <c r="CD121" s="402"/>
      <c r="CE121" s="358"/>
      <c r="CF121" s="358"/>
      <c r="CG121" s="358"/>
      <c r="CH121" s="164" t="b">
        <v>0</v>
      </c>
      <c r="CI121" s="164" t="b">
        <v>0</v>
      </c>
      <c r="CJ121" s="358" t="e">
        <f>(CE121-BV121)/BV121</f>
        <v>#DIV/0!</v>
      </c>
      <c r="CK121" s="358" t="e">
        <f>(CD121-BS121)/BS121</f>
        <v>#DIV/0!</v>
      </c>
      <c r="CL121" s="402">
        <f>CO121 + ABS(CM121) + ABS(CN121)</f>
        <v>0</v>
      </c>
      <c r="CM121" s="402"/>
      <c r="CN121" s="402"/>
      <c r="CO121" s="402"/>
      <c r="CP121" s="358"/>
      <c r="CQ121" s="358"/>
      <c r="CR121" s="358"/>
      <c r="CS121" s="164" t="b">
        <v>0</v>
      </c>
      <c r="CT121" s="164" t="b">
        <v>0</v>
      </c>
      <c r="CU121" s="358" t="e">
        <f>(CP121-CE121)/CE121</f>
        <v>#DIV/0!</v>
      </c>
      <c r="CV121" s="358" t="e">
        <f>(CO121-CD121)/CD121</f>
        <v>#DIV/0!</v>
      </c>
      <c r="CW121" s="402">
        <f>CZ121 + ABS(CX121) + ABS(CY121)</f>
        <v>0</v>
      </c>
      <c r="CX121" s="402"/>
      <c r="CY121" s="402"/>
      <c r="CZ121" s="402"/>
      <c r="DA121" s="358"/>
      <c r="DB121" s="358"/>
      <c r="DC121" s="358"/>
      <c r="DD121" s="164" t="b">
        <v>0</v>
      </c>
      <c r="DE121" s="164" t="b">
        <v>0</v>
      </c>
      <c r="DF121" s="358" t="e">
        <f>(DA121-CR121)/CR121</f>
        <v>#DIV/0!</v>
      </c>
      <c r="DG121" s="358" t="e">
        <f>(CZ121-CO121)/CO121</f>
        <v>#DIV/0!</v>
      </c>
      <c r="DH121" s="402">
        <f>DK121 + ABS(DI121) + ABS(DJ121)</f>
        <v>0</v>
      </c>
      <c r="DI121" s="402"/>
      <c r="DJ121" s="402"/>
      <c r="DK121" s="402"/>
      <c r="DL121" s="358"/>
      <c r="DM121" s="358"/>
      <c r="DN121" s="358"/>
      <c r="DO121" s="164" t="b">
        <v>0</v>
      </c>
      <c r="DP121" s="164" t="b">
        <v>0</v>
      </c>
      <c r="DQ121" s="358" t="e">
        <f>(DL121-DA121)/DA121</f>
        <v>#DIV/0!</v>
      </c>
      <c r="DR121" s="358" t="e">
        <f>(DK121-CZ121)/CZ121</f>
        <v>#DIV/0!</v>
      </c>
      <c r="DS121" s="402">
        <f>DV121 + ABS(DT121) + ABS(DU121)</f>
        <v>0</v>
      </c>
      <c r="DT121" s="402"/>
      <c r="DU121" s="402"/>
      <c r="DV121" s="402"/>
      <c r="DW121" s="358"/>
      <c r="DX121" s="358"/>
      <c r="DY121" s="358"/>
      <c r="DZ121" s="164" t="b">
        <v>0</v>
      </c>
      <c r="EA121" s="164" t="b">
        <v>0</v>
      </c>
      <c r="EB121" s="358" t="e">
        <f>(DW121-DN121)/DN121</f>
        <v>#DIV/0!</v>
      </c>
      <c r="EC121" s="358" t="e">
        <f>(DV121-DK121)/DK121</f>
        <v>#DIV/0!</v>
      </c>
      <c r="ED121" s="402">
        <f>EG121 + ABS(EE121) + ABS(EF121)</f>
        <v>0</v>
      </c>
      <c r="EE121" s="402"/>
      <c r="EF121" s="402"/>
      <c r="EG121" s="402"/>
      <c r="EH121" s="358"/>
      <c r="EI121" s="358"/>
      <c r="EJ121" s="358"/>
      <c r="EK121" s="164" t="b">
        <v>0</v>
      </c>
      <c r="EL121" s="164" t="b">
        <v>0</v>
      </c>
      <c r="EM121" s="358" t="e">
        <f>(EH121-DW121)/DW121</f>
        <v>#DIV/0!</v>
      </c>
      <c r="EN121" s="358" t="e">
        <f>(EG121-DV121)/DV121</f>
        <v>#DIV/0!</v>
      </c>
      <c r="EO121" s="402">
        <f>ER121 + ABS(EP121) + ABS(EQ121)</f>
        <v>0</v>
      </c>
      <c r="EP121" s="402"/>
      <c r="EQ121" s="402"/>
      <c r="ER121" s="402"/>
      <c r="ES121" s="358"/>
      <c r="ET121" s="358"/>
      <c r="EU121" s="358"/>
      <c r="EV121" s="164" t="b">
        <v>0</v>
      </c>
      <c r="EW121" s="164" t="b">
        <v>0</v>
      </c>
      <c r="EX121" s="358" t="e">
        <f>(ES121-EJ121)/EJ121</f>
        <v>#DIV/0!</v>
      </c>
      <c r="EY121" s="358" t="e">
        <f>(ER121-EG121)/EG121</f>
        <v>#DIV/0!</v>
      </c>
      <c r="EZ121" s="449"/>
      <c r="FA121" s="449"/>
      <c r="FB121" s="449"/>
      <c r="FC121" s="449"/>
      <c r="FD121" s="449"/>
      <c r="FE121" s="449"/>
      <c r="FF121" s="449"/>
      <c r="FG121" s="449"/>
      <c r="FH121" s="449"/>
      <c r="FI121" s="449"/>
      <c r="FJ121" s="449"/>
      <c r="FK121" s="449"/>
      <c r="FL121" s="449"/>
      <c r="FM121" s="449"/>
      <c r="FN121" s="449"/>
      <c r="FO121" s="449"/>
      <c r="FP121" s="449"/>
      <c r="FQ121" s="801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</row>
    <row r="122" spans="2:221" ht="15">
      <c r="B122" s="175"/>
      <c r="C122" s="802" t="s">
        <v>485</v>
      </c>
      <c r="D122" s="154">
        <v>1450022</v>
      </c>
      <c r="E122" s="154">
        <v>190</v>
      </c>
      <c r="F122" s="154" t="s">
        <v>486</v>
      </c>
      <c r="G122" s="255" t="s">
        <v>487</v>
      </c>
      <c r="H122" s="171" t="s">
        <v>169</v>
      </c>
      <c r="I122" s="445" t="s">
        <v>170</v>
      </c>
      <c r="J122" s="154"/>
      <c r="K122" s="154"/>
      <c r="L122" s="154"/>
      <c r="M122" s="176"/>
      <c r="N122" s="193">
        <v>107</v>
      </c>
      <c r="O122" s="176"/>
      <c r="P122" s="203">
        <v>1516</v>
      </c>
      <c r="Q122" s="203"/>
      <c r="R122" s="203">
        <v>30067.41</v>
      </c>
      <c r="S122" s="176">
        <v>1083</v>
      </c>
      <c r="T122" s="188" t="s">
        <v>171</v>
      </c>
      <c r="U122" s="176"/>
      <c r="V122" s="176"/>
      <c r="W122" s="176"/>
      <c r="X122" s="203">
        <f t="shared" si="10"/>
        <v>28285.62</v>
      </c>
      <c r="Y122" s="203">
        <v>-1357.71</v>
      </c>
      <c r="Z122" s="203">
        <v>0</v>
      </c>
      <c r="AA122" s="203">
        <v>26927.91</v>
      </c>
      <c r="AB122" s="154">
        <v>974</v>
      </c>
      <c r="AC122" s="444" t="s">
        <v>172</v>
      </c>
      <c r="AD122" s="444" t="s">
        <v>173</v>
      </c>
      <c r="AE122" s="177" t="b">
        <v>1</v>
      </c>
      <c r="AF122" s="177" t="b">
        <v>1</v>
      </c>
      <c r="AG122" s="392">
        <f>(AB122-S122)/S122</f>
        <v>-0.10064635272391505</v>
      </c>
      <c r="AH122" s="392">
        <f>(AA122-R122)/R122</f>
        <v>-0.10441537864418651</v>
      </c>
      <c r="AI122" s="203">
        <f t="shared" si="8"/>
        <v>24355.16</v>
      </c>
      <c r="AJ122" s="368">
        <v>-1169.05</v>
      </c>
      <c r="AK122" s="368">
        <v>0</v>
      </c>
      <c r="AL122" s="368">
        <v>23186.11</v>
      </c>
      <c r="AM122" s="1068">
        <v>824</v>
      </c>
      <c r="AN122" s="172">
        <v>46122</v>
      </c>
      <c r="AO122" s="171" t="s">
        <v>174</v>
      </c>
      <c r="AP122" s="861" t="b">
        <v>1</v>
      </c>
      <c r="AQ122" s="861" t="b">
        <v>1</v>
      </c>
      <c r="AR122" s="392">
        <f t="shared" si="11"/>
        <v>-0.1540041067761807</v>
      </c>
      <c r="AS122" s="392">
        <f>(AL122-AA122)/AA122</f>
        <v>-0.1389561982344712</v>
      </c>
      <c r="AT122" s="203">
        <f t="shared" si="9"/>
        <v>0</v>
      </c>
      <c r="AU122" s="203"/>
      <c r="AV122" s="203"/>
      <c r="AW122" s="203"/>
      <c r="AX122" s="176"/>
      <c r="AY122" s="176"/>
      <c r="AZ122" s="176"/>
      <c r="BA122" s="177" t="b">
        <v>0</v>
      </c>
      <c r="BB122" s="177" t="b">
        <v>0</v>
      </c>
      <c r="BC122" s="176">
        <f>(AX122-AM122)/AM122</f>
        <v>-1</v>
      </c>
      <c r="BD122" s="176">
        <f>(AW122-AL122)/AL122</f>
        <v>-1</v>
      </c>
      <c r="BE122" s="203">
        <f>BH122 + ABS(BF122) + ABS(BG122)</f>
        <v>0</v>
      </c>
      <c r="BF122" s="203"/>
      <c r="BG122" s="203"/>
      <c r="BH122" s="203"/>
      <c r="BI122" s="176"/>
      <c r="BJ122" s="176"/>
      <c r="BK122" s="176"/>
      <c r="BL122" s="177" t="b">
        <v>0</v>
      </c>
      <c r="BM122" s="177" t="b">
        <v>0</v>
      </c>
      <c r="BN122" s="176" t="e">
        <f>(BI122-AZ122)/AZ122</f>
        <v>#DIV/0!</v>
      </c>
      <c r="BO122" s="176" t="e">
        <f>(BH122-AW122)/AW122</f>
        <v>#DIV/0!</v>
      </c>
      <c r="BP122" s="203">
        <f>BS122 + ABS(BQ122) + ABS(BR122)</f>
        <v>0</v>
      </c>
      <c r="BQ122" s="203"/>
      <c r="BR122" s="203"/>
      <c r="BS122" s="203"/>
      <c r="BT122" s="176"/>
      <c r="BU122" s="176"/>
      <c r="BV122" s="176"/>
      <c r="BW122" s="177" t="b">
        <v>0</v>
      </c>
      <c r="BX122" s="177" t="b">
        <v>0</v>
      </c>
      <c r="BY122" s="176" t="e">
        <f>(BT122-BI122)/BI122</f>
        <v>#DIV/0!</v>
      </c>
      <c r="BZ122" s="176" t="e">
        <f>(BS122-BH122)/BH122</f>
        <v>#DIV/0!</v>
      </c>
      <c r="CA122" s="203">
        <f>CD122 + ABS(CB122) + ABS(CC122)</f>
        <v>0</v>
      </c>
      <c r="CB122" s="203"/>
      <c r="CC122" s="203"/>
      <c r="CD122" s="203"/>
      <c r="CE122" s="176"/>
      <c r="CF122" s="176"/>
      <c r="CG122" s="176"/>
      <c r="CH122" s="177" t="b">
        <v>0</v>
      </c>
      <c r="CI122" s="177" t="b">
        <v>0</v>
      </c>
      <c r="CJ122" s="176" t="e">
        <f>(CE122-BV122)/BV122</f>
        <v>#DIV/0!</v>
      </c>
      <c r="CK122" s="176" t="e">
        <f>(CD122-BS122)/BS122</f>
        <v>#DIV/0!</v>
      </c>
      <c r="CL122" s="203">
        <f>CO122 + ABS(CM122) + ABS(CN122)</f>
        <v>0</v>
      </c>
      <c r="CM122" s="203"/>
      <c r="CN122" s="203"/>
      <c r="CO122" s="203"/>
      <c r="CP122" s="176"/>
      <c r="CQ122" s="176"/>
      <c r="CR122" s="176"/>
      <c r="CS122" s="177" t="b">
        <v>0</v>
      </c>
      <c r="CT122" s="177" t="b">
        <v>0</v>
      </c>
      <c r="CU122" s="176" t="e">
        <f>(CP122-CE122)/CE122</f>
        <v>#DIV/0!</v>
      </c>
      <c r="CV122" s="176" t="e">
        <f>(CO122-CD122)/CD122</f>
        <v>#DIV/0!</v>
      </c>
      <c r="CW122" s="203">
        <f>CZ122 + ABS(CX122) + ABS(CY122)</f>
        <v>0</v>
      </c>
      <c r="CX122" s="203"/>
      <c r="CY122" s="203"/>
      <c r="CZ122" s="203"/>
      <c r="DA122" s="176"/>
      <c r="DB122" s="176"/>
      <c r="DC122" s="176"/>
      <c r="DD122" s="177" t="b">
        <v>0</v>
      </c>
      <c r="DE122" s="177" t="b">
        <v>0</v>
      </c>
      <c r="DF122" s="176" t="e">
        <f>(DA122-CR122)/CR122</f>
        <v>#DIV/0!</v>
      </c>
      <c r="DG122" s="176" t="e">
        <f>(CZ122-CO122)/CO122</f>
        <v>#DIV/0!</v>
      </c>
      <c r="DH122" s="203">
        <f>DK122 + ABS(DI122) + ABS(DJ122)</f>
        <v>0</v>
      </c>
      <c r="DI122" s="203"/>
      <c r="DJ122" s="203"/>
      <c r="DK122" s="203"/>
      <c r="DL122" s="176"/>
      <c r="DM122" s="176"/>
      <c r="DN122" s="176"/>
      <c r="DO122" s="177" t="b">
        <v>0</v>
      </c>
      <c r="DP122" s="177" t="b">
        <v>0</v>
      </c>
      <c r="DQ122" s="176" t="e">
        <f>(DL122-DA122)/DA122</f>
        <v>#DIV/0!</v>
      </c>
      <c r="DR122" s="176" t="e">
        <f>(DK122-CZ122)/CZ122</f>
        <v>#DIV/0!</v>
      </c>
      <c r="DS122" s="203">
        <f>DV122 + ABS(DT122) + ABS(DU122)</f>
        <v>0</v>
      </c>
      <c r="DT122" s="203"/>
      <c r="DU122" s="203"/>
      <c r="DV122" s="203"/>
      <c r="DW122" s="176"/>
      <c r="DX122" s="176"/>
      <c r="DY122" s="176"/>
      <c r="DZ122" s="177" t="b">
        <v>0</v>
      </c>
      <c r="EA122" s="177" t="b">
        <v>0</v>
      </c>
      <c r="EB122" s="176" t="e">
        <f>(DW122-DN122)/DN122</f>
        <v>#DIV/0!</v>
      </c>
      <c r="EC122" s="176" t="e">
        <f>(DV122-DK122)/DK122</f>
        <v>#DIV/0!</v>
      </c>
      <c r="ED122" s="203">
        <f>EG122 + ABS(EE122) + ABS(EF122)</f>
        <v>0</v>
      </c>
      <c r="EE122" s="203"/>
      <c r="EF122" s="203"/>
      <c r="EG122" s="203"/>
      <c r="EH122" s="176"/>
      <c r="EI122" s="176"/>
      <c r="EJ122" s="176"/>
      <c r="EK122" s="177" t="b">
        <v>0</v>
      </c>
      <c r="EL122" s="177" t="b">
        <v>0</v>
      </c>
      <c r="EM122" s="176" t="e">
        <f>(EH122-DW122)/DW122</f>
        <v>#DIV/0!</v>
      </c>
      <c r="EN122" s="176" t="e">
        <f>(EG122-DV122)/DV122</f>
        <v>#DIV/0!</v>
      </c>
      <c r="EO122" s="203">
        <f>ER122 + ABS(EP122) + ABS(EQ122)</f>
        <v>0</v>
      </c>
      <c r="EP122" s="203"/>
      <c r="EQ122" s="203"/>
      <c r="ER122" s="203"/>
      <c r="ES122" s="176"/>
      <c r="ET122" s="176"/>
      <c r="EU122" s="176"/>
      <c r="EV122" s="177" t="b">
        <v>0</v>
      </c>
      <c r="EW122" s="177" t="b">
        <v>0</v>
      </c>
      <c r="EX122" s="176" t="e">
        <f>(ES122-EJ122)/EJ122</f>
        <v>#DIV/0!</v>
      </c>
      <c r="EY122" s="176" t="e">
        <f>(ER122-EG122)/EG122</f>
        <v>#DIV/0!</v>
      </c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801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</row>
    <row r="123" spans="2:221" ht="15">
      <c r="B123" s="175"/>
      <c r="C123" s="800" t="s">
        <v>488</v>
      </c>
      <c r="D123" s="357">
        <v>1450022</v>
      </c>
      <c r="E123" s="357">
        <v>102</v>
      </c>
      <c r="F123" s="357" t="s">
        <v>489</v>
      </c>
      <c r="G123" s="426" t="s">
        <v>490</v>
      </c>
      <c r="H123" s="148" t="s">
        <v>169</v>
      </c>
      <c r="I123" s="448" t="s">
        <v>170</v>
      </c>
      <c r="J123" s="357"/>
      <c r="K123" s="357"/>
      <c r="L123" s="357"/>
      <c r="M123" s="358"/>
      <c r="N123" s="361">
        <v>107</v>
      </c>
      <c r="O123" s="358"/>
      <c r="P123" s="402">
        <v>537.19000000000005</v>
      </c>
      <c r="Q123" s="402"/>
      <c r="R123" s="402">
        <v>10654.35</v>
      </c>
      <c r="S123" s="358">
        <v>409</v>
      </c>
      <c r="T123" s="188" t="s">
        <v>171</v>
      </c>
      <c r="U123" s="358"/>
      <c r="V123" s="358"/>
      <c r="W123" s="358"/>
      <c r="X123" s="402">
        <f t="shared" si="10"/>
        <v>12825.310000000001</v>
      </c>
      <c r="Y123" s="402">
        <v>-615.61</v>
      </c>
      <c r="Z123" s="402">
        <v>0</v>
      </c>
      <c r="AA123" s="402">
        <v>12209.7</v>
      </c>
      <c r="AB123" s="357">
        <v>463</v>
      </c>
      <c r="AC123" s="173" t="s">
        <v>172</v>
      </c>
      <c r="AD123" s="173" t="s">
        <v>173</v>
      </c>
      <c r="AE123" s="164" t="b">
        <v>1</v>
      </c>
      <c r="AF123" s="164" t="b">
        <v>1</v>
      </c>
      <c r="AG123" s="409">
        <f>(AB123-S123)/S123</f>
        <v>0.13202933985330073</v>
      </c>
      <c r="AH123" s="409">
        <f>(AA123-R123)/R123</f>
        <v>0.14598262681439977</v>
      </c>
      <c r="AI123" s="402">
        <f t="shared" si="8"/>
        <v>9828.7300000000014</v>
      </c>
      <c r="AJ123" s="364">
        <v>-471.78</v>
      </c>
      <c r="AK123" s="364">
        <v>0</v>
      </c>
      <c r="AL123" s="364">
        <v>9356.9500000000007</v>
      </c>
      <c r="AM123" s="1069">
        <v>349</v>
      </c>
      <c r="AN123" s="407">
        <v>46122</v>
      </c>
      <c r="AO123" s="148" t="s">
        <v>174</v>
      </c>
      <c r="AP123" s="860" t="b">
        <v>1</v>
      </c>
      <c r="AQ123" s="860" t="b">
        <v>1</v>
      </c>
      <c r="AR123" s="409">
        <f t="shared" si="11"/>
        <v>-0.24622030237580994</v>
      </c>
      <c r="AS123" s="409">
        <f>(AL123-AA123)/AA123</f>
        <v>-0.23364619933331693</v>
      </c>
      <c r="AT123" s="402">
        <f t="shared" si="9"/>
        <v>0</v>
      </c>
      <c r="AU123" s="402"/>
      <c r="AV123" s="402"/>
      <c r="AW123" s="402"/>
      <c r="AX123" s="358"/>
      <c r="AY123" s="358"/>
      <c r="AZ123" s="358"/>
      <c r="BA123" s="164" t="b">
        <v>0</v>
      </c>
      <c r="BB123" s="164" t="b">
        <v>0</v>
      </c>
      <c r="BC123" s="358">
        <f>(AX123-AM123)/AM123</f>
        <v>-1</v>
      </c>
      <c r="BD123" s="358">
        <f>(AW123-AL123)/AL123</f>
        <v>-1</v>
      </c>
      <c r="BE123" s="402">
        <f>BH123 + ABS(BF123) + ABS(BG123)</f>
        <v>0</v>
      </c>
      <c r="BF123" s="402"/>
      <c r="BG123" s="402"/>
      <c r="BH123" s="402"/>
      <c r="BI123" s="358"/>
      <c r="BJ123" s="358"/>
      <c r="BK123" s="358"/>
      <c r="BL123" s="164" t="b">
        <v>0</v>
      </c>
      <c r="BM123" s="164" t="b">
        <v>0</v>
      </c>
      <c r="BN123" s="358" t="e">
        <f>(BI123-AZ123)/AZ123</f>
        <v>#DIV/0!</v>
      </c>
      <c r="BO123" s="358" t="e">
        <f>(BH123-AW123)/AW123</f>
        <v>#DIV/0!</v>
      </c>
      <c r="BP123" s="402">
        <f>BS123 + ABS(BQ123) + ABS(BR123)</f>
        <v>0</v>
      </c>
      <c r="BQ123" s="402"/>
      <c r="BR123" s="402"/>
      <c r="BS123" s="402"/>
      <c r="BT123" s="358"/>
      <c r="BU123" s="358"/>
      <c r="BV123" s="358"/>
      <c r="BW123" s="164" t="b">
        <v>0</v>
      </c>
      <c r="BX123" s="164" t="b">
        <v>0</v>
      </c>
      <c r="BY123" s="358" t="e">
        <f>(BT123-BI123)/BI123</f>
        <v>#DIV/0!</v>
      </c>
      <c r="BZ123" s="358" t="e">
        <f>(BS123-BH123)/BH123</f>
        <v>#DIV/0!</v>
      </c>
      <c r="CA123" s="402">
        <f>CD123 + ABS(CB123) + ABS(CC123)</f>
        <v>0</v>
      </c>
      <c r="CB123" s="402"/>
      <c r="CC123" s="402"/>
      <c r="CD123" s="402"/>
      <c r="CE123" s="358"/>
      <c r="CF123" s="358"/>
      <c r="CG123" s="358"/>
      <c r="CH123" s="164" t="b">
        <v>0</v>
      </c>
      <c r="CI123" s="164" t="b">
        <v>0</v>
      </c>
      <c r="CJ123" s="358" t="e">
        <f>(CE123-BV123)/BV123</f>
        <v>#DIV/0!</v>
      </c>
      <c r="CK123" s="358" t="e">
        <f>(CD123-BS123)/BS123</f>
        <v>#DIV/0!</v>
      </c>
      <c r="CL123" s="402">
        <f>CO123 + ABS(CM123) + ABS(CN123)</f>
        <v>0</v>
      </c>
      <c r="CM123" s="402"/>
      <c r="CN123" s="402"/>
      <c r="CO123" s="402"/>
      <c r="CP123" s="358"/>
      <c r="CQ123" s="358"/>
      <c r="CR123" s="358"/>
      <c r="CS123" s="164" t="b">
        <v>0</v>
      </c>
      <c r="CT123" s="164" t="b">
        <v>0</v>
      </c>
      <c r="CU123" s="358" t="e">
        <f>(CP123-CE123)/CE123</f>
        <v>#DIV/0!</v>
      </c>
      <c r="CV123" s="358" t="e">
        <f>(CO123-CD123)/CD123</f>
        <v>#DIV/0!</v>
      </c>
      <c r="CW123" s="402">
        <f>CZ123 + ABS(CX123) + ABS(CY123)</f>
        <v>0</v>
      </c>
      <c r="CX123" s="402"/>
      <c r="CY123" s="402"/>
      <c r="CZ123" s="402"/>
      <c r="DA123" s="358"/>
      <c r="DB123" s="358"/>
      <c r="DC123" s="358"/>
      <c r="DD123" s="164" t="b">
        <v>0</v>
      </c>
      <c r="DE123" s="164" t="b">
        <v>0</v>
      </c>
      <c r="DF123" s="358" t="e">
        <f>(DA123-CR123)/CR123</f>
        <v>#DIV/0!</v>
      </c>
      <c r="DG123" s="358" t="e">
        <f>(CZ123-CO123)/CO123</f>
        <v>#DIV/0!</v>
      </c>
      <c r="DH123" s="402">
        <f>DK123 + ABS(DI123) + ABS(DJ123)</f>
        <v>0</v>
      </c>
      <c r="DI123" s="402"/>
      <c r="DJ123" s="402"/>
      <c r="DK123" s="402"/>
      <c r="DL123" s="358"/>
      <c r="DM123" s="358"/>
      <c r="DN123" s="358"/>
      <c r="DO123" s="164" t="b">
        <v>0</v>
      </c>
      <c r="DP123" s="164" t="b">
        <v>0</v>
      </c>
      <c r="DQ123" s="358" t="e">
        <f>(DL123-DA123)/DA123</f>
        <v>#DIV/0!</v>
      </c>
      <c r="DR123" s="358" t="e">
        <f>(DK123-CZ123)/CZ123</f>
        <v>#DIV/0!</v>
      </c>
      <c r="DS123" s="402">
        <f>DV123 + ABS(DT123) + ABS(DU123)</f>
        <v>0</v>
      </c>
      <c r="DT123" s="402"/>
      <c r="DU123" s="402"/>
      <c r="DV123" s="402"/>
      <c r="DW123" s="358"/>
      <c r="DX123" s="358"/>
      <c r="DY123" s="358"/>
      <c r="DZ123" s="164" t="b">
        <v>0</v>
      </c>
      <c r="EA123" s="164" t="b">
        <v>0</v>
      </c>
      <c r="EB123" s="358" t="e">
        <f>(DW123-DN123)/DN123</f>
        <v>#DIV/0!</v>
      </c>
      <c r="EC123" s="358" t="e">
        <f>(DV123-DK123)/DK123</f>
        <v>#DIV/0!</v>
      </c>
      <c r="ED123" s="402">
        <f>EG123 + ABS(EE123) + ABS(EF123)</f>
        <v>0</v>
      </c>
      <c r="EE123" s="402"/>
      <c r="EF123" s="402"/>
      <c r="EG123" s="402"/>
      <c r="EH123" s="358"/>
      <c r="EI123" s="358"/>
      <c r="EJ123" s="358"/>
      <c r="EK123" s="164" t="b">
        <v>0</v>
      </c>
      <c r="EL123" s="164" t="b">
        <v>0</v>
      </c>
      <c r="EM123" s="358" t="e">
        <f>(EH123-DW123)/DW123</f>
        <v>#DIV/0!</v>
      </c>
      <c r="EN123" s="358" t="e">
        <f>(EG123-DV123)/DV123</f>
        <v>#DIV/0!</v>
      </c>
      <c r="EO123" s="402">
        <f>ER123 + ABS(EP123) + ABS(EQ123)</f>
        <v>0</v>
      </c>
      <c r="EP123" s="402"/>
      <c r="EQ123" s="402"/>
      <c r="ER123" s="402"/>
      <c r="ES123" s="358"/>
      <c r="ET123" s="358"/>
      <c r="EU123" s="358"/>
      <c r="EV123" s="164" t="b">
        <v>0</v>
      </c>
      <c r="EW123" s="164" t="b">
        <v>0</v>
      </c>
      <c r="EX123" s="358" t="e">
        <f>(ES123-EJ123)/EJ123</f>
        <v>#DIV/0!</v>
      </c>
      <c r="EY123" s="358" t="e">
        <f>(ER123-EG123)/EG123</f>
        <v>#DIV/0!</v>
      </c>
      <c r="EZ123" s="449"/>
      <c r="FA123" s="449"/>
      <c r="FB123" s="449"/>
      <c r="FC123" s="449"/>
      <c r="FD123" s="449"/>
      <c r="FE123" s="449"/>
      <c r="FF123" s="449"/>
      <c r="FG123" s="449"/>
      <c r="FH123" s="449"/>
      <c r="FI123" s="449"/>
      <c r="FJ123" s="449"/>
      <c r="FK123" s="449"/>
      <c r="FL123" s="449"/>
      <c r="FM123" s="449"/>
      <c r="FN123" s="175"/>
      <c r="FO123" s="175"/>
      <c r="FP123" s="175"/>
      <c r="FQ123" s="801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</row>
    <row r="124" spans="2:221" ht="15">
      <c r="B124" s="175"/>
      <c r="C124" s="800" t="s">
        <v>488</v>
      </c>
      <c r="D124" s="357">
        <v>1450022</v>
      </c>
      <c r="E124" s="357">
        <v>102</v>
      </c>
      <c r="F124" s="357" t="s">
        <v>491</v>
      </c>
      <c r="G124" s="426" t="s">
        <v>492</v>
      </c>
      <c r="H124" s="148" t="s">
        <v>169</v>
      </c>
      <c r="I124" s="448" t="s">
        <v>170</v>
      </c>
      <c r="J124" s="357"/>
      <c r="K124" s="357"/>
      <c r="L124" s="357"/>
      <c r="M124" s="358"/>
      <c r="N124" s="359">
        <v>107</v>
      </c>
      <c r="O124" s="358"/>
      <c r="P124" s="402">
        <v>1870.35</v>
      </c>
      <c r="Q124" s="402"/>
      <c r="R124" s="402">
        <v>37095.29</v>
      </c>
      <c r="S124" s="358">
        <v>1327</v>
      </c>
      <c r="T124" s="188" t="s">
        <v>171</v>
      </c>
      <c r="U124" s="358"/>
      <c r="V124" s="358"/>
      <c r="W124" s="358"/>
      <c r="X124" s="402">
        <f t="shared" si="10"/>
        <v>43897.2</v>
      </c>
      <c r="Y124" s="402">
        <v>-2107.0700000000002</v>
      </c>
      <c r="Z124" s="402">
        <v>0</v>
      </c>
      <c r="AA124" s="402">
        <v>41790.129999999997</v>
      </c>
      <c r="AB124" s="450">
        <v>1490</v>
      </c>
      <c r="AC124" s="173" t="s">
        <v>172</v>
      </c>
      <c r="AD124" s="173" t="s">
        <v>173</v>
      </c>
      <c r="AE124" s="164" t="b">
        <v>1</v>
      </c>
      <c r="AF124" s="164" t="b">
        <v>1</v>
      </c>
      <c r="AG124" s="409">
        <f>(AB124-S124)/S124</f>
        <v>0.12283345892991711</v>
      </c>
      <c r="AH124" s="409">
        <f>(AA124-R124)/R124</f>
        <v>0.12656162008707833</v>
      </c>
      <c r="AI124" s="402">
        <f t="shared" si="8"/>
        <v>32867.980000000003</v>
      </c>
      <c r="AJ124" s="364">
        <v>-1577.66</v>
      </c>
      <c r="AK124" s="364">
        <v>0</v>
      </c>
      <c r="AL124" s="364">
        <v>31290.32</v>
      </c>
      <c r="AM124" s="1069">
        <v>1076</v>
      </c>
      <c r="AN124" s="407">
        <v>46122</v>
      </c>
      <c r="AO124" s="148" t="s">
        <v>174</v>
      </c>
      <c r="AP124" s="860" t="b">
        <v>1</v>
      </c>
      <c r="AQ124" s="860" t="b">
        <v>1</v>
      </c>
      <c r="AR124" s="409">
        <f t="shared" si="11"/>
        <v>-0.27785234899328859</v>
      </c>
      <c r="AS124" s="409">
        <f>(AL124-AA124)/AA124</f>
        <v>-0.25125095327533076</v>
      </c>
      <c r="AT124" s="402">
        <f t="shared" si="9"/>
        <v>0</v>
      </c>
      <c r="AU124" s="402"/>
      <c r="AV124" s="402"/>
      <c r="AW124" s="402"/>
      <c r="AX124" s="358"/>
      <c r="AY124" s="358"/>
      <c r="AZ124" s="358"/>
      <c r="BA124" s="164" t="b">
        <v>0</v>
      </c>
      <c r="BB124" s="164" t="b">
        <v>0</v>
      </c>
      <c r="BC124" s="358">
        <f>(AX124-AM124)/AM124</f>
        <v>-1</v>
      </c>
      <c r="BD124" s="358">
        <f>(AW124-AL124)/AL124</f>
        <v>-1</v>
      </c>
      <c r="BE124" s="402">
        <f>BH124 + ABS(BF124) + ABS(BG124)</f>
        <v>0</v>
      </c>
      <c r="BF124" s="402"/>
      <c r="BG124" s="402"/>
      <c r="BH124" s="402"/>
      <c r="BI124" s="358"/>
      <c r="BJ124" s="358"/>
      <c r="BK124" s="358"/>
      <c r="BL124" s="164" t="b">
        <v>0</v>
      </c>
      <c r="BM124" s="164" t="b">
        <v>0</v>
      </c>
      <c r="BN124" s="358" t="e">
        <f>(BI124-AZ124)/AZ124</f>
        <v>#DIV/0!</v>
      </c>
      <c r="BO124" s="358" t="e">
        <f>(BH124-AW124)/AW124</f>
        <v>#DIV/0!</v>
      </c>
      <c r="BP124" s="402">
        <f>BS124 + ABS(BQ124) + ABS(BR124)</f>
        <v>0</v>
      </c>
      <c r="BQ124" s="402"/>
      <c r="BR124" s="402"/>
      <c r="BS124" s="402"/>
      <c r="BT124" s="358"/>
      <c r="BU124" s="358"/>
      <c r="BV124" s="358"/>
      <c r="BW124" s="164" t="b">
        <v>0</v>
      </c>
      <c r="BX124" s="164" t="b">
        <v>0</v>
      </c>
      <c r="BY124" s="358" t="e">
        <f>(BT124-BI124)/BI124</f>
        <v>#DIV/0!</v>
      </c>
      <c r="BZ124" s="358" t="e">
        <f>(BS124-BH124)/BH124</f>
        <v>#DIV/0!</v>
      </c>
      <c r="CA124" s="402">
        <f>CD124 + ABS(CB124) + ABS(CC124)</f>
        <v>0</v>
      </c>
      <c r="CB124" s="402"/>
      <c r="CC124" s="402"/>
      <c r="CD124" s="402"/>
      <c r="CE124" s="358"/>
      <c r="CF124" s="358"/>
      <c r="CG124" s="358"/>
      <c r="CH124" s="164" t="b">
        <v>0</v>
      </c>
      <c r="CI124" s="164" t="b">
        <v>0</v>
      </c>
      <c r="CJ124" s="358" t="e">
        <f>(CE124-BV124)/BV124</f>
        <v>#DIV/0!</v>
      </c>
      <c r="CK124" s="358" t="e">
        <f>(CD124-BS124)/BS124</f>
        <v>#DIV/0!</v>
      </c>
      <c r="CL124" s="402">
        <f>CO124 + ABS(CM124) + ABS(CN124)</f>
        <v>0</v>
      </c>
      <c r="CM124" s="402"/>
      <c r="CN124" s="402"/>
      <c r="CO124" s="402"/>
      <c r="CP124" s="358"/>
      <c r="CQ124" s="358"/>
      <c r="CR124" s="358"/>
      <c r="CS124" s="164" t="b">
        <v>0</v>
      </c>
      <c r="CT124" s="164" t="b">
        <v>0</v>
      </c>
      <c r="CU124" s="358" t="e">
        <f>(CP124-CE124)/CE124</f>
        <v>#DIV/0!</v>
      </c>
      <c r="CV124" s="358" t="e">
        <f>(CO124-CD124)/CD124</f>
        <v>#DIV/0!</v>
      </c>
      <c r="CW124" s="402">
        <f>CZ124 + ABS(CX124) + ABS(CY124)</f>
        <v>0</v>
      </c>
      <c r="CX124" s="402"/>
      <c r="CY124" s="402"/>
      <c r="CZ124" s="402"/>
      <c r="DA124" s="358"/>
      <c r="DB124" s="358"/>
      <c r="DC124" s="358"/>
      <c r="DD124" s="164" t="b">
        <v>0</v>
      </c>
      <c r="DE124" s="164" t="b">
        <v>0</v>
      </c>
      <c r="DF124" s="358" t="e">
        <f>(DA124-CR124)/CR124</f>
        <v>#DIV/0!</v>
      </c>
      <c r="DG124" s="358" t="e">
        <f>(CZ124-CO124)/CO124</f>
        <v>#DIV/0!</v>
      </c>
      <c r="DH124" s="402">
        <f>DK124 + ABS(DI124) + ABS(DJ124)</f>
        <v>0</v>
      </c>
      <c r="DI124" s="402"/>
      <c r="DJ124" s="402"/>
      <c r="DK124" s="402"/>
      <c r="DL124" s="358"/>
      <c r="DM124" s="358"/>
      <c r="DN124" s="358"/>
      <c r="DO124" s="164" t="b">
        <v>0</v>
      </c>
      <c r="DP124" s="164" t="b">
        <v>0</v>
      </c>
      <c r="DQ124" s="358" t="e">
        <f>(DL124-DA124)/DA124</f>
        <v>#DIV/0!</v>
      </c>
      <c r="DR124" s="358" t="e">
        <f>(DK124-CZ124)/CZ124</f>
        <v>#DIV/0!</v>
      </c>
      <c r="DS124" s="402">
        <f>DV124 + ABS(DT124) + ABS(DU124)</f>
        <v>0</v>
      </c>
      <c r="DT124" s="402"/>
      <c r="DU124" s="402"/>
      <c r="DV124" s="402"/>
      <c r="DW124" s="358"/>
      <c r="DX124" s="358"/>
      <c r="DY124" s="358"/>
      <c r="DZ124" s="164" t="b">
        <v>0</v>
      </c>
      <c r="EA124" s="164" t="b">
        <v>0</v>
      </c>
      <c r="EB124" s="358" t="e">
        <f>(DW124-DN124)/DN124</f>
        <v>#DIV/0!</v>
      </c>
      <c r="EC124" s="358" t="e">
        <f>(DV124-DK124)/DK124</f>
        <v>#DIV/0!</v>
      </c>
      <c r="ED124" s="402">
        <f>EG124 + ABS(EE124) + ABS(EF124)</f>
        <v>0</v>
      </c>
      <c r="EE124" s="402"/>
      <c r="EF124" s="402"/>
      <c r="EG124" s="402"/>
      <c r="EH124" s="358"/>
      <c r="EI124" s="358"/>
      <c r="EJ124" s="358"/>
      <c r="EK124" s="164" t="b">
        <v>0</v>
      </c>
      <c r="EL124" s="164" t="b">
        <v>0</v>
      </c>
      <c r="EM124" s="358" t="e">
        <f>(EH124-DW124)/DW124</f>
        <v>#DIV/0!</v>
      </c>
      <c r="EN124" s="358" t="e">
        <f>(EG124-DV124)/DV124</f>
        <v>#DIV/0!</v>
      </c>
      <c r="EO124" s="402">
        <f>ER124 + ABS(EP124) + ABS(EQ124)</f>
        <v>0</v>
      </c>
      <c r="EP124" s="402"/>
      <c r="EQ124" s="402"/>
      <c r="ER124" s="402"/>
      <c r="ES124" s="358"/>
      <c r="ET124" s="358"/>
      <c r="EU124" s="358"/>
      <c r="EV124" s="164" t="b">
        <v>0</v>
      </c>
      <c r="EW124" s="164" t="b">
        <v>0</v>
      </c>
      <c r="EX124" s="358" t="e">
        <f>(ES124-EJ124)/EJ124</f>
        <v>#DIV/0!</v>
      </c>
      <c r="EY124" s="358" t="e">
        <f>(ER124-EG124)/EG124</f>
        <v>#DIV/0!</v>
      </c>
      <c r="EZ124" s="449"/>
      <c r="FA124" s="449"/>
      <c r="FB124" s="449"/>
      <c r="FC124" s="449"/>
      <c r="FD124" s="449"/>
      <c r="FE124" s="449"/>
      <c r="FF124" s="449"/>
      <c r="FG124" s="449"/>
      <c r="FH124" s="449"/>
      <c r="FI124" s="449"/>
      <c r="FJ124" s="449"/>
      <c r="FK124" s="449"/>
      <c r="FL124" s="449"/>
      <c r="FM124" s="449"/>
      <c r="FN124" s="175"/>
      <c r="FO124" s="175"/>
      <c r="FP124" s="175"/>
      <c r="FQ124" s="801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</row>
    <row r="125" spans="2:221" ht="15">
      <c r="B125" s="175"/>
      <c r="C125" s="800" t="s">
        <v>488</v>
      </c>
      <c r="D125" s="357">
        <v>1450022</v>
      </c>
      <c r="E125" s="357">
        <v>102</v>
      </c>
      <c r="F125" s="357" t="s">
        <v>493</v>
      </c>
      <c r="G125" s="426" t="s">
        <v>494</v>
      </c>
      <c r="H125" s="148" t="s">
        <v>169</v>
      </c>
      <c r="I125" s="448" t="s">
        <v>170</v>
      </c>
      <c r="J125" s="357"/>
      <c r="K125" s="357"/>
      <c r="L125" s="357"/>
      <c r="M125" s="358"/>
      <c r="N125" s="361">
        <v>107</v>
      </c>
      <c r="O125" s="358"/>
      <c r="P125" s="402">
        <v>264.17</v>
      </c>
      <c r="Q125" s="402"/>
      <c r="R125" s="402">
        <v>5239.4399999999996</v>
      </c>
      <c r="S125" s="358">
        <v>221</v>
      </c>
      <c r="T125" s="188" t="s">
        <v>171</v>
      </c>
      <c r="U125" s="358"/>
      <c r="V125" s="358"/>
      <c r="W125" s="358"/>
      <c r="X125" s="402">
        <f t="shared" si="10"/>
        <v>6290.2400000000007</v>
      </c>
      <c r="Y125" s="402">
        <v>-301.93</v>
      </c>
      <c r="Z125" s="402">
        <v>0</v>
      </c>
      <c r="AA125" s="402">
        <v>5988.31</v>
      </c>
      <c r="AB125" s="450">
        <v>247</v>
      </c>
      <c r="AC125" s="173" t="s">
        <v>172</v>
      </c>
      <c r="AD125" s="173" t="s">
        <v>173</v>
      </c>
      <c r="AE125" s="164" t="b">
        <v>1</v>
      </c>
      <c r="AF125" s="164" t="b">
        <v>1</v>
      </c>
      <c r="AG125" s="409">
        <f>(AB125-S125)/S125</f>
        <v>0.11764705882352941</v>
      </c>
      <c r="AH125" s="409">
        <f>(AA125-R125)/R125</f>
        <v>0.14292939703479779</v>
      </c>
      <c r="AI125" s="402">
        <f t="shared" si="8"/>
        <v>6152.59</v>
      </c>
      <c r="AJ125" s="364">
        <v>-295.32</v>
      </c>
      <c r="AK125" s="364">
        <v>0</v>
      </c>
      <c r="AL125" s="364">
        <v>5857.27</v>
      </c>
      <c r="AM125" s="1069">
        <v>233</v>
      </c>
      <c r="AN125" s="407">
        <v>46122</v>
      </c>
      <c r="AO125" s="148" t="s">
        <v>174</v>
      </c>
      <c r="AP125" s="860" t="b">
        <v>1</v>
      </c>
      <c r="AQ125" s="860" t="b">
        <v>1</v>
      </c>
      <c r="AR125" s="409">
        <f t="shared" si="11"/>
        <v>-5.6680161943319839E-2</v>
      </c>
      <c r="AS125" s="409">
        <f>(AL125-AA125)/AA125</f>
        <v>-2.1882634666541972E-2</v>
      </c>
      <c r="AT125" s="402">
        <f t="shared" si="9"/>
        <v>0</v>
      </c>
      <c r="AU125" s="402"/>
      <c r="AV125" s="402"/>
      <c r="AW125" s="402"/>
      <c r="AX125" s="358"/>
      <c r="AY125" s="358"/>
      <c r="AZ125" s="358"/>
      <c r="BA125" s="164" t="b">
        <v>0</v>
      </c>
      <c r="BB125" s="164" t="b">
        <v>0</v>
      </c>
      <c r="BC125" s="358">
        <f>(AX125-AM125)/AM125</f>
        <v>-1</v>
      </c>
      <c r="BD125" s="358">
        <f>(AW125-AL125)/AL125</f>
        <v>-1</v>
      </c>
      <c r="BE125" s="402">
        <f>BH125 + ABS(BF125) + ABS(BG125)</f>
        <v>0</v>
      </c>
      <c r="BF125" s="402"/>
      <c r="BG125" s="402"/>
      <c r="BH125" s="402"/>
      <c r="BI125" s="358"/>
      <c r="BJ125" s="358"/>
      <c r="BK125" s="358"/>
      <c r="BL125" s="164" t="b">
        <v>0</v>
      </c>
      <c r="BM125" s="164" t="b">
        <v>0</v>
      </c>
      <c r="BN125" s="358" t="e">
        <f>(BI125-AZ125)/AZ125</f>
        <v>#DIV/0!</v>
      </c>
      <c r="BO125" s="358" t="e">
        <f>(BH125-AW125)/AW125</f>
        <v>#DIV/0!</v>
      </c>
      <c r="BP125" s="402">
        <f>BS125 + ABS(BQ125) + ABS(BR125)</f>
        <v>0</v>
      </c>
      <c r="BQ125" s="402"/>
      <c r="BR125" s="402"/>
      <c r="BS125" s="402"/>
      <c r="BT125" s="358"/>
      <c r="BU125" s="358"/>
      <c r="BV125" s="358"/>
      <c r="BW125" s="164" t="b">
        <v>0</v>
      </c>
      <c r="BX125" s="164" t="b">
        <v>0</v>
      </c>
      <c r="BY125" s="358" t="e">
        <f>(BT125-BI125)/BI125</f>
        <v>#DIV/0!</v>
      </c>
      <c r="BZ125" s="358" t="e">
        <f>(BS125-BH125)/BH125</f>
        <v>#DIV/0!</v>
      </c>
      <c r="CA125" s="402">
        <f>CD125 + ABS(CB125) + ABS(CC125)</f>
        <v>0</v>
      </c>
      <c r="CB125" s="402"/>
      <c r="CC125" s="402"/>
      <c r="CD125" s="402"/>
      <c r="CE125" s="358"/>
      <c r="CF125" s="358"/>
      <c r="CG125" s="358"/>
      <c r="CH125" s="164" t="b">
        <v>0</v>
      </c>
      <c r="CI125" s="164" t="b">
        <v>0</v>
      </c>
      <c r="CJ125" s="358" t="e">
        <f>(CE125-BV125)/BV125</f>
        <v>#DIV/0!</v>
      </c>
      <c r="CK125" s="358" t="e">
        <f>(CD125-BS125)/BS125</f>
        <v>#DIV/0!</v>
      </c>
      <c r="CL125" s="402">
        <f>CO125 + ABS(CM125) + ABS(CN125)</f>
        <v>0</v>
      </c>
      <c r="CM125" s="402"/>
      <c r="CN125" s="402"/>
      <c r="CO125" s="402"/>
      <c r="CP125" s="358"/>
      <c r="CQ125" s="358"/>
      <c r="CR125" s="358"/>
      <c r="CS125" s="164" t="b">
        <v>0</v>
      </c>
      <c r="CT125" s="164" t="b">
        <v>0</v>
      </c>
      <c r="CU125" s="358" t="e">
        <f>(CP125-CE125)/CE125</f>
        <v>#DIV/0!</v>
      </c>
      <c r="CV125" s="358" t="e">
        <f>(CO125-CD125)/CD125</f>
        <v>#DIV/0!</v>
      </c>
      <c r="CW125" s="402">
        <f>CZ125 + ABS(CX125) + ABS(CY125)</f>
        <v>0</v>
      </c>
      <c r="CX125" s="402"/>
      <c r="CY125" s="402"/>
      <c r="CZ125" s="402"/>
      <c r="DA125" s="358"/>
      <c r="DB125" s="358"/>
      <c r="DC125" s="358"/>
      <c r="DD125" s="164" t="b">
        <v>0</v>
      </c>
      <c r="DE125" s="164" t="b">
        <v>0</v>
      </c>
      <c r="DF125" s="358" t="e">
        <f>(DA125-CR125)/CR125</f>
        <v>#DIV/0!</v>
      </c>
      <c r="DG125" s="358" t="e">
        <f>(CZ125-CO125)/CO125</f>
        <v>#DIV/0!</v>
      </c>
      <c r="DH125" s="402">
        <f>DK125 + ABS(DI125) + ABS(DJ125)</f>
        <v>0</v>
      </c>
      <c r="DI125" s="402"/>
      <c r="DJ125" s="402"/>
      <c r="DK125" s="402"/>
      <c r="DL125" s="358"/>
      <c r="DM125" s="358"/>
      <c r="DN125" s="358"/>
      <c r="DO125" s="164" t="b">
        <v>0</v>
      </c>
      <c r="DP125" s="164" t="b">
        <v>0</v>
      </c>
      <c r="DQ125" s="358" t="e">
        <f>(DL125-DA125)/DA125</f>
        <v>#DIV/0!</v>
      </c>
      <c r="DR125" s="358" t="e">
        <f>(DK125-CZ125)/CZ125</f>
        <v>#DIV/0!</v>
      </c>
      <c r="DS125" s="402">
        <f>DV125 + ABS(DT125) + ABS(DU125)</f>
        <v>0</v>
      </c>
      <c r="DT125" s="402"/>
      <c r="DU125" s="402"/>
      <c r="DV125" s="402"/>
      <c r="DW125" s="358"/>
      <c r="DX125" s="358"/>
      <c r="DY125" s="358"/>
      <c r="DZ125" s="164" t="b">
        <v>0</v>
      </c>
      <c r="EA125" s="164" t="b">
        <v>0</v>
      </c>
      <c r="EB125" s="358" t="e">
        <f>(DW125-DN125)/DN125</f>
        <v>#DIV/0!</v>
      </c>
      <c r="EC125" s="358" t="e">
        <f>(DV125-DK125)/DK125</f>
        <v>#DIV/0!</v>
      </c>
      <c r="ED125" s="402">
        <f>EG125 + ABS(EE125) + ABS(EF125)</f>
        <v>0</v>
      </c>
      <c r="EE125" s="402"/>
      <c r="EF125" s="402"/>
      <c r="EG125" s="402"/>
      <c r="EH125" s="358"/>
      <c r="EI125" s="358"/>
      <c r="EJ125" s="358"/>
      <c r="EK125" s="164" t="b">
        <v>0</v>
      </c>
      <c r="EL125" s="164" t="b">
        <v>0</v>
      </c>
      <c r="EM125" s="358" t="e">
        <f>(EH125-DW125)/DW125</f>
        <v>#DIV/0!</v>
      </c>
      <c r="EN125" s="358" t="e">
        <f>(EG125-DV125)/DV125</f>
        <v>#DIV/0!</v>
      </c>
      <c r="EO125" s="402">
        <f>ER125 + ABS(EP125) + ABS(EQ125)</f>
        <v>0</v>
      </c>
      <c r="EP125" s="402"/>
      <c r="EQ125" s="402"/>
      <c r="ER125" s="402"/>
      <c r="ES125" s="358"/>
      <c r="ET125" s="358"/>
      <c r="EU125" s="358"/>
      <c r="EV125" s="164" t="b">
        <v>0</v>
      </c>
      <c r="EW125" s="164" t="b">
        <v>0</v>
      </c>
      <c r="EX125" s="358" t="e">
        <f>(ES125-EJ125)/EJ125</f>
        <v>#DIV/0!</v>
      </c>
      <c r="EY125" s="358" t="e">
        <f>(ER125-EG125)/EG125</f>
        <v>#DIV/0!</v>
      </c>
      <c r="EZ125" s="449"/>
      <c r="FA125" s="449"/>
      <c r="FB125" s="449"/>
      <c r="FC125" s="449"/>
      <c r="FD125" s="449"/>
      <c r="FE125" s="449"/>
      <c r="FF125" s="449"/>
      <c r="FG125" s="449"/>
      <c r="FH125" s="449"/>
      <c r="FI125" s="449"/>
      <c r="FJ125" s="449"/>
      <c r="FK125" s="449"/>
      <c r="FL125" s="449"/>
      <c r="FM125" s="449"/>
      <c r="FN125" s="175"/>
      <c r="FO125" s="175"/>
      <c r="FP125" s="175"/>
      <c r="FQ125" s="801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</row>
    <row r="126" spans="2:221" ht="15">
      <c r="B126" s="175"/>
      <c r="C126" s="802" t="s">
        <v>495</v>
      </c>
      <c r="D126" s="154">
        <v>1450022</v>
      </c>
      <c r="E126" s="154">
        <v>153</v>
      </c>
      <c r="F126" s="154" t="s">
        <v>496</v>
      </c>
      <c r="G126" s="255" t="s">
        <v>497</v>
      </c>
      <c r="H126" s="171" t="s">
        <v>169</v>
      </c>
      <c r="I126" s="445" t="s">
        <v>170</v>
      </c>
      <c r="J126" s="154"/>
      <c r="K126" s="154"/>
      <c r="L126" s="154"/>
      <c r="M126" s="176"/>
      <c r="N126" s="193">
        <v>107</v>
      </c>
      <c r="O126" s="176"/>
      <c r="P126" s="203">
        <v>1060.67</v>
      </c>
      <c r="Q126" s="203"/>
      <c r="R126" s="203">
        <v>21036.720000000001</v>
      </c>
      <c r="S126" s="176">
        <v>1310</v>
      </c>
      <c r="T126" s="188" t="s">
        <v>171</v>
      </c>
      <c r="U126" s="176"/>
      <c r="V126" s="176"/>
      <c r="W126" s="176"/>
      <c r="X126" s="203">
        <f t="shared" si="10"/>
        <v>24687.96</v>
      </c>
      <c r="Y126" s="203">
        <v>-1185.02</v>
      </c>
      <c r="Z126" s="203">
        <v>0</v>
      </c>
      <c r="AA126" s="203">
        <v>23502.94</v>
      </c>
      <c r="AB126" s="446">
        <v>1454</v>
      </c>
      <c r="AC126" s="444" t="s">
        <v>172</v>
      </c>
      <c r="AD126" s="444" t="s">
        <v>173</v>
      </c>
      <c r="AE126" s="177" t="b">
        <v>1</v>
      </c>
      <c r="AF126" s="177" t="b">
        <v>1</v>
      </c>
      <c r="AG126" s="392">
        <f>(AB126-S126)/S126</f>
        <v>0.1099236641221374</v>
      </c>
      <c r="AH126" s="392">
        <f>(AA126-R126)/R126</f>
        <v>0.11723405549914613</v>
      </c>
      <c r="AI126" s="203">
        <f t="shared" si="8"/>
        <v>21815.8</v>
      </c>
      <c r="AJ126" s="368">
        <v>-1047.1600000000001</v>
      </c>
      <c r="AK126" s="368">
        <v>0</v>
      </c>
      <c r="AL126" s="368">
        <v>20768.64</v>
      </c>
      <c r="AM126" s="1068">
        <v>1235</v>
      </c>
      <c r="AN126" s="172">
        <v>46122</v>
      </c>
      <c r="AO126" s="171" t="s">
        <v>174</v>
      </c>
      <c r="AP126" s="861" t="b">
        <v>1</v>
      </c>
      <c r="AQ126" s="861" t="b">
        <v>1</v>
      </c>
      <c r="AR126" s="392">
        <f t="shared" si="11"/>
        <v>-0.15061898211829436</v>
      </c>
      <c r="AS126" s="392">
        <f>(AL126-AA126)/AA126</f>
        <v>-0.11633863678331305</v>
      </c>
      <c r="AT126" s="203">
        <f t="shared" si="9"/>
        <v>0</v>
      </c>
      <c r="AU126" s="203"/>
      <c r="AV126" s="203"/>
      <c r="AW126" s="203"/>
      <c r="AX126" s="176"/>
      <c r="AY126" s="176"/>
      <c r="AZ126" s="176"/>
      <c r="BA126" s="177" t="b">
        <v>0</v>
      </c>
      <c r="BB126" s="177" t="b">
        <v>0</v>
      </c>
      <c r="BC126" s="176">
        <f>(AX126-AM126)/AM126</f>
        <v>-1</v>
      </c>
      <c r="BD126" s="176">
        <f>(AW126-AL126)/AL126</f>
        <v>-1</v>
      </c>
      <c r="BE126" s="203">
        <f>BH126 + ABS(BF126) + ABS(BG126)</f>
        <v>0</v>
      </c>
      <c r="BF126" s="203"/>
      <c r="BG126" s="203"/>
      <c r="BH126" s="203"/>
      <c r="BI126" s="176"/>
      <c r="BJ126" s="176"/>
      <c r="BK126" s="176"/>
      <c r="BL126" s="177" t="b">
        <v>0</v>
      </c>
      <c r="BM126" s="177" t="b">
        <v>0</v>
      </c>
      <c r="BN126" s="176" t="e">
        <f>(BI126-AZ126)/AZ126</f>
        <v>#DIV/0!</v>
      </c>
      <c r="BO126" s="176" t="e">
        <f>(BH126-AW126)/AW126</f>
        <v>#DIV/0!</v>
      </c>
      <c r="BP126" s="203">
        <f>BS126 + ABS(BQ126) + ABS(BR126)</f>
        <v>0</v>
      </c>
      <c r="BQ126" s="203"/>
      <c r="BR126" s="203"/>
      <c r="BS126" s="203"/>
      <c r="BT126" s="176"/>
      <c r="BU126" s="176"/>
      <c r="BV126" s="176"/>
      <c r="BW126" s="177" t="b">
        <v>0</v>
      </c>
      <c r="BX126" s="177" t="b">
        <v>0</v>
      </c>
      <c r="BY126" s="176" t="e">
        <f>(BT126-BI126)/BI126</f>
        <v>#DIV/0!</v>
      </c>
      <c r="BZ126" s="176" t="e">
        <f>(BS126-BH126)/BH126</f>
        <v>#DIV/0!</v>
      </c>
      <c r="CA126" s="203">
        <f>CD126 + ABS(CB126) + ABS(CC126)</f>
        <v>0</v>
      </c>
      <c r="CB126" s="203"/>
      <c r="CC126" s="203"/>
      <c r="CD126" s="203"/>
      <c r="CE126" s="176"/>
      <c r="CF126" s="176"/>
      <c r="CG126" s="176"/>
      <c r="CH126" s="177" t="b">
        <v>0</v>
      </c>
      <c r="CI126" s="177" t="b">
        <v>0</v>
      </c>
      <c r="CJ126" s="176" t="e">
        <f>(CE126-BV126)/BV126</f>
        <v>#DIV/0!</v>
      </c>
      <c r="CK126" s="176" t="e">
        <f>(CD126-BS126)/BS126</f>
        <v>#DIV/0!</v>
      </c>
      <c r="CL126" s="203">
        <f>CO126 + ABS(CM126) + ABS(CN126)</f>
        <v>0</v>
      </c>
      <c r="CM126" s="203"/>
      <c r="CN126" s="203"/>
      <c r="CO126" s="203"/>
      <c r="CP126" s="176"/>
      <c r="CQ126" s="176"/>
      <c r="CR126" s="176"/>
      <c r="CS126" s="177" t="b">
        <v>0</v>
      </c>
      <c r="CT126" s="177" t="b">
        <v>0</v>
      </c>
      <c r="CU126" s="176" t="e">
        <f>(CP126-CE126)/CE126</f>
        <v>#DIV/0!</v>
      </c>
      <c r="CV126" s="176" t="e">
        <f>(CO126-CD126)/CD126</f>
        <v>#DIV/0!</v>
      </c>
      <c r="CW126" s="203">
        <f>CZ126 + ABS(CX126) + ABS(CY126)</f>
        <v>0</v>
      </c>
      <c r="CX126" s="203"/>
      <c r="CY126" s="203"/>
      <c r="CZ126" s="203"/>
      <c r="DA126" s="176"/>
      <c r="DB126" s="176"/>
      <c r="DC126" s="176"/>
      <c r="DD126" s="177" t="b">
        <v>0</v>
      </c>
      <c r="DE126" s="177" t="b">
        <v>0</v>
      </c>
      <c r="DF126" s="176" t="e">
        <f>(DA126-CR126)/CR126</f>
        <v>#DIV/0!</v>
      </c>
      <c r="DG126" s="176" t="e">
        <f>(CZ126-CO126)/CO126</f>
        <v>#DIV/0!</v>
      </c>
      <c r="DH126" s="203">
        <f>DK126 + ABS(DI126) + ABS(DJ126)</f>
        <v>0</v>
      </c>
      <c r="DI126" s="203"/>
      <c r="DJ126" s="203"/>
      <c r="DK126" s="203"/>
      <c r="DL126" s="176"/>
      <c r="DM126" s="176"/>
      <c r="DN126" s="176"/>
      <c r="DO126" s="177" t="b">
        <v>0</v>
      </c>
      <c r="DP126" s="177" t="b">
        <v>0</v>
      </c>
      <c r="DQ126" s="176" t="e">
        <f>(DL126-DA126)/DA126</f>
        <v>#DIV/0!</v>
      </c>
      <c r="DR126" s="176" t="e">
        <f>(DK126-CZ126)/CZ126</f>
        <v>#DIV/0!</v>
      </c>
      <c r="DS126" s="203">
        <f>DV126 + ABS(DT126) + ABS(DU126)</f>
        <v>0</v>
      </c>
      <c r="DT126" s="203"/>
      <c r="DU126" s="203"/>
      <c r="DV126" s="203"/>
      <c r="DW126" s="176"/>
      <c r="DX126" s="176"/>
      <c r="DY126" s="176"/>
      <c r="DZ126" s="177" t="b">
        <v>0</v>
      </c>
      <c r="EA126" s="177" t="b">
        <v>0</v>
      </c>
      <c r="EB126" s="176" t="e">
        <f>(DW126-DN126)/DN126</f>
        <v>#DIV/0!</v>
      </c>
      <c r="EC126" s="176" t="e">
        <f>(DV126-DK126)/DK126</f>
        <v>#DIV/0!</v>
      </c>
      <c r="ED126" s="203">
        <f>EG126 + ABS(EE126) + ABS(EF126)</f>
        <v>0</v>
      </c>
      <c r="EE126" s="203"/>
      <c r="EF126" s="203"/>
      <c r="EG126" s="203"/>
      <c r="EH126" s="176"/>
      <c r="EI126" s="176"/>
      <c r="EJ126" s="176"/>
      <c r="EK126" s="177" t="b">
        <v>0</v>
      </c>
      <c r="EL126" s="177" t="b">
        <v>0</v>
      </c>
      <c r="EM126" s="176" t="e">
        <f>(EH126-DW126)/DW126</f>
        <v>#DIV/0!</v>
      </c>
      <c r="EN126" s="176" t="e">
        <f>(EG126-DV126)/DV126</f>
        <v>#DIV/0!</v>
      </c>
      <c r="EO126" s="203">
        <f>ER126 + ABS(EP126) + ABS(EQ126)</f>
        <v>0</v>
      </c>
      <c r="EP126" s="203"/>
      <c r="EQ126" s="203"/>
      <c r="ER126" s="203"/>
      <c r="ES126" s="176"/>
      <c r="ET126" s="176"/>
      <c r="EU126" s="176"/>
      <c r="EV126" s="177" t="b">
        <v>0</v>
      </c>
      <c r="EW126" s="177" t="b">
        <v>0</v>
      </c>
      <c r="EX126" s="176" t="e">
        <f>(ES126-EJ126)/EJ126</f>
        <v>#DIV/0!</v>
      </c>
      <c r="EY126" s="176" t="e">
        <f>(ER126-EG126)/EG126</f>
        <v>#DIV/0!</v>
      </c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801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</row>
    <row r="127" spans="2:221" ht="15">
      <c r="B127" s="175"/>
      <c r="C127" s="800" t="s">
        <v>498</v>
      </c>
      <c r="D127" s="357">
        <v>1450022</v>
      </c>
      <c r="E127" s="357">
        <v>98</v>
      </c>
      <c r="F127" s="357" t="s">
        <v>499</v>
      </c>
      <c r="G127" s="426" t="s">
        <v>500</v>
      </c>
      <c r="H127" s="148" t="s">
        <v>169</v>
      </c>
      <c r="I127" s="448" t="s">
        <v>170</v>
      </c>
      <c r="J127" s="357"/>
      <c r="K127" s="357"/>
      <c r="L127" s="357"/>
      <c r="M127" s="358"/>
      <c r="N127" s="361">
        <v>107</v>
      </c>
      <c r="O127" s="358"/>
      <c r="P127" s="402">
        <v>936.32</v>
      </c>
      <c r="Q127" s="402"/>
      <c r="R127" s="402">
        <v>18570.41</v>
      </c>
      <c r="S127" s="358">
        <v>1161</v>
      </c>
      <c r="T127" s="188" t="s">
        <v>171</v>
      </c>
      <c r="U127" s="358"/>
      <c r="V127" s="358"/>
      <c r="W127" s="358"/>
      <c r="X127" s="402">
        <f t="shared" si="10"/>
        <v>24114.280000000002</v>
      </c>
      <c r="Y127" s="402">
        <v>-1157.49</v>
      </c>
      <c r="Z127" s="402">
        <v>0</v>
      </c>
      <c r="AA127" s="402">
        <v>22956.79</v>
      </c>
      <c r="AB127" s="450">
        <v>1426</v>
      </c>
      <c r="AC127" s="173" t="s">
        <v>172</v>
      </c>
      <c r="AD127" s="173" t="s">
        <v>173</v>
      </c>
      <c r="AE127" s="164" t="b">
        <v>1</v>
      </c>
      <c r="AF127" s="164" t="b">
        <v>1</v>
      </c>
      <c r="AG127" s="409">
        <f>(AB127-S127)/S127</f>
        <v>0.22825150732127478</v>
      </c>
      <c r="AH127" s="409">
        <f>(AA127-R127)/R127</f>
        <v>0.23620264711441488</v>
      </c>
      <c r="AI127" s="402">
        <f t="shared" si="8"/>
        <v>15595.289999999999</v>
      </c>
      <c r="AJ127" s="364">
        <v>-748.57</v>
      </c>
      <c r="AK127" s="364">
        <v>0</v>
      </c>
      <c r="AL127" s="364">
        <v>14846.72</v>
      </c>
      <c r="AM127" s="1069">
        <v>905</v>
      </c>
      <c r="AN127" s="407">
        <v>46122</v>
      </c>
      <c r="AO127" s="148" t="s">
        <v>174</v>
      </c>
      <c r="AP127" s="860" t="b">
        <v>1</v>
      </c>
      <c r="AQ127" s="860" t="b">
        <v>1</v>
      </c>
      <c r="AR127" s="409">
        <f t="shared" si="11"/>
        <v>-0.36535764375876578</v>
      </c>
      <c r="AS127" s="409">
        <f>(AL127-AA127)/AA127</f>
        <v>-0.35327543615636164</v>
      </c>
      <c r="AT127" s="402">
        <f t="shared" si="9"/>
        <v>0</v>
      </c>
      <c r="AU127" s="402"/>
      <c r="AV127" s="402"/>
      <c r="AW127" s="402"/>
      <c r="AX127" s="358"/>
      <c r="AY127" s="358"/>
      <c r="AZ127" s="358"/>
      <c r="BA127" s="164" t="b">
        <v>0</v>
      </c>
      <c r="BB127" s="164" t="b">
        <v>0</v>
      </c>
      <c r="BC127" s="358">
        <f>(AX127-AM127)/AM127</f>
        <v>-1</v>
      </c>
      <c r="BD127" s="358">
        <f>(AW127-AL127)/AL127</f>
        <v>-1</v>
      </c>
      <c r="BE127" s="402">
        <f>BH127 + ABS(BF127) + ABS(BG127)</f>
        <v>0</v>
      </c>
      <c r="BF127" s="402"/>
      <c r="BG127" s="402"/>
      <c r="BH127" s="402"/>
      <c r="BI127" s="358"/>
      <c r="BJ127" s="358"/>
      <c r="BK127" s="358"/>
      <c r="BL127" s="164" t="b">
        <v>0</v>
      </c>
      <c r="BM127" s="164" t="b">
        <v>0</v>
      </c>
      <c r="BN127" s="358" t="e">
        <f>(BI127-AZ127)/AZ127</f>
        <v>#DIV/0!</v>
      </c>
      <c r="BO127" s="358" t="e">
        <f>(BH127-AW127)/AW127</f>
        <v>#DIV/0!</v>
      </c>
      <c r="BP127" s="402">
        <f>BS127 + ABS(BQ127) + ABS(BR127)</f>
        <v>0</v>
      </c>
      <c r="BQ127" s="402"/>
      <c r="BR127" s="402"/>
      <c r="BS127" s="402"/>
      <c r="BT127" s="358"/>
      <c r="BU127" s="358"/>
      <c r="BV127" s="358"/>
      <c r="BW127" s="164" t="b">
        <v>0</v>
      </c>
      <c r="BX127" s="164" t="b">
        <v>0</v>
      </c>
      <c r="BY127" s="358" t="e">
        <f>(BT127-BI127)/BI127</f>
        <v>#DIV/0!</v>
      </c>
      <c r="BZ127" s="358" t="e">
        <f>(BS127-BH127)/BH127</f>
        <v>#DIV/0!</v>
      </c>
      <c r="CA127" s="402">
        <f>CD127 + ABS(CB127) + ABS(CC127)</f>
        <v>0</v>
      </c>
      <c r="CB127" s="402"/>
      <c r="CC127" s="402"/>
      <c r="CD127" s="402"/>
      <c r="CE127" s="358"/>
      <c r="CF127" s="358"/>
      <c r="CG127" s="358"/>
      <c r="CH127" s="164" t="b">
        <v>0</v>
      </c>
      <c r="CI127" s="164" t="b">
        <v>0</v>
      </c>
      <c r="CJ127" s="358" t="e">
        <f>(CE127-BV127)/BV127</f>
        <v>#DIV/0!</v>
      </c>
      <c r="CK127" s="358" t="e">
        <f>(CD127-BS127)/BS127</f>
        <v>#DIV/0!</v>
      </c>
      <c r="CL127" s="402">
        <f>CO127 + ABS(CM127) + ABS(CN127)</f>
        <v>0</v>
      </c>
      <c r="CM127" s="402"/>
      <c r="CN127" s="402"/>
      <c r="CO127" s="402"/>
      <c r="CP127" s="358"/>
      <c r="CQ127" s="358"/>
      <c r="CR127" s="358"/>
      <c r="CS127" s="164" t="b">
        <v>0</v>
      </c>
      <c r="CT127" s="164" t="b">
        <v>0</v>
      </c>
      <c r="CU127" s="358" t="e">
        <f>(CP127-CE127)/CE127</f>
        <v>#DIV/0!</v>
      </c>
      <c r="CV127" s="358" t="e">
        <f>(CO127-CD127)/CD127</f>
        <v>#DIV/0!</v>
      </c>
      <c r="CW127" s="402">
        <f>CZ127 + ABS(CX127) + ABS(CY127)</f>
        <v>0</v>
      </c>
      <c r="CX127" s="402"/>
      <c r="CY127" s="402"/>
      <c r="CZ127" s="402"/>
      <c r="DA127" s="358"/>
      <c r="DB127" s="358"/>
      <c r="DC127" s="358"/>
      <c r="DD127" s="164" t="b">
        <v>0</v>
      </c>
      <c r="DE127" s="164" t="b">
        <v>0</v>
      </c>
      <c r="DF127" s="358" t="e">
        <f>(DA127-CR127)/CR127</f>
        <v>#DIV/0!</v>
      </c>
      <c r="DG127" s="358" t="e">
        <f>(CZ127-CO127)/CO127</f>
        <v>#DIV/0!</v>
      </c>
      <c r="DH127" s="402">
        <f>DK127 + ABS(DI127) + ABS(DJ127)</f>
        <v>0</v>
      </c>
      <c r="DI127" s="402"/>
      <c r="DJ127" s="402"/>
      <c r="DK127" s="402"/>
      <c r="DL127" s="358"/>
      <c r="DM127" s="358"/>
      <c r="DN127" s="358"/>
      <c r="DO127" s="164" t="b">
        <v>0</v>
      </c>
      <c r="DP127" s="164" t="b">
        <v>0</v>
      </c>
      <c r="DQ127" s="358" t="e">
        <f>(DL127-DA127)/DA127</f>
        <v>#DIV/0!</v>
      </c>
      <c r="DR127" s="358" t="e">
        <f>(DK127-CZ127)/CZ127</f>
        <v>#DIV/0!</v>
      </c>
      <c r="DS127" s="402">
        <f>DV127 + ABS(DT127) + ABS(DU127)</f>
        <v>0</v>
      </c>
      <c r="DT127" s="402"/>
      <c r="DU127" s="402"/>
      <c r="DV127" s="402"/>
      <c r="DW127" s="358"/>
      <c r="DX127" s="358"/>
      <c r="DY127" s="358"/>
      <c r="DZ127" s="164" t="b">
        <v>0</v>
      </c>
      <c r="EA127" s="164" t="b">
        <v>0</v>
      </c>
      <c r="EB127" s="358" t="e">
        <f>(DW127-DN127)/DN127</f>
        <v>#DIV/0!</v>
      </c>
      <c r="EC127" s="358" t="e">
        <f>(DV127-DK127)/DK127</f>
        <v>#DIV/0!</v>
      </c>
      <c r="ED127" s="402">
        <f>EG127 + ABS(EE127) + ABS(EF127)</f>
        <v>0</v>
      </c>
      <c r="EE127" s="402"/>
      <c r="EF127" s="402"/>
      <c r="EG127" s="402"/>
      <c r="EH127" s="358"/>
      <c r="EI127" s="358"/>
      <c r="EJ127" s="358"/>
      <c r="EK127" s="164" t="b">
        <v>0</v>
      </c>
      <c r="EL127" s="164" t="b">
        <v>0</v>
      </c>
      <c r="EM127" s="358" t="e">
        <f>(EH127-DW127)/DW127</f>
        <v>#DIV/0!</v>
      </c>
      <c r="EN127" s="358" t="e">
        <f>(EG127-DV127)/DV127</f>
        <v>#DIV/0!</v>
      </c>
      <c r="EO127" s="402">
        <f>ER127 + ABS(EP127) + ABS(EQ127)</f>
        <v>0</v>
      </c>
      <c r="EP127" s="402"/>
      <c r="EQ127" s="402"/>
      <c r="ER127" s="402"/>
      <c r="ES127" s="358"/>
      <c r="ET127" s="358"/>
      <c r="EU127" s="358"/>
      <c r="EV127" s="164" t="b">
        <v>0</v>
      </c>
      <c r="EW127" s="164" t="b">
        <v>0</v>
      </c>
      <c r="EX127" s="358" t="e">
        <f>(ES127-EJ127)/EJ127</f>
        <v>#DIV/0!</v>
      </c>
      <c r="EY127" s="358" t="e">
        <f>(ER127-EG127)/EG127</f>
        <v>#DIV/0!</v>
      </c>
      <c r="EZ127" s="449"/>
      <c r="FA127" s="449"/>
      <c r="FB127" s="449"/>
      <c r="FC127" s="449"/>
      <c r="FD127" s="449"/>
      <c r="FE127" s="449"/>
      <c r="FF127" s="449"/>
      <c r="FG127" s="449"/>
      <c r="FH127" s="449"/>
      <c r="FI127" s="449"/>
      <c r="FJ127" s="449"/>
      <c r="FK127" s="449"/>
      <c r="FL127" s="449"/>
      <c r="FM127" s="449"/>
      <c r="FN127" s="449"/>
      <c r="FO127" s="449"/>
      <c r="FP127" s="449"/>
      <c r="FQ127" s="803"/>
      <c r="FR127" s="449"/>
      <c r="FS127" s="449"/>
      <c r="FT127" s="449"/>
      <c r="FU127" s="449"/>
      <c r="FV127" s="449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</row>
    <row r="128" spans="2:221" ht="15">
      <c r="B128" s="175"/>
      <c r="C128" s="802" t="s">
        <v>501</v>
      </c>
      <c r="D128" s="154">
        <v>1450022</v>
      </c>
      <c r="E128" s="154">
        <v>357</v>
      </c>
      <c r="F128" s="154" t="s">
        <v>502</v>
      </c>
      <c r="G128" s="255" t="s">
        <v>503</v>
      </c>
      <c r="H128" s="171" t="s">
        <v>169</v>
      </c>
      <c r="I128" s="445" t="s">
        <v>170</v>
      </c>
      <c r="J128" s="154"/>
      <c r="K128" s="154"/>
      <c r="L128" s="154"/>
      <c r="M128" s="176"/>
      <c r="N128" s="193">
        <v>107</v>
      </c>
      <c r="O128" s="176"/>
      <c r="P128" s="203">
        <v>525.58000000000004</v>
      </c>
      <c r="Q128" s="203"/>
      <c r="R128" s="203">
        <v>10423.93</v>
      </c>
      <c r="S128" s="176">
        <v>401</v>
      </c>
      <c r="T128" s="188" t="s">
        <v>171</v>
      </c>
      <c r="U128" s="176"/>
      <c r="V128" s="176"/>
      <c r="W128" s="176"/>
      <c r="X128" s="203">
        <f t="shared" si="10"/>
        <v>14338.06</v>
      </c>
      <c r="Y128" s="203">
        <v>-688.23</v>
      </c>
      <c r="Z128" s="203">
        <v>0</v>
      </c>
      <c r="AA128" s="203">
        <v>13649.83</v>
      </c>
      <c r="AB128" s="446">
        <v>513</v>
      </c>
      <c r="AC128" s="255" t="s">
        <v>172</v>
      </c>
      <c r="AD128" s="255" t="s">
        <v>173</v>
      </c>
      <c r="AE128" s="177" t="b">
        <v>1</v>
      </c>
      <c r="AF128" s="177" t="b">
        <v>1</v>
      </c>
      <c r="AG128" s="392">
        <f>(AB128-S128)/S128</f>
        <v>0.2793017456359102</v>
      </c>
      <c r="AH128" s="392">
        <f>(AA128-R128)/R128</f>
        <v>0.30947061233143347</v>
      </c>
      <c r="AI128" s="203">
        <f t="shared" si="8"/>
        <v>13403.59</v>
      </c>
      <c r="AJ128" s="368">
        <v>-643.37</v>
      </c>
      <c r="AK128" s="368">
        <v>0</v>
      </c>
      <c r="AL128" s="368">
        <v>12760.22</v>
      </c>
      <c r="AM128" s="1068">
        <v>471</v>
      </c>
      <c r="AN128" s="172">
        <v>46122</v>
      </c>
      <c r="AO128" s="171" t="s">
        <v>174</v>
      </c>
      <c r="AP128" s="861" t="b">
        <v>1</v>
      </c>
      <c r="AQ128" s="861" t="b">
        <v>1</v>
      </c>
      <c r="AR128" s="392">
        <f t="shared" si="11"/>
        <v>-8.1871345029239762E-2</v>
      </c>
      <c r="AS128" s="392">
        <f>(AL128-AA128)/AA128</f>
        <v>-6.5173705460068038E-2</v>
      </c>
      <c r="AT128" s="203">
        <f t="shared" si="9"/>
        <v>0</v>
      </c>
      <c r="AU128" s="203"/>
      <c r="AV128" s="203"/>
      <c r="AW128" s="203"/>
      <c r="AX128" s="176"/>
      <c r="AY128" s="176"/>
      <c r="AZ128" s="176"/>
      <c r="BA128" s="177" t="b">
        <v>0</v>
      </c>
      <c r="BB128" s="177" t="b">
        <v>0</v>
      </c>
      <c r="BC128" s="176">
        <f>(AX128-AM128)/AM128</f>
        <v>-1</v>
      </c>
      <c r="BD128" s="176">
        <f>(AW128-AL128)/AL128</f>
        <v>-1</v>
      </c>
      <c r="BE128" s="203">
        <f>BH128 + ABS(BF128) + ABS(BG128)</f>
        <v>0</v>
      </c>
      <c r="BF128" s="203"/>
      <c r="BG128" s="203"/>
      <c r="BH128" s="203"/>
      <c r="BI128" s="176"/>
      <c r="BJ128" s="176"/>
      <c r="BK128" s="176"/>
      <c r="BL128" s="177" t="b">
        <v>0</v>
      </c>
      <c r="BM128" s="177" t="b">
        <v>0</v>
      </c>
      <c r="BN128" s="176" t="e">
        <f>(BI128-AZ128)/AZ128</f>
        <v>#DIV/0!</v>
      </c>
      <c r="BO128" s="176" t="e">
        <f>(BH128-AW128)/AW128</f>
        <v>#DIV/0!</v>
      </c>
      <c r="BP128" s="203">
        <f>BS128 + ABS(BQ128) + ABS(BR128)</f>
        <v>0</v>
      </c>
      <c r="BQ128" s="203"/>
      <c r="BR128" s="203"/>
      <c r="BS128" s="203"/>
      <c r="BT128" s="176"/>
      <c r="BU128" s="176"/>
      <c r="BV128" s="176"/>
      <c r="BW128" s="177" t="b">
        <v>0</v>
      </c>
      <c r="BX128" s="177" t="b">
        <v>0</v>
      </c>
      <c r="BY128" s="176" t="e">
        <f>(BT128-BI128)/BI128</f>
        <v>#DIV/0!</v>
      </c>
      <c r="BZ128" s="176" t="e">
        <f>(BS128-BH128)/BH128</f>
        <v>#DIV/0!</v>
      </c>
      <c r="CA128" s="203">
        <f>CD128 + ABS(CB128) + ABS(CC128)</f>
        <v>0</v>
      </c>
      <c r="CB128" s="203"/>
      <c r="CC128" s="203"/>
      <c r="CD128" s="203"/>
      <c r="CE128" s="176"/>
      <c r="CF128" s="176"/>
      <c r="CG128" s="176"/>
      <c r="CH128" s="177" t="b">
        <v>0</v>
      </c>
      <c r="CI128" s="177" t="b">
        <v>0</v>
      </c>
      <c r="CJ128" s="176" t="e">
        <f>(CE128-BV128)/BV128</f>
        <v>#DIV/0!</v>
      </c>
      <c r="CK128" s="176" t="e">
        <f>(CD128-BS128)/BS128</f>
        <v>#DIV/0!</v>
      </c>
      <c r="CL128" s="203">
        <f>CO128 + ABS(CM128) + ABS(CN128)</f>
        <v>0</v>
      </c>
      <c r="CM128" s="203"/>
      <c r="CN128" s="203"/>
      <c r="CO128" s="203"/>
      <c r="CP128" s="176"/>
      <c r="CQ128" s="176"/>
      <c r="CR128" s="176"/>
      <c r="CS128" s="177" t="b">
        <v>0</v>
      </c>
      <c r="CT128" s="177" t="b">
        <v>0</v>
      </c>
      <c r="CU128" s="176" t="e">
        <f>(CP128-CE128)/CE128</f>
        <v>#DIV/0!</v>
      </c>
      <c r="CV128" s="176" t="e">
        <f>(CO128-CD128)/CD128</f>
        <v>#DIV/0!</v>
      </c>
      <c r="CW128" s="203">
        <f>CZ128 + ABS(CX128) + ABS(CY128)</f>
        <v>0</v>
      </c>
      <c r="CX128" s="203"/>
      <c r="CY128" s="203"/>
      <c r="CZ128" s="203"/>
      <c r="DA128" s="176"/>
      <c r="DB128" s="176"/>
      <c r="DC128" s="176"/>
      <c r="DD128" s="177" t="b">
        <v>0</v>
      </c>
      <c r="DE128" s="177" t="b">
        <v>0</v>
      </c>
      <c r="DF128" s="176" t="e">
        <f>(DA128-CR128)/CR128</f>
        <v>#DIV/0!</v>
      </c>
      <c r="DG128" s="176" t="e">
        <f>(CZ128-CO128)/CO128</f>
        <v>#DIV/0!</v>
      </c>
      <c r="DH128" s="203">
        <f>DK128 + ABS(DI128) + ABS(DJ128)</f>
        <v>0</v>
      </c>
      <c r="DI128" s="203"/>
      <c r="DJ128" s="203"/>
      <c r="DK128" s="203"/>
      <c r="DL128" s="176"/>
      <c r="DM128" s="176"/>
      <c r="DN128" s="176"/>
      <c r="DO128" s="177" t="b">
        <v>0</v>
      </c>
      <c r="DP128" s="177" t="b">
        <v>0</v>
      </c>
      <c r="DQ128" s="176" t="e">
        <f>(DL128-DA128)/DA128</f>
        <v>#DIV/0!</v>
      </c>
      <c r="DR128" s="176" t="e">
        <f>(DK128-CZ128)/CZ128</f>
        <v>#DIV/0!</v>
      </c>
      <c r="DS128" s="203">
        <f>DV128 + ABS(DT128) + ABS(DU128)</f>
        <v>0</v>
      </c>
      <c r="DT128" s="203"/>
      <c r="DU128" s="203"/>
      <c r="DV128" s="203"/>
      <c r="DW128" s="176"/>
      <c r="DX128" s="176"/>
      <c r="DY128" s="176"/>
      <c r="DZ128" s="177" t="b">
        <v>0</v>
      </c>
      <c r="EA128" s="177" t="b">
        <v>0</v>
      </c>
      <c r="EB128" s="176" t="e">
        <f>(DW128-DN128)/DN128</f>
        <v>#DIV/0!</v>
      </c>
      <c r="EC128" s="176" t="e">
        <f>(DV128-DK128)/DK128</f>
        <v>#DIV/0!</v>
      </c>
      <c r="ED128" s="203">
        <f>EG128 + ABS(EE128) + ABS(EF128)</f>
        <v>0</v>
      </c>
      <c r="EE128" s="203"/>
      <c r="EF128" s="203"/>
      <c r="EG128" s="203"/>
      <c r="EH128" s="176"/>
      <c r="EI128" s="176"/>
      <c r="EJ128" s="176"/>
      <c r="EK128" s="177" t="b">
        <v>0</v>
      </c>
      <c r="EL128" s="177" t="b">
        <v>0</v>
      </c>
      <c r="EM128" s="176" t="e">
        <f>(EH128-DW128)/DW128</f>
        <v>#DIV/0!</v>
      </c>
      <c r="EN128" s="176" t="e">
        <f>(EG128-DV128)/DV128</f>
        <v>#DIV/0!</v>
      </c>
      <c r="EO128" s="203">
        <f>ER128 + ABS(EP128) + ABS(EQ128)</f>
        <v>0</v>
      </c>
      <c r="EP128" s="203"/>
      <c r="EQ128" s="203"/>
      <c r="ER128" s="203"/>
      <c r="ES128" s="176"/>
      <c r="ET128" s="176"/>
      <c r="EU128" s="176"/>
      <c r="EV128" s="177" t="b">
        <v>0</v>
      </c>
      <c r="EW128" s="177" t="b">
        <v>0</v>
      </c>
      <c r="EX128" s="176" t="e">
        <f>(ES128-EJ128)/EJ128</f>
        <v>#DIV/0!</v>
      </c>
      <c r="EY128" s="176" t="e">
        <f>(ER128-EG128)/EG128</f>
        <v>#DIV/0!</v>
      </c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801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</row>
    <row r="129" spans="1:221" s="353" customFormat="1" ht="15">
      <c r="A129" s="184"/>
      <c r="B129" s="175"/>
      <c r="C129" s="800" t="s">
        <v>504</v>
      </c>
      <c r="D129" s="357">
        <v>1450022</v>
      </c>
      <c r="E129" s="357">
        <v>233</v>
      </c>
      <c r="F129" s="357" t="s">
        <v>505</v>
      </c>
      <c r="G129" s="426" t="s">
        <v>506</v>
      </c>
      <c r="H129" s="148" t="s">
        <v>169</v>
      </c>
      <c r="I129" s="448" t="s">
        <v>170</v>
      </c>
      <c r="J129" s="357"/>
      <c r="K129" s="357"/>
      <c r="L129" s="357"/>
      <c r="M129" s="358"/>
      <c r="N129" s="361">
        <v>107</v>
      </c>
      <c r="O129" s="358"/>
      <c r="P129" s="402">
        <v>865.4</v>
      </c>
      <c r="Q129" s="402"/>
      <c r="R129" s="402">
        <v>17163.78</v>
      </c>
      <c r="S129" s="358">
        <v>635</v>
      </c>
      <c r="T129" s="188" t="s">
        <v>171</v>
      </c>
      <c r="U129" s="358"/>
      <c r="V129" s="358"/>
      <c r="W129" s="358"/>
      <c r="X129" s="402">
        <f t="shared" si="10"/>
        <v>18210.71</v>
      </c>
      <c r="Y129" s="402">
        <v>-874.11</v>
      </c>
      <c r="Z129" s="402">
        <v>0</v>
      </c>
      <c r="AA129" s="402">
        <v>17336.599999999999</v>
      </c>
      <c r="AB129" s="450">
        <v>641</v>
      </c>
      <c r="AC129" s="173" t="s">
        <v>172</v>
      </c>
      <c r="AD129" s="173" t="s">
        <v>173</v>
      </c>
      <c r="AE129" s="164" t="b">
        <v>1</v>
      </c>
      <c r="AF129" s="164" t="b">
        <v>1</v>
      </c>
      <c r="AG129" s="409">
        <f>(AB129-S129)/S129</f>
        <v>9.4488188976377951E-3</v>
      </c>
      <c r="AH129" s="409">
        <f>(AA129-R129)/R129</f>
        <v>1.0068877601553955E-2</v>
      </c>
      <c r="AI129" s="402">
        <f t="shared" si="8"/>
        <v>15079.66</v>
      </c>
      <c r="AJ129" s="364">
        <v>-723.82</v>
      </c>
      <c r="AK129" s="364">
        <v>0</v>
      </c>
      <c r="AL129" s="364">
        <v>14355.84</v>
      </c>
      <c r="AM129" s="1069">
        <v>521</v>
      </c>
      <c r="AN129" s="407">
        <v>46122</v>
      </c>
      <c r="AO129" s="148" t="s">
        <v>174</v>
      </c>
      <c r="AP129" s="860" t="b">
        <v>1</v>
      </c>
      <c r="AQ129" s="860" t="b">
        <v>1</v>
      </c>
      <c r="AR129" s="409">
        <f t="shared" si="11"/>
        <v>-0.18720748829953199</v>
      </c>
      <c r="AS129" s="409">
        <f>(AL129-AA129)/AA129</f>
        <v>-0.17193452003276297</v>
      </c>
      <c r="AT129" s="402">
        <f t="shared" si="9"/>
        <v>0</v>
      </c>
      <c r="AU129" s="402"/>
      <c r="AV129" s="402"/>
      <c r="AW129" s="402"/>
      <c r="AX129" s="358"/>
      <c r="AY129" s="358"/>
      <c r="AZ129" s="358"/>
      <c r="BA129" s="164" t="b">
        <v>0</v>
      </c>
      <c r="BB129" s="164" t="b">
        <v>0</v>
      </c>
      <c r="BC129" s="358">
        <f>(AX129-AM129)/AM129</f>
        <v>-1</v>
      </c>
      <c r="BD129" s="358">
        <f>(AW129-AL129)/AL129</f>
        <v>-1</v>
      </c>
      <c r="BE129" s="402">
        <f>BH129 + ABS(BF129) + ABS(BG129)</f>
        <v>0</v>
      </c>
      <c r="BF129" s="402"/>
      <c r="BG129" s="402"/>
      <c r="BH129" s="402"/>
      <c r="BI129" s="358"/>
      <c r="BJ129" s="358"/>
      <c r="BK129" s="358"/>
      <c r="BL129" s="164" t="b">
        <v>0</v>
      </c>
      <c r="BM129" s="164" t="b">
        <v>0</v>
      </c>
      <c r="BN129" s="358" t="e">
        <f>(BI129-AZ129)/AZ129</f>
        <v>#DIV/0!</v>
      </c>
      <c r="BO129" s="358" t="e">
        <f>(BH129-AW129)/AW129</f>
        <v>#DIV/0!</v>
      </c>
      <c r="BP129" s="402">
        <f>BS129 + ABS(BQ129) + ABS(BR129)</f>
        <v>0</v>
      </c>
      <c r="BQ129" s="402"/>
      <c r="BR129" s="402"/>
      <c r="BS129" s="402"/>
      <c r="BT129" s="358"/>
      <c r="BU129" s="358"/>
      <c r="BV129" s="358"/>
      <c r="BW129" s="164" t="b">
        <v>0</v>
      </c>
      <c r="BX129" s="164" t="b">
        <v>0</v>
      </c>
      <c r="BY129" s="358" t="e">
        <f>(BT129-BI129)/BI129</f>
        <v>#DIV/0!</v>
      </c>
      <c r="BZ129" s="358" t="e">
        <f>(BS129-BH129)/BH129</f>
        <v>#DIV/0!</v>
      </c>
      <c r="CA129" s="402">
        <f>CD129 + ABS(CB129) + ABS(CC129)</f>
        <v>0</v>
      </c>
      <c r="CB129" s="402"/>
      <c r="CC129" s="402"/>
      <c r="CD129" s="402"/>
      <c r="CE129" s="358"/>
      <c r="CF129" s="358"/>
      <c r="CG129" s="358"/>
      <c r="CH129" s="164" t="b">
        <v>0</v>
      </c>
      <c r="CI129" s="164" t="b">
        <v>0</v>
      </c>
      <c r="CJ129" s="358" t="e">
        <f>(CE129-BV129)/BV129</f>
        <v>#DIV/0!</v>
      </c>
      <c r="CK129" s="358" t="e">
        <f>(CD129-BS129)/BS129</f>
        <v>#DIV/0!</v>
      </c>
      <c r="CL129" s="402">
        <f>CO129 + ABS(CM129) + ABS(CN129)</f>
        <v>0</v>
      </c>
      <c r="CM129" s="402"/>
      <c r="CN129" s="402"/>
      <c r="CO129" s="402"/>
      <c r="CP129" s="358"/>
      <c r="CQ129" s="358"/>
      <c r="CR129" s="358"/>
      <c r="CS129" s="164" t="b">
        <v>0</v>
      </c>
      <c r="CT129" s="164" t="b">
        <v>0</v>
      </c>
      <c r="CU129" s="358" t="e">
        <f>(CP129-CE129)/CE129</f>
        <v>#DIV/0!</v>
      </c>
      <c r="CV129" s="358" t="e">
        <f>(CO129-CD129)/CD129</f>
        <v>#DIV/0!</v>
      </c>
      <c r="CW129" s="402">
        <f>CZ129 + ABS(CX129) + ABS(CY129)</f>
        <v>0</v>
      </c>
      <c r="CX129" s="402"/>
      <c r="CY129" s="402"/>
      <c r="CZ129" s="402"/>
      <c r="DA129" s="358"/>
      <c r="DB129" s="358"/>
      <c r="DC129" s="358"/>
      <c r="DD129" s="164" t="b">
        <v>0</v>
      </c>
      <c r="DE129" s="164" t="b">
        <v>0</v>
      </c>
      <c r="DF129" s="358" t="e">
        <f>(DA129-CR129)/CR129</f>
        <v>#DIV/0!</v>
      </c>
      <c r="DG129" s="358" t="e">
        <f>(CZ129-CO129)/CO129</f>
        <v>#DIV/0!</v>
      </c>
      <c r="DH129" s="402">
        <f>DK129 + ABS(DI129) + ABS(DJ129)</f>
        <v>0</v>
      </c>
      <c r="DI129" s="402"/>
      <c r="DJ129" s="402"/>
      <c r="DK129" s="402"/>
      <c r="DL129" s="358"/>
      <c r="DM129" s="358"/>
      <c r="DN129" s="358"/>
      <c r="DO129" s="164" t="b">
        <v>0</v>
      </c>
      <c r="DP129" s="164" t="b">
        <v>0</v>
      </c>
      <c r="DQ129" s="358" t="e">
        <f>(DL129-DA129)/DA129</f>
        <v>#DIV/0!</v>
      </c>
      <c r="DR129" s="358" t="e">
        <f>(DK129-CZ129)/CZ129</f>
        <v>#DIV/0!</v>
      </c>
      <c r="DS129" s="402">
        <f>DV129 + ABS(DT129) + ABS(DU129)</f>
        <v>0</v>
      </c>
      <c r="DT129" s="402"/>
      <c r="DU129" s="402"/>
      <c r="DV129" s="402"/>
      <c r="DW129" s="358"/>
      <c r="DX129" s="358"/>
      <c r="DY129" s="358"/>
      <c r="DZ129" s="164" t="b">
        <v>0</v>
      </c>
      <c r="EA129" s="164" t="b">
        <v>0</v>
      </c>
      <c r="EB129" s="358" t="e">
        <f>(DW129-DN129)/DN129</f>
        <v>#DIV/0!</v>
      </c>
      <c r="EC129" s="358" t="e">
        <f>(DV129-DK129)/DK129</f>
        <v>#DIV/0!</v>
      </c>
      <c r="ED129" s="402">
        <f>EG129 + ABS(EE129) + ABS(EF129)</f>
        <v>0</v>
      </c>
      <c r="EE129" s="402"/>
      <c r="EF129" s="402"/>
      <c r="EG129" s="402"/>
      <c r="EH129" s="358"/>
      <c r="EI129" s="358"/>
      <c r="EJ129" s="358"/>
      <c r="EK129" s="164" t="b">
        <v>0</v>
      </c>
      <c r="EL129" s="164" t="b">
        <v>0</v>
      </c>
      <c r="EM129" s="358" t="e">
        <f>(EH129-DW129)/DW129</f>
        <v>#DIV/0!</v>
      </c>
      <c r="EN129" s="358" t="e">
        <f>(EG129-DV129)/DV129</f>
        <v>#DIV/0!</v>
      </c>
      <c r="EO129" s="402">
        <f>ER129 + ABS(EP129) + ABS(EQ129)</f>
        <v>0</v>
      </c>
      <c r="EP129" s="402"/>
      <c r="EQ129" s="402"/>
      <c r="ER129" s="402"/>
      <c r="ES129" s="358"/>
      <c r="ET129" s="358"/>
      <c r="EU129" s="358"/>
      <c r="EV129" s="164" t="b">
        <v>0</v>
      </c>
      <c r="EW129" s="164" t="b">
        <v>0</v>
      </c>
      <c r="EX129" s="358" t="e">
        <f>(ES129-EJ129)/EJ129</f>
        <v>#DIV/0!</v>
      </c>
      <c r="EY129" s="358" t="e">
        <f>(ER129-EG129)/EG129</f>
        <v>#DIV/0!</v>
      </c>
      <c r="EZ129" s="449"/>
      <c r="FA129" s="449"/>
      <c r="FB129" s="449"/>
      <c r="FC129" s="449"/>
      <c r="FD129" s="449"/>
      <c r="FE129" s="449"/>
      <c r="FF129" s="449"/>
      <c r="FG129" s="449"/>
      <c r="FH129" s="449"/>
      <c r="FI129" s="449"/>
      <c r="FJ129" s="449"/>
      <c r="FK129" s="449"/>
      <c r="FL129" s="175"/>
      <c r="FM129" s="175"/>
      <c r="FN129" s="175"/>
      <c r="FO129" s="175"/>
      <c r="FP129" s="175"/>
      <c r="FQ129" s="801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</row>
    <row r="130" spans="1:221" ht="15">
      <c r="B130" s="175"/>
      <c r="C130" s="802" t="s">
        <v>507</v>
      </c>
      <c r="D130" s="154">
        <v>1450022</v>
      </c>
      <c r="E130" s="154">
        <v>167</v>
      </c>
      <c r="F130" s="154" t="s">
        <v>508</v>
      </c>
      <c r="G130" s="255" t="s">
        <v>509</v>
      </c>
      <c r="H130" s="171" t="s">
        <v>169</v>
      </c>
      <c r="I130" s="445" t="s">
        <v>170</v>
      </c>
      <c r="J130" s="154"/>
      <c r="K130" s="154"/>
      <c r="L130" s="154"/>
      <c r="M130" s="176"/>
      <c r="N130" s="193">
        <v>107</v>
      </c>
      <c r="O130" s="176"/>
      <c r="P130" s="203">
        <v>227.5</v>
      </c>
      <c r="Q130" s="203"/>
      <c r="R130" s="203">
        <v>4512.1099999999997</v>
      </c>
      <c r="S130" s="176">
        <v>195</v>
      </c>
      <c r="T130" s="188" t="s">
        <v>171</v>
      </c>
      <c r="U130" s="176"/>
      <c r="V130" s="176"/>
      <c r="W130" s="176"/>
      <c r="X130" s="203">
        <f t="shared" si="10"/>
        <v>5624.6299999999992</v>
      </c>
      <c r="Y130" s="203">
        <v>-269.98</v>
      </c>
      <c r="Z130" s="203">
        <v>0</v>
      </c>
      <c r="AA130" s="203">
        <v>5354.65</v>
      </c>
      <c r="AB130" s="446">
        <v>225</v>
      </c>
      <c r="AC130" s="255" t="s">
        <v>172</v>
      </c>
      <c r="AD130" s="255" t="s">
        <v>173</v>
      </c>
      <c r="AE130" s="177" t="b">
        <v>1</v>
      </c>
      <c r="AF130" s="177" t="b">
        <v>1</v>
      </c>
      <c r="AG130" s="392">
        <f>(AB130-S130)/S130</f>
        <v>0.15384615384615385</v>
      </c>
      <c r="AH130" s="392">
        <f>(AA130-R130)/R130</f>
        <v>0.18672860369095612</v>
      </c>
      <c r="AI130" s="203">
        <f t="shared" si="8"/>
        <v>5989.02</v>
      </c>
      <c r="AJ130" s="368">
        <v>-287.47000000000003</v>
      </c>
      <c r="AK130" s="368">
        <v>0</v>
      </c>
      <c r="AL130" s="368">
        <v>5701.55</v>
      </c>
      <c r="AM130" s="1068">
        <v>229</v>
      </c>
      <c r="AN130" s="172">
        <v>46122</v>
      </c>
      <c r="AO130" s="171" t="s">
        <v>174</v>
      </c>
      <c r="AP130" s="861" t="b">
        <v>1</v>
      </c>
      <c r="AQ130" s="861" t="b">
        <v>1</v>
      </c>
      <c r="AR130" s="392">
        <f t="shared" si="11"/>
        <v>1.7777777777777778E-2</v>
      </c>
      <c r="AS130" s="392">
        <f>(AL130-AA130)/AA130</f>
        <v>6.4784813199742386E-2</v>
      </c>
      <c r="AT130" s="203">
        <f t="shared" si="9"/>
        <v>0</v>
      </c>
      <c r="AU130" s="203"/>
      <c r="AV130" s="203"/>
      <c r="AW130" s="203"/>
      <c r="AX130" s="176"/>
      <c r="AY130" s="176"/>
      <c r="AZ130" s="176"/>
      <c r="BA130" s="177" t="b">
        <v>0</v>
      </c>
      <c r="BB130" s="177" t="b">
        <v>0</v>
      </c>
      <c r="BC130" s="176">
        <f>(AX130-AM130)/AM130</f>
        <v>-1</v>
      </c>
      <c r="BD130" s="176">
        <f>(AW130-AL130)/AL130</f>
        <v>-1</v>
      </c>
      <c r="BE130" s="203">
        <f>BH130 + ABS(BF130) + ABS(BG130)</f>
        <v>0</v>
      </c>
      <c r="BF130" s="203"/>
      <c r="BG130" s="203"/>
      <c r="BH130" s="203"/>
      <c r="BI130" s="176"/>
      <c r="BJ130" s="176"/>
      <c r="BK130" s="176"/>
      <c r="BL130" s="177" t="b">
        <v>0</v>
      </c>
      <c r="BM130" s="177" t="b">
        <v>0</v>
      </c>
      <c r="BN130" s="176" t="e">
        <f>(BI130-AZ130)/AZ130</f>
        <v>#DIV/0!</v>
      </c>
      <c r="BO130" s="176" t="e">
        <f>(BH130-AW130)/AW130</f>
        <v>#DIV/0!</v>
      </c>
      <c r="BP130" s="203">
        <f>BS130 + ABS(BQ130) + ABS(BR130)</f>
        <v>0</v>
      </c>
      <c r="BQ130" s="203"/>
      <c r="BR130" s="203"/>
      <c r="BS130" s="203"/>
      <c r="BT130" s="176"/>
      <c r="BU130" s="176"/>
      <c r="BV130" s="176"/>
      <c r="BW130" s="177" t="b">
        <v>0</v>
      </c>
      <c r="BX130" s="177" t="b">
        <v>0</v>
      </c>
      <c r="BY130" s="176" t="e">
        <f>(BT130-BI130)/BI130</f>
        <v>#DIV/0!</v>
      </c>
      <c r="BZ130" s="176" t="e">
        <f>(BS130-BH130)/BH130</f>
        <v>#DIV/0!</v>
      </c>
      <c r="CA130" s="203">
        <f>CD130 + ABS(CB130) + ABS(CC130)</f>
        <v>0</v>
      </c>
      <c r="CB130" s="203"/>
      <c r="CC130" s="203"/>
      <c r="CD130" s="203"/>
      <c r="CE130" s="176"/>
      <c r="CF130" s="176"/>
      <c r="CG130" s="176"/>
      <c r="CH130" s="177" t="b">
        <v>0</v>
      </c>
      <c r="CI130" s="177" t="b">
        <v>0</v>
      </c>
      <c r="CJ130" s="176" t="e">
        <f>(CE130-BV130)/BV130</f>
        <v>#DIV/0!</v>
      </c>
      <c r="CK130" s="176" t="e">
        <f>(CD130-BS130)/BS130</f>
        <v>#DIV/0!</v>
      </c>
      <c r="CL130" s="203">
        <f>CO130 + ABS(CM130) + ABS(CN130)</f>
        <v>0</v>
      </c>
      <c r="CM130" s="203"/>
      <c r="CN130" s="203"/>
      <c r="CO130" s="203"/>
      <c r="CP130" s="176"/>
      <c r="CQ130" s="176"/>
      <c r="CR130" s="176"/>
      <c r="CS130" s="177" t="b">
        <v>0</v>
      </c>
      <c r="CT130" s="177" t="b">
        <v>0</v>
      </c>
      <c r="CU130" s="176" t="e">
        <f>(CP130-CE130)/CE130</f>
        <v>#DIV/0!</v>
      </c>
      <c r="CV130" s="176" t="e">
        <f>(CO130-CD130)/CD130</f>
        <v>#DIV/0!</v>
      </c>
      <c r="CW130" s="203">
        <f>CZ130 + ABS(CX130) + ABS(CY130)</f>
        <v>0</v>
      </c>
      <c r="CX130" s="203"/>
      <c r="CY130" s="203"/>
      <c r="CZ130" s="203"/>
      <c r="DA130" s="176"/>
      <c r="DB130" s="176"/>
      <c r="DC130" s="176"/>
      <c r="DD130" s="177" t="b">
        <v>0</v>
      </c>
      <c r="DE130" s="177" t="b">
        <v>0</v>
      </c>
      <c r="DF130" s="176" t="e">
        <f>(DA130-CR130)/CR130</f>
        <v>#DIV/0!</v>
      </c>
      <c r="DG130" s="176" t="e">
        <f>(CZ130-CO130)/CO130</f>
        <v>#DIV/0!</v>
      </c>
      <c r="DH130" s="203">
        <f>DK130 + ABS(DI130) + ABS(DJ130)</f>
        <v>0</v>
      </c>
      <c r="DI130" s="203"/>
      <c r="DJ130" s="203"/>
      <c r="DK130" s="203"/>
      <c r="DL130" s="176"/>
      <c r="DM130" s="176"/>
      <c r="DN130" s="176"/>
      <c r="DO130" s="177" t="b">
        <v>0</v>
      </c>
      <c r="DP130" s="177" t="b">
        <v>0</v>
      </c>
      <c r="DQ130" s="176" t="e">
        <f>(DL130-DA130)/DA130</f>
        <v>#DIV/0!</v>
      </c>
      <c r="DR130" s="176" t="e">
        <f>(DK130-CZ130)/CZ130</f>
        <v>#DIV/0!</v>
      </c>
      <c r="DS130" s="203">
        <f>DV130 + ABS(DT130) + ABS(DU130)</f>
        <v>0</v>
      </c>
      <c r="DT130" s="203"/>
      <c r="DU130" s="203"/>
      <c r="DV130" s="203"/>
      <c r="DW130" s="176"/>
      <c r="DX130" s="176"/>
      <c r="DY130" s="176"/>
      <c r="DZ130" s="177" t="b">
        <v>0</v>
      </c>
      <c r="EA130" s="177" t="b">
        <v>0</v>
      </c>
      <c r="EB130" s="176" t="e">
        <f>(DW130-DN130)/DN130</f>
        <v>#DIV/0!</v>
      </c>
      <c r="EC130" s="176" t="e">
        <f>(DV130-DK130)/DK130</f>
        <v>#DIV/0!</v>
      </c>
      <c r="ED130" s="203">
        <f>EG130 + ABS(EE130) + ABS(EF130)</f>
        <v>0</v>
      </c>
      <c r="EE130" s="203"/>
      <c r="EF130" s="203"/>
      <c r="EG130" s="203"/>
      <c r="EH130" s="176"/>
      <c r="EI130" s="176"/>
      <c r="EJ130" s="176"/>
      <c r="EK130" s="177" t="b">
        <v>0</v>
      </c>
      <c r="EL130" s="177" t="b">
        <v>0</v>
      </c>
      <c r="EM130" s="176" t="e">
        <f>(EH130-DW130)/DW130</f>
        <v>#DIV/0!</v>
      </c>
      <c r="EN130" s="176" t="e">
        <f>(EG130-DV130)/DV130</f>
        <v>#DIV/0!</v>
      </c>
      <c r="EO130" s="203">
        <f>ER130 + ABS(EP130) + ABS(EQ130)</f>
        <v>0</v>
      </c>
      <c r="EP130" s="203"/>
      <c r="EQ130" s="203"/>
      <c r="ER130" s="203"/>
      <c r="ES130" s="176"/>
      <c r="ET130" s="176"/>
      <c r="EU130" s="176"/>
      <c r="EV130" s="177" t="b">
        <v>0</v>
      </c>
      <c r="EW130" s="177" t="b">
        <v>0</v>
      </c>
      <c r="EX130" s="176" t="e">
        <f>(ES130-EJ130)/EJ130</f>
        <v>#DIV/0!</v>
      </c>
      <c r="EY130" s="176" t="e">
        <f>(ER130-EG130)/EG130</f>
        <v>#DIV/0!</v>
      </c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801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</row>
    <row r="131" spans="1:221" ht="15">
      <c r="B131" s="175"/>
      <c r="C131" s="800" t="s">
        <v>510</v>
      </c>
      <c r="D131" s="357">
        <v>1450022</v>
      </c>
      <c r="E131" s="357">
        <v>332</v>
      </c>
      <c r="F131" s="357" t="s">
        <v>511</v>
      </c>
      <c r="G131" s="426" t="s">
        <v>512</v>
      </c>
      <c r="H131" s="148" t="s">
        <v>169</v>
      </c>
      <c r="I131" s="448" t="s">
        <v>170</v>
      </c>
      <c r="J131" s="357"/>
      <c r="K131" s="357"/>
      <c r="L131" s="357"/>
      <c r="M131" s="358"/>
      <c r="N131" s="361">
        <v>107</v>
      </c>
      <c r="O131" s="358"/>
      <c r="P131" s="402">
        <v>1040.6400000000001</v>
      </c>
      <c r="Q131" s="402"/>
      <c r="R131" s="402">
        <v>20639.46</v>
      </c>
      <c r="S131" s="358">
        <v>1286</v>
      </c>
      <c r="T131" s="188" t="s">
        <v>171</v>
      </c>
      <c r="U131" s="358"/>
      <c r="V131" s="358"/>
      <c r="W131" s="358"/>
      <c r="X131" s="402">
        <f t="shared" si="10"/>
        <v>24948.86</v>
      </c>
      <c r="Y131" s="402">
        <v>-1197.55</v>
      </c>
      <c r="Z131" s="402">
        <v>0</v>
      </c>
      <c r="AA131" s="402">
        <v>23751.31</v>
      </c>
      <c r="AB131" s="450">
        <v>1474</v>
      </c>
      <c r="AC131" s="173" t="s">
        <v>172</v>
      </c>
      <c r="AD131" s="173" t="s">
        <v>173</v>
      </c>
      <c r="AE131" s="164" t="b">
        <v>1</v>
      </c>
      <c r="AF131" s="164" t="b">
        <v>1</v>
      </c>
      <c r="AG131" s="409">
        <f>(AB131-S131)/S131</f>
        <v>0.14618973561430793</v>
      </c>
      <c r="AH131" s="409">
        <f>(AA131-R131)/R131</f>
        <v>0.15077187096949254</v>
      </c>
      <c r="AI131" s="402">
        <f t="shared" si="8"/>
        <v>21238.940000000002</v>
      </c>
      <c r="AJ131" s="364">
        <v>-1019.47</v>
      </c>
      <c r="AK131" s="364">
        <v>0</v>
      </c>
      <c r="AL131" s="364">
        <v>20219.47</v>
      </c>
      <c r="AM131" s="1069">
        <v>1205</v>
      </c>
      <c r="AN131" s="407">
        <v>46122</v>
      </c>
      <c r="AO131" s="148" t="s">
        <v>174</v>
      </c>
      <c r="AP131" s="860" t="b">
        <v>1</v>
      </c>
      <c r="AQ131" s="860" t="b">
        <v>1</v>
      </c>
      <c r="AR131" s="409">
        <f t="shared" si="11"/>
        <v>-0.1824966078697422</v>
      </c>
      <c r="AS131" s="409">
        <f>(AL131-AA131)/AA131</f>
        <v>-0.14870085060571395</v>
      </c>
      <c r="AT131" s="402">
        <f t="shared" si="9"/>
        <v>0</v>
      </c>
      <c r="AU131" s="402"/>
      <c r="AV131" s="402"/>
      <c r="AW131" s="402"/>
      <c r="AX131" s="358"/>
      <c r="AY131" s="358"/>
      <c r="AZ131" s="358"/>
      <c r="BA131" s="164" t="b">
        <v>0</v>
      </c>
      <c r="BB131" s="164" t="b">
        <v>0</v>
      </c>
      <c r="BC131" s="358">
        <f>(AX131-AM131)/AM131</f>
        <v>-1</v>
      </c>
      <c r="BD131" s="358">
        <f>(AW131-AL131)/AL131</f>
        <v>-1</v>
      </c>
      <c r="BE131" s="402">
        <f>BH131 + ABS(BF131) + ABS(BG131)</f>
        <v>0</v>
      </c>
      <c r="BF131" s="402"/>
      <c r="BG131" s="402"/>
      <c r="BH131" s="402"/>
      <c r="BI131" s="358"/>
      <c r="BJ131" s="358"/>
      <c r="BK131" s="358"/>
      <c r="BL131" s="164" t="b">
        <v>0</v>
      </c>
      <c r="BM131" s="164" t="b">
        <v>0</v>
      </c>
      <c r="BN131" s="358" t="e">
        <f>(BI131-AZ131)/AZ131</f>
        <v>#DIV/0!</v>
      </c>
      <c r="BO131" s="358" t="e">
        <f>(BH131-AW131)/AW131</f>
        <v>#DIV/0!</v>
      </c>
      <c r="BP131" s="402">
        <f>BS131 + ABS(BQ131) + ABS(BR131)</f>
        <v>0</v>
      </c>
      <c r="BQ131" s="402"/>
      <c r="BR131" s="402"/>
      <c r="BS131" s="402"/>
      <c r="BT131" s="358"/>
      <c r="BU131" s="358"/>
      <c r="BV131" s="358"/>
      <c r="BW131" s="164" t="b">
        <v>0</v>
      </c>
      <c r="BX131" s="164" t="b">
        <v>0</v>
      </c>
      <c r="BY131" s="358" t="e">
        <f>(BT131-BI131)/BI131</f>
        <v>#DIV/0!</v>
      </c>
      <c r="BZ131" s="358" t="e">
        <f>(BS131-BH131)/BH131</f>
        <v>#DIV/0!</v>
      </c>
      <c r="CA131" s="402">
        <f>CD131 + ABS(CB131) + ABS(CC131)</f>
        <v>0</v>
      </c>
      <c r="CB131" s="402"/>
      <c r="CC131" s="402"/>
      <c r="CD131" s="402"/>
      <c r="CE131" s="358"/>
      <c r="CF131" s="358"/>
      <c r="CG131" s="358"/>
      <c r="CH131" s="164" t="b">
        <v>0</v>
      </c>
      <c r="CI131" s="164" t="b">
        <v>0</v>
      </c>
      <c r="CJ131" s="358" t="e">
        <f>(CE131-BV131)/BV131</f>
        <v>#DIV/0!</v>
      </c>
      <c r="CK131" s="358" t="e">
        <f>(CD131-BS131)/BS131</f>
        <v>#DIV/0!</v>
      </c>
      <c r="CL131" s="402">
        <f>CO131 + ABS(CM131) + ABS(CN131)</f>
        <v>0</v>
      </c>
      <c r="CM131" s="402"/>
      <c r="CN131" s="402"/>
      <c r="CO131" s="402"/>
      <c r="CP131" s="358"/>
      <c r="CQ131" s="358"/>
      <c r="CR131" s="358"/>
      <c r="CS131" s="164" t="b">
        <v>0</v>
      </c>
      <c r="CT131" s="164" t="b">
        <v>0</v>
      </c>
      <c r="CU131" s="358" t="e">
        <f>(CP131-CE131)/CE131</f>
        <v>#DIV/0!</v>
      </c>
      <c r="CV131" s="358" t="e">
        <f>(CO131-CD131)/CD131</f>
        <v>#DIV/0!</v>
      </c>
      <c r="CW131" s="402">
        <f>CZ131 + ABS(CX131) + ABS(CY131)</f>
        <v>0</v>
      </c>
      <c r="CX131" s="402"/>
      <c r="CY131" s="402"/>
      <c r="CZ131" s="402"/>
      <c r="DA131" s="358"/>
      <c r="DB131" s="358"/>
      <c r="DC131" s="358"/>
      <c r="DD131" s="164" t="b">
        <v>0</v>
      </c>
      <c r="DE131" s="164" t="b">
        <v>0</v>
      </c>
      <c r="DF131" s="358" t="e">
        <f>(DA131-CR131)/CR131</f>
        <v>#DIV/0!</v>
      </c>
      <c r="DG131" s="358" t="e">
        <f>(CZ131-CO131)/CO131</f>
        <v>#DIV/0!</v>
      </c>
      <c r="DH131" s="402">
        <f>DK131 + ABS(DI131) + ABS(DJ131)</f>
        <v>0</v>
      </c>
      <c r="DI131" s="402"/>
      <c r="DJ131" s="402"/>
      <c r="DK131" s="402"/>
      <c r="DL131" s="358"/>
      <c r="DM131" s="358"/>
      <c r="DN131" s="358"/>
      <c r="DO131" s="164" t="b">
        <v>0</v>
      </c>
      <c r="DP131" s="164" t="b">
        <v>0</v>
      </c>
      <c r="DQ131" s="358" t="e">
        <f>(DL131-DA131)/DA131</f>
        <v>#DIV/0!</v>
      </c>
      <c r="DR131" s="358" t="e">
        <f>(DK131-CZ131)/CZ131</f>
        <v>#DIV/0!</v>
      </c>
      <c r="DS131" s="402">
        <f>DV131 + ABS(DT131) + ABS(DU131)</f>
        <v>0</v>
      </c>
      <c r="DT131" s="402"/>
      <c r="DU131" s="402"/>
      <c r="DV131" s="402"/>
      <c r="DW131" s="358"/>
      <c r="DX131" s="358"/>
      <c r="DY131" s="358"/>
      <c r="DZ131" s="164" t="b">
        <v>0</v>
      </c>
      <c r="EA131" s="164" t="b">
        <v>0</v>
      </c>
      <c r="EB131" s="358" t="e">
        <f>(DW131-DN131)/DN131</f>
        <v>#DIV/0!</v>
      </c>
      <c r="EC131" s="358" t="e">
        <f>(DV131-DK131)/DK131</f>
        <v>#DIV/0!</v>
      </c>
      <c r="ED131" s="402">
        <f>EG131 + ABS(EE131) + ABS(EF131)</f>
        <v>0</v>
      </c>
      <c r="EE131" s="402"/>
      <c r="EF131" s="402"/>
      <c r="EG131" s="402"/>
      <c r="EH131" s="358"/>
      <c r="EI131" s="358"/>
      <c r="EJ131" s="358"/>
      <c r="EK131" s="164" t="b">
        <v>0</v>
      </c>
      <c r="EL131" s="164" t="b">
        <v>0</v>
      </c>
      <c r="EM131" s="358" t="e">
        <f>(EH131-DW131)/DW131</f>
        <v>#DIV/0!</v>
      </c>
      <c r="EN131" s="358" t="e">
        <f>(EG131-DV131)/DV131</f>
        <v>#DIV/0!</v>
      </c>
      <c r="EO131" s="402">
        <f>ER131 + ABS(EP131) + ABS(EQ131)</f>
        <v>0</v>
      </c>
      <c r="EP131" s="402"/>
      <c r="EQ131" s="402"/>
      <c r="ER131" s="402"/>
      <c r="ES131" s="358"/>
      <c r="ET131" s="358"/>
      <c r="EU131" s="358"/>
      <c r="EV131" s="164" t="b">
        <v>0</v>
      </c>
      <c r="EW131" s="164" t="b">
        <v>0</v>
      </c>
      <c r="EX131" s="358" t="e">
        <f>(ES131-EJ131)/EJ131</f>
        <v>#DIV/0!</v>
      </c>
      <c r="EY131" s="358" t="e">
        <f>(ER131-EG131)/EG131</f>
        <v>#DIV/0!</v>
      </c>
      <c r="EZ131" s="449"/>
      <c r="FA131" s="449"/>
      <c r="FB131" s="449"/>
      <c r="FC131" s="449"/>
      <c r="FD131" s="449"/>
      <c r="FE131" s="449"/>
      <c r="FF131" s="449"/>
      <c r="FG131" s="449"/>
      <c r="FH131" s="449"/>
      <c r="FI131" s="449"/>
      <c r="FJ131" s="449"/>
      <c r="FK131" s="449"/>
      <c r="FL131" s="449"/>
      <c r="FM131" s="449"/>
      <c r="FN131" s="449"/>
      <c r="FO131" s="449"/>
      <c r="FP131" s="449"/>
      <c r="FQ131" s="801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</row>
    <row r="132" spans="1:221" ht="15">
      <c r="B132" s="175"/>
      <c r="C132" s="802" t="s">
        <v>513</v>
      </c>
      <c r="D132" s="154">
        <v>1450022</v>
      </c>
      <c r="E132" s="154">
        <v>107</v>
      </c>
      <c r="F132" s="154" t="s">
        <v>514</v>
      </c>
      <c r="G132" s="255" t="s">
        <v>515</v>
      </c>
      <c r="H132" s="171" t="s">
        <v>169</v>
      </c>
      <c r="I132" s="445" t="s">
        <v>170</v>
      </c>
      <c r="J132" s="154"/>
      <c r="K132" s="154"/>
      <c r="L132" s="154"/>
      <c r="M132" s="176"/>
      <c r="N132" s="193">
        <v>107</v>
      </c>
      <c r="O132" s="176"/>
      <c r="P132" s="203">
        <v>9786.51</v>
      </c>
      <c r="Q132" s="203"/>
      <c r="R132" s="203">
        <v>194099.13</v>
      </c>
      <c r="S132" s="176">
        <v>6778</v>
      </c>
      <c r="T132" s="188" t="s">
        <v>171</v>
      </c>
      <c r="U132" s="176"/>
      <c r="V132" s="176"/>
      <c r="W132" s="176"/>
      <c r="X132" s="203">
        <f t="shared" si="10"/>
        <v>168638.56</v>
      </c>
      <c r="Y132" s="203">
        <v>-8094.65</v>
      </c>
      <c r="Z132" s="203">
        <v>0</v>
      </c>
      <c r="AA132" s="203">
        <v>160543.91</v>
      </c>
      <c r="AB132" s="446">
        <v>5613</v>
      </c>
      <c r="AC132" s="255" t="s">
        <v>172</v>
      </c>
      <c r="AD132" s="255" t="s">
        <v>173</v>
      </c>
      <c r="AE132" s="177" t="b">
        <v>1</v>
      </c>
      <c r="AF132" s="177" t="b">
        <v>1</v>
      </c>
      <c r="AG132" s="392">
        <f>(AB132-S132)/S132</f>
        <v>-0.17187961050457362</v>
      </c>
      <c r="AH132" s="392">
        <f>(AA132-R132)/R132</f>
        <v>-0.17287671510943919</v>
      </c>
      <c r="AI132" s="203">
        <f t="shared" si="8"/>
        <v>166727.95000000001</v>
      </c>
      <c r="AJ132" s="368">
        <v>-8002.94</v>
      </c>
      <c r="AK132" s="368">
        <v>0</v>
      </c>
      <c r="AL132" s="368">
        <v>158725.01</v>
      </c>
      <c r="AM132" s="1068">
        <v>5369</v>
      </c>
      <c r="AN132" s="172">
        <v>46122</v>
      </c>
      <c r="AO132" s="171" t="s">
        <v>174</v>
      </c>
      <c r="AP132" s="861" t="b">
        <v>1</v>
      </c>
      <c r="AQ132" s="861" t="b">
        <v>1</v>
      </c>
      <c r="AR132" s="392">
        <f t="shared" si="11"/>
        <v>-4.3470514876180297E-2</v>
      </c>
      <c r="AS132" s="392">
        <f>(AL132-AA132)/AA132</f>
        <v>-1.1329610696537751E-2</v>
      </c>
      <c r="AT132" s="203">
        <f t="shared" si="9"/>
        <v>0</v>
      </c>
      <c r="AU132" s="203"/>
      <c r="AV132" s="203"/>
      <c r="AW132" s="203"/>
      <c r="AX132" s="176"/>
      <c r="AY132" s="176"/>
      <c r="AZ132" s="176"/>
      <c r="BA132" s="177" t="b">
        <v>0</v>
      </c>
      <c r="BB132" s="177" t="b">
        <v>0</v>
      </c>
      <c r="BC132" s="176">
        <f>(AX132-AM132)/AM132</f>
        <v>-1</v>
      </c>
      <c r="BD132" s="176">
        <f>(AW132-AL132)/AL132</f>
        <v>-1</v>
      </c>
      <c r="BE132" s="203">
        <f>BH132 + ABS(BF132) + ABS(BG132)</f>
        <v>0</v>
      </c>
      <c r="BF132" s="203"/>
      <c r="BG132" s="203"/>
      <c r="BH132" s="203"/>
      <c r="BI132" s="176"/>
      <c r="BJ132" s="176"/>
      <c r="BK132" s="176"/>
      <c r="BL132" s="177" t="b">
        <v>0</v>
      </c>
      <c r="BM132" s="177" t="b">
        <v>0</v>
      </c>
      <c r="BN132" s="176" t="e">
        <f>(BI132-AZ132)/AZ132</f>
        <v>#DIV/0!</v>
      </c>
      <c r="BO132" s="176" t="e">
        <f>(BH132-AW132)/AW132</f>
        <v>#DIV/0!</v>
      </c>
      <c r="BP132" s="203">
        <f>BS132 + ABS(BQ132) + ABS(BR132)</f>
        <v>0</v>
      </c>
      <c r="BQ132" s="203"/>
      <c r="BR132" s="203"/>
      <c r="BS132" s="203"/>
      <c r="BT132" s="176"/>
      <c r="BU132" s="176"/>
      <c r="BV132" s="176"/>
      <c r="BW132" s="177" t="b">
        <v>0</v>
      </c>
      <c r="BX132" s="177" t="b">
        <v>0</v>
      </c>
      <c r="BY132" s="176" t="e">
        <f>(BT132-BI132)/BI132</f>
        <v>#DIV/0!</v>
      </c>
      <c r="BZ132" s="176" t="e">
        <f>(BS132-BH132)/BH132</f>
        <v>#DIV/0!</v>
      </c>
      <c r="CA132" s="203">
        <f>CD132 + ABS(CB132) + ABS(CC132)</f>
        <v>0</v>
      </c>
      <c r="CB132" s="203"/>
      <c r="CC132" s="203"/>
      <c r="CD132" s="203"/>
      <c r="CE132" s="176"/>
      <c r="CF132" s="176"/>
      <c r="CG132" s="176"/>
      <c r="CH132" s="177" t="b">
        <v>0</v>
      </c>
      <c r="CI132" s="177" t="b">
        <v>0</v>
      </c>
      <c r="CJ132" s="176" t="e">
        <f>(CE132-BV132)/BV132</f>
        <v>#DIV/0!</v>
      </c>
      <c r="CK132" s="176" t="e">
        <f>(CD132-BS132)/BS132</f>
        <v>#DIV/0!</v>
      </c>
      <c r="CL132" s="203">
        <f>CO132 + ABS(CM132) + ABS(CN132)</f>
        <v>0</v>
      </c>
      <c r="CM132" s="203"/>
      <c r="CN132" s="203"/>
      <c r="CO132" s="203"/>
      <c r="CP132" s="176"/>
      <c r="CQ132" s="176"/>
      <c r="CR132" s="176"/>
      <c r="CS132" s="177" t="b">
        <v>0</v>
      </c>
      <c r="CT132" s="177" t="b">
        <v>0</v>
      </c>
      <c r="CU132" s="176" t="e">
        <f>(CP132-CE132)/CE132</f>
        <v>#DIV/0!</v>
      </c>
      <c r="CV132" s="176" t="e">
        <f>(CO132-CD132)/CD132</f>
        <v>#DIV/0!</v>
      </c>
      <c r="CW132" s="203">
        <f>CZ132 + ABS(CX132) + ABS(CY132)</f>
        <v>0</v>
      </c>
      <c r="CX132" s="203"/>
      <c r="CY132" s="203"/>
      <c r="CZ132" s="203"/>
      <c r="DA132" s="176"/>
      <c r="DB132" s="176"/>
      <c r="DC132" s="176"/>
      <c r="DD132" s="177" t="b">
        <v>0</v>
      </c>
      <c r="DE132" s="177" t="b">
        <v>0</v>
      </c>
      <c r="DF132" s="176" t="e">
        <f>(DA132-CR132)/CR132</f>
        <v>#DIV/0!</v>
      </c>
      <c r="DG132" s="176" t="e">
        <f>(CZ132-CO132)/CO132</f>
        <v>#DIV/0!</v>
      </c>
      <c r="DH132" s="203">
        <f>DK132 + ABS(DI132) + ABS(DJ132)</f>
        <v>0</v>
      </c>
      <c r="DI132" s="203"/>
      <c r="DJ132" s="203"/>
      <c r="DK132" s="203"/>
      <c r="DL132" s="176"/>
      <c r="DM132" s="176"/>
      <c r="DN132" s="176"/>
      <c r="DO132" s="177" t="b">
        <v>0</v>
      </c>
      <c r="DP132" s="177" t="b">
        <v>0</v>
      </c>
      <c r="DQ132" s="176" t="e">
        <f>(DL132-DA132)/DA132</f>
        <v>#DIV/0!</v>
      </c>
      <c r="DR132" s="176" t="e">
        <f>(DK132-CZ132)/CZ132</f>
        <v>#DIV/0!</v>
      </c>
      <c r="DS132" s="203">
        <f>DV132 + ABS(DT132) + ABS(DU132)</f>
        <v>0</v>
      </c>
      <c r="DT132" s="203"/>
      <c r="DU132" s="203"/>
      <c r="DV132" s="203"/>
      <c r="DW132" s="176"/>
      <c r="DX132" s="176"/>
      <c r="DY132" s="176"/>
      <c r="DZ132" s="177" t="b">
        <v>0</v>
      </c>
      <c r="EA132" s="177" t="b">
        <v>0</v>
      </c>
      <c r="EB132" s="176" t="e">
        <f>(DW132-DN132)/DN132</f>
        <v>#DIV/0!</v>
      </c>
      <c r="EC132" s="176" t="e">
        <f>(DV132-DK132)/DK132</f>
        <v>#DIV/0!</v>
      </c>
      <c r="ED132" s="203">
        <f>EG132 + ABS(EE132) + ABS(EF132)</f>
        <v>0</v>
      </c>
      <c r="EE132" s="203"/>
      <c r="EF132" s="203"/>
      <c r="EG132" s="203"/>
      <c r="EH132" s="176"/>
      <c r="EI132" s="176"/>
      <c r="EJ132" s="176"/>
      <c r="EK132" s="177" t="b">
        <v>0</v>
      </c>
      <c r="EL132" s="177" t="b">
        <v>0</v>
      </c>
      <c r="EM132" s="176" t="e">
        <f>(EH132-DW132)/DW132</f>
        <v>#DIV/0!</v>
      </c>
      <c r="EN132" s="176" t="e">
        <f>(EG132-DV132)/DV132</f>
        <v>#DIV/0!</v>
      </c>
      <c r="EO132" s="203">
        <f>ER132 + ABS(EP132) + ABS(EQ132)</f>
        <v>0</v>
      </c>
      <c r="EP132" s="203"/>
      <c r="EQ132" s="203"/>
      <c r="ER132" s="203"/>
      <c r="ES132" s="176"/>
      <c r="ET132" s="176"/>
      <c r="EU132" s="176"/>
      <c r="EV132" s="177" t="b">
        <v>0</v>
      </c>
      <c r="EW132" s="177" t="b">
        <v>0</v>
      </c>
      <c r="EX132" s="176" t="e">
        <f>(ES132-EJ132)/EJ132</f>
        <v>#DIV/0!</v>
      </c>
      <c r="EY132" s="176" t="e">
        <f>(ER132-EG132)/EG132</f>
        <v>#DIV/0!</v>
      </c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801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</row>
    <row r="133" spans="1:221" ht="15">
      <c r="B133" s="175"/>
      <c r="C133" s="802" t="s">
        <v>513</v>
      </c>
      <c r="D133" s="154">
        <v>1450022</v>
      </c>
      <c r="E133" s="154">
        <v>107</v>
      </c>
      <c r="F133" s="154" t="s">
        <v>516</v>
      </c>
      <c r="G133" s="255" t="s">
        <v>517</v>
      </c>
      <c r="H133" s="171" t="s">
        <v>169</v>
      </c>
      <c r="I133" s="445" t="s">
        <v>170</v>
      </c>
      <c r="J133" s="154"/>
      <c r="K133" s="154"/>
      <c r="L133" s="154"/>
      <c r="M133" s="176"/>
      <c r="N133" s="418">
        <v>107</v>
      </c>
      <c r="O133" s="176"/>
      <c r="P133" s="203">
        <v>3310.97</v>
      </c>
      <c r="Q133" s="203"/>
      <c r="R133" s="203">
        <v>65667.62</v>
      </c>
      <c r="S133" s="176">
        <v>2319</v>
      </c>
      <c r="T133" s="188" t="s">
        <v>171</v>
      </c>
      <c r="U133" s="176"/>
      <c r="V133" s="176"/>
      <c r="W133" s="176"/>
      <c r="X133" s="203">
        <f t="shared" ref="X133:X164" si="12">AA133 + ABS(Y133) + ABS(Z133)</f>
        <v>75574.19</v>
      </c>
      <c r="Y133" s="203">
        <v>-3627.56</v>
      </c>
      <c r="Z133" s="203">
        <v>0</v>
      </c>
      <c r="AA133" s="203">
        <v>71946.63</v>
      </c>
      <c r="AB133" s="446">
        <v>2537</v>
      </c>
      <c r="AC133" s="444" t="s">
        <v>172</v>
      </c>
      <c r="AD133" s="444" t="s">
        <v>173</v>
      </c>
      <c r="AE133" s="177" t="b">
        <v>1</v>
      </c>
      <c r="AF133" s="177" t="b">
        <v>1</v>
      </c>
      <c r="AG133" s="392">
        <f>(AB133-S133)/S133</f>
        <v>9.4006037084950408E-2</v>
      </c>
      <c r="AH133" s="392">
        <f>(AA133-R133)/R133</f>
        <v>9.5618053463792499E-2</v>
      </c>
      <c r="AI133" s="203">
        <f t="shared" si="8"/>
        <v>75013.279999999999</v>
      </c>
      <c r="AJ133" s="368">
        <v>-3600.64</v>
      </c>
      <c r="AK133" s="368">
        <v>0</v>
      </c>
      <c r="AL133" s="368">
        <v>71412.639999999999</v>
      </c>
      <c r="AM133" s="1068">
        <v>2437</v>
      </c>
      <c r="AN133" s="172">
        <v>46122</v>
      </c>
      <c r="AO133" s="171" t="s">
        <v>174</v>
      </c>
      <c r="AP133" s="861" t="b">
        <v>1</v>
      </c>
      <c r="AQ133" s="861" t="b">
        <v>1</v>
      </c>
      <c r="AR133" s="392">
        <f t="shared" ref="AR133:AR164" si="13">(AM133-AB133)/AB133</f>
        <v>-3.9416633819471816E-2</v>
      </c>
      <c r="AS133" s="392">
        <f>(AL133-AA133)/AA133</f>
        <v>-7.4220293570387555E-3</v>
      </c>
      <c r="AT133" s="203">
        <f t="shared" si="9"/>
        <v>0</v>
      </c>
      <c r="AU133" s="203"/>
      <c r="AV133" s="203"/>
      <c r="AW133" s="203"/>
      <c r="AX133" s="176"/>
      <c r="AY133" s="176"/>
      <c r="AZ133" s="176"/>
      <c r="BA133" s="177" t="b">
        <v>0</v>
      </c>
      <c r="BB133" s="177" t="b">
        <v>0</v>
      </c>
      <c r="BC133" s="176">
        <f>(AX133-AM133)/AM133</f>
        <v>-1</v>
      </c>
      <c r="BD133" s="176">
        <f>(AW133-AL133)/AL133</f>
        <v>-1</v>
      </c>
      <c r="BE133" s="203">
        <f>BH133 + ABS(BF133) + ABS(BG133)</f>
        <v>0</v>
      </c>
      <c r="BF133" s="203"/>
      <c r="BG133" s="203"/>
      <c r="BH133" s="203"/>
      <c r="BI133" s="176"/>
      <c r="BJ133" s="176"/>
      <c r="BK133" s="176"/>
      <c r="BL133" s="177" t="b">
        <v>0</v>
      </c>
      <c r="BM133" s="177" t="b">
        <v>0</v>
      </c>
      <c r="BN133" s="176" t="e">
        <f>(BI133-AZ133)/AZ133</f>
        <v>#DIV/0!</v>
      </c>
      <c r="BO133" s="176" t="e">
        <f>(BH133-AW133)/AW133</f>
        <v>#DIV/0!</v>
      </c>
      <c r="BP133" s="203">
        <f>BS133 + ABS(BQ133) + ABS(BR133)</f>
        <v>0</v>
      </c>
      <c r="BQ133" s="203"/>
      <c r="BR133" s="203"/>
      <c r="BS133" s="203"/>
      <c r="BT133" s="176"/>
      <c r="BU133" s="176"/>
      <c r="BV133" s="176"/>
      <c r="BW133" s="177" t="b">
        <v>0</v>
      </c>
      <c r="BX133" s="177" t="b">
        <v>0</v>
      </c>
      <c r="BY133" s="176" t="e">
        <f>(BT133-BI133)/BI133</f>
        <v>#DIV/0!</v>
      </c>
      <c r="BZ133" s="176" t="e">
        <f>(BS133-BH133)/BH133</f>
        <v>#DIV/0!</v>
      </c>
      <c r="CA133" s="203">
        <f>CD133 + ABS(CB133) + ABS(CC133)</f>
        <v>0</v>
      </c>
      <c r="CB133" s="203"/>
      <c r="CC133" s="203"/>
      <c r="CD133" s="203"/>
      <c r="CE133" s="176"/>
      <c r="CF133" s="176"/>
      <c r="CG133" s="176"/>
      <c r="CH133" s="177" t="b">
        <v>0</v>
      </c>
      <c r="CI133" s="177" t="b">
        <v>0</v>
      </c>
      <c r="CJ133" s="176" t="e">
        <f>(CE133-BV133)/BV133</f>
        <v>#DIV/0!</v>
      </c>
      <c r="CK133" s="176" t="e">
        <f>(CD133-BS133)/BS133</f>
        <v>#DIV/0!</v>
      </c>
      <c r="CL133" s="203">
        <f>CO133 + ABS(CM133) + ABS(CN133)</f>
        <v>0</v>
      </c>
      <c r="CM133" s="203"/>
      <c r="CN133" s="203"/>
      <c r="CO133" s="203"/>
      <c r="CP133" s="176"/>
      <c r="CQ133" s="176"/>
      <c r="CR133" s="176"/>
      <c r="CS133" s="177" t="b">
        <v>0</v>
      </c>
      <c r="CT133" s="177" t="b">
        <v>0</v>
      </c>
      <c r="CU133" s="176" t="e">
        <f>(CP133-CE133)/CE133</f>
        <v>#DIV/0!</v>
      </c>
      <c r="CV133" s="176" t="e">
        <f>(CO133-CD133)/CD133</f>
        <v>#DIV/0!</v>
      </c>
      <c r="CW133" s="203">
        <f>CZ133 + ABS(CX133) + ABS(CY133)</f>
        <v>0</v>
      </c>
      <c r="CX133" s="203"/>
      <c r="CY133" s="203"/>
      <c r="CZ133" s="203"/>
      <c r="DA133" s="176"/>
      <c r="DB133" s="176"/>
      <c r="DC133" s="176"/>
      <c r="DD133" s="177" t="b">
        <v>0</v>
      </c>
      <c r="DE133" s="177" t="b">
        <v>0</v>
      </c>
      <c r="DF133" s="176" t="e">
        <f>(DA133-CR133)/CR133</f>
        <v>#DIV/0!</v>
      </c>
      <c r="DG133" s="176" t="e">
        <f>(CZ133-CO133)/CO133</f>
        <v>#DIV/0!</v>
      </c>
      <c r="DH133" s="203">
        <f>DK133 + ABS(DI133) + ABS(DJ133)</f>
        <v>0</v>
      </c>
      <c r="DI133" s="203"/>
      <c r="DJ133" s="203"/>
      <c r="DK133" s="203"/>
      <c r="DL133" s="176"/>
      <c r="DM133" s="176"/>
      <c r="DN133" s="176"/>
      <c r="DO133" s="177" t="b">
        <v>0</v>
      </c>
      <c r="DP133" s="177" t="b">
        <v>0</v>
      </c>
      <c r="DQ133" s="176" t="e">
        <f>(DL133-DA133)/DA133</f>
        <v>#DIV/0!</v>
      </c>
      <c r="DR133" s="176" t="e">
        <f>(DK133-CZ133)/CZ133</f>
        <v>#DIV/0!</v>
      </c>
      <c r="DS133" s="203">
        <f>DV133 + ABS(DT133) + ABS(DU133)</f>
        <v>0</v>
      </c>
      <c r="DT133" s="203"/>
      <c r="DU133" s="203"/>
      <c r="DV133" s="203"/>
      <c r="DW133" s="176"/>
      <c r="DX133" s="176"/>
      <c r="DY133" s="176"/>
      <c r="DZ133" s="177" t="b">
        <v>0</v>
      </c>
      <c r="EA133" s="177" t="b">
        <v>0</v>
      </c>
      <c r="EB133" s="176" t="e">
        <f>(DW133-DN133)/DN133</f>
        <v>#DIV/0!</v>
      </c>
      <c r="EC133" s="176" t="e">
        <f>(DV133-DK133)/DK133</f>
        <v>#DIV/0!</v>
      </c>
      <c r="ED133" s="203">
        <f>EG133 + ABS(EE133) + ABS(EF133)</f>
        <v>0</v>
      </c>
      <c r="EE133" s="203"/>
      <c r="EF133" s="203"/>
      <c r="EG133" s="203"/>
      <c r="EH133" s="176"/>
      <c r="EI133" s="176"/>
      <c r="EJ133" s="176"/>
      <c r="EK133" s="177" t="b">
        <v>0</v>
      </c>
      <c r="EL133" s="177" t="b">
        <v>0</v>
      </c>
      <c r="EM133" s="176" t="e">
        <f>(EH133-DW133)/DW133</f>
        <v>#DIV/0!</v>
      </c>
      <c r="EN133" s="176" t="e">
        <f>(EG133-DV133)/DV133</f>
        <v>#DIV/0!</v>
      </c>
      <c r="EO133" s="203">
        <f>ER133 + ABS(EP133) + ABS(EQ133)</f>
        <v>0</v>
      </c>
      <c r="EP133" s="203"/>
      <c r="EQ133" s="203"/>
      <c r="ER133" s="203"/>
      <c r="ES133" s="176"/>
      <c r="ET133" s="176"/>
      <c r="EU133" s="176"/>
      <c r="EV133" s="177" t="b">
        <v>0</v>
      </c>
      <c r="EW133" s="177" t="b">
        <v>0</v>
      </c>
      <c r="EX133" s="176" t="e">
        <f>(ES133-EJ133)/EJ133</f>
        <v>#DIV/0!</v>
      </c>
      <c r="EY133" s="176" t="e">
        <f>(ER133-EG133)/EG133</f>
        <v>#DIV/0!</v>
      </c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801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</row>
    <row r="134" spans="1:221" ht="15">
      <c r="B134" s="175"/>
      <c r="C134" s="800" t="s">
        <v>518</v>
      </c>
      <c r="D134" s="357">
        <v>1450022</v>
      </c>
      <c r="E134" s="357">
        <v>189</v>
      </c>
      <c r="F134" s="357" t="s">
        <v>519</v>
      </c>
      <c r="G134" s="426" t="s">
        <v>520</v>
      </c>
      <c r="H134" s="148" t="s">
        <v>169</v>
      </c>
      <c r="I134" s="448" t="s">
        <v>170</v>
      </c>
      <c r="J134" s="357"/>
      <c r="K134" s="357"/>
      <c r="L134" s="357"/>
      <c r="M134" s="358"/>
      <c r="N134" s="359">
        <v>107</v>
      </c>
      <c r="O134" s="358"/>
      <c r="P134" s="402">
        <v>737.69</v>
      </c>
      <c r="Q134" s="402"/>
      <c r="R134" s="402">
        <v>14630.93</v>
      </c>
      <c r="S134" s="358">
        <v>923</v>
      </c>
      <c r="T134" s="188" t="s">
        <v>171</v>
      </c>
      <c r="U134" s="358"/>
      <c r="V134" s="358"/>
      <c r="W134" s="358"/>
      <c r="X134" s="402">
        <f t="shared" si="12"/>
        <v>15507.720000000001</v>
      </c>
      <c r="Y134" s="402">
        <v>-744.37</v>
      </c>
      <c r="Z134" s="402">
        <v>0</v>
      </c>
      <c r="AA134" s="402">
        <v>14763.35</v>
      </c>
      <c r="AB134" s="450">
        <v>931</v>
      </c>
      <c r="AC134" s="426" t="s">
        <v>172</v>
      </c>
      <c r="AD134" s="426" t="s">
        <v>173</v>
      </c>
      <c r="AE134" s="164" t="b">
        <v>1</v>
      </c>
      <c r="AF134" s="164" t="b">
        <v>1</v>
      </c>
      <c r="AG134" s="409">
        <f>(AB134-S134)/S134</f>
        <v>8.6673889490790895E-3</v>
      </c>
      <c r="AH134" s="409">
        <f>(AA134-R134)/R134</f>
        <v>9.050689190639288E-3</v>
      </c>
      <c r="AI134" s="402">
        <f t="shared" ref="AI134:AI182" si="14">AL134 + ABS(AJ134) + ABS(AK134)</f>
        <v>14131.15</v>
      </c>
      <c r="AJ134" s="364">
        <v>-678.3</v>
      </c>
      <c r="AK134" s="364">
        <v>0</v>
      </c>
      <c r="AL134" s="364">
        <v>13452.85</v>
      </c>
      <c r="AM134" s="1069">
        <v>816</v>
      </c>
      <c r="AN134" s="407">
        <v>46122</v>
      </c>
      <c r="AO134" s="148" t="s">
        <v>174</v>
      </c>
      <c r="AP134" s="860" t="b">
        <v>1</v>
      </c>
      <c r="AQ134" s="860" t="b">
        <v>1</v>
      </c>
      <c r="AR134" s="409">
        <f t="shared" si="13"/>
        <v>-0.12352309344790548</v>
      </c>
      <c r="AS134" s="409">
        <f>(AL134-AA134)/AA134</f>
        <v>-8.8767115864624213E-2</v>
      </c>
      <c r="AT134" s="402">
        <f t="shared" ref="AT134:AT182" si="15">AW134 + ABS(AU134) + ABS(AV134)</f>
        <v>0</v>
      </c>
      <c r="AU134" s="402"/>
      <c r="AV134" s="402"/>
      <c r="AW134" s="402"/>
      <c r="AX134" s="358"/>
      <c r="AY134" s="358"/>
      <c r="AZ134" s="358"/>
      <c r="BA134" s="164" t="b">
        <v>0</v>
      </c>
      <c r="BB134" s="164" t="b">
        <v>0</v>
      </c>
      <c r="BC134" s="358">
        <f>(AX134-AM134)/AM134</f>
        <v>-1</v>
      </c>
      <c r="BD134" s="358">
        <f>(AW134-AL134)/AL134</f>
        <v>-1</v>
      </c>
      <c r="BE134" s="402">
        <f>BH134 + ABS(BF134) + ABS(BG134)</f>
        <v>0</v>
      </c>
      <c r="BF134" s="402"/>
      <c r="BG134" s="402"/>
      <c r="BH134" s="402"/>
      <c r="BI134" s="358"/>
      <c r="BJ134" s="358"/>
      <c r="BK134" s="358"/>
      <c r="BL134" s="164" t="b">
        <v>0</v>
      </c>
      <c r="BM134" s="164" t="b">
        <v>0</v>
      </c>
      <c r="BN134" s="358" t="e">
        <f>(BI134-AZ134)/AZ134</f>
        <v>#DIV/0!</v>
      </c>
      <c r="BO134" s="358" t="e">
        <f>(BH134-AW134)/AW134</f>
        <v>#DIV/0!</v>
      </c>
      <c r="BP134" s="402">
        <f>BS134 + ABS(BQ134) + ABS(BR134)</f>
        <v>0</v>
      </c>
      <c r="BQ134" s="402"/>
      <c r="BR134" s="402"/>
      <c r="BS134" s="402"/>
      <c r="BT134" s="358"/>
      <c r="BU134" s="358"/>
      <c r="BV134" s="358"/>
      <c r="BW134" s="164" t="b">
        <v>0</v>
      </c>
      <c r="BX134" s="164" t="b">
        <v>0</v>
      </c>
      <c r="BY134" s="358" t="e">
        <f>(BT134-BI134)/BI134</f>
        <v>#DIV/0!</v>
      </c>
      <c r="BZ134" s="358" t="e">
        <f>(BS134-BH134)/BH134</f>
        <v>#DIV/0!</v>
      </c>
      <c r="CA134" s="402">
        <f>CD134 + ABS(CB134) + ABS(CC134)</f>
        <v>0</v>
      </c>
      <c r="CB134" s="402"/>
      <c r="CC134" s="402"/>
      <c r="CD134" s="402"/>
      <c r="CE134" s="358"/>
      <c r="CF134" s="358"/>
      <c r="CG134" s="358"/>
      <c r="CH134" s="164" t="b">
        <v>0</v>
      </c>
      <c r="CI134" s="164" t="b">
        <v>0</v>
      </c>
      <c r="CJ134" s="358" t="e">
        <f>(CE134-BV134)/BV134</f>
        <v>#DIV/0!</v>
      </c>
      <c r="CK134" s="358" t="e">
        <f>(CD134-BS134)/BS134</f>
        <v>#DIV/0!</v>
      </c>
      <c r="CL134" s="402">
        <f>CO134 + ABS(CM134) + ABS(CN134)</f>
        <v>0</v>
      </c>
      <c r="CM134" s="402"/>
      <c r="CN134" s="402"/>
      <c r="CO134" s="402"/>
      <c r="CP134" s="358"/>
      <c r="CQ134" s="358"/>
      <c r="CR134" s="358"/>
      <c r="CS134" s="164" t="b">
        <v>0</v>
      </c>
      <c r="CT134" s="164" t="b">
        <v>0</v>
      </c>
      <c r="CU134" s="358" t="e">
        <f>(CP134-CE134)/CE134</f>
        <v>#DIV/0!</v>
      </c>
      <c r="CV134" s="358" t="e">
        <f>(CO134-CD134)/CD134</f>
        <v>#DIV/0!</v>
      </c>
      <c r="CW134" s="402">
        <f>CZ134 + ABS(CX134) + ABS(CY134)</f>
        <v>0</v>
      </c>
      <c r="CX134" s="402"/>
      <c r="CY134" s="402"/>
      <c r="CZ134" s="402"/>
      <c r="DA134" s="358"/>
      <c r="DB134" s="358"/>
      <c r="DC134" s="358"/>
      <c r="DD134" s="164" t="b">
        <v>0</v>
      </c>
      <c r="DE134" s="164" t="b">
        <v>0</v>
      </c>
      <c r="DF134" s="358" t="e">
        <f>(DA134-CR134)/CR134</f>
        <v>#DIV/0!</v>
      </c>
      <c r="DG134" s="358" t="e">
        <f>(CZ134-CO134)/CO134</f>
        <v>#DIV/0!</v>
      </c>
      <c r="DH134" s="402">
        <f>DK134 + ABS(DI134) + ABS(DJ134)</f>
        <v>0</v>
      </c>
      <c r="DI134" s="402"/>
      <c r="DJ134" s="402"/>
      <c r="DK134" s="402"/>
      <c r="DL134" s="358"/>
      <c r="DM134" s="358"/>
      <c r="DN134" s="358"/>
      <c r="DO134" s="164" t="b">
        <v>0</v>
      </c>
      <c r="DP134" s="164" t="b">
        <v>0</v>
      </c>
      <c r="DQ134" s="358" t="e">
        <f>(DL134-DA134)/DA134</f>
        <v>#DIV/0!</v>
      </c>
      <c r="DR134" s="358" t="e">
        <f>(DK134-CZ134)/CZ134</f>
        <v>#DIV/0!</v>
      </c>
      <c r="DS134" s="402">
        <f>DV134 + ABS(DT134) + ABS(DU134)</f>
        <v>0</v>
      </c>
      <c r="DT134" s="402"/>
      <c r="DU134" s="402"/>
      <c r="DV134" s="402"/>
      <c r="DW134" s="358"/>
      <c r="DX134" s="358"/>
      <c r="DY134" s="358"/>
      <c r="DZ134" s="164" t="b">
        <v>0</v>
      </c>
      <c r="EA134" s="164" t="b">
        <v>0</v>
      </c>
      <c r="EB134" s="358" t="e">
        <f>(DW134-DN134)/DN134</f>
        <v>#DIV/0!</v>
      </c>
      <c r="EC134" s="358" t="e">
        <f>(DV134-DK134)/DK134</f>
        <v>#DIV/0!</v>
      </c>
      <c r="ED134" s="402">
        <f>EG134 + ABS(EE134) + ABS(EF134)</f>
        <v>0</v>
      </c>
      <c r="EE134" s="402"/>
      <c r="EF134" s="402"/>
      <c r="EG134" s="402"/>
      <c r="EH134" s="358"/>
      <c r="EI134" s="358"/>
      <c r="EJ134" s="358"/>
      <c r="EK134" s="164" t="b">
        <v>0</v>
      </c>
      <c r="EL134" s="164" t="b">
        <v>0</v>
      </c>
      <c r="EM134" s="358" t="e">
        <f>(EH134-DW134)/DW134</f>
        <v>#DIV/0!</v>
      </c>
      <c r="EN134" s="358" t="e">
        <f>(EG134-DV134)/DV134</f>
        <v>#DIV/0!</v>
      </c>
      <c r="EO134" s="402">
        <f>ER134 + ABS(EP134) + ABS(EQ134)</f>
        <v>0</v>
      </c>
      <c r="EP134" s="402"/>
      <c r="EQ134" s="402"/>
      <c r="ER134" s="402"/>
      <c r="ES134" s="358"/>
      <c r="ET134" s="358"/>
      <c r="EU134" s="358"/>
      <c r="EV134" s="164" t="b">
        <v>0</v>
      </c>
      <c r="EW134" s="164" t="b">
        <v>0</v>
      </c>
      <c r="EX134" s="358" t="e">
        <f>(ES134-EJ134)/EJ134</f>
        <v>#DIV/0!</v>
      </c>
      <c r="EY134" s="358" t="e">
        <f>(ER134-EG134)/EG134</f>
        <v>#DIV/0!</v>
      </c>
      <c r="EZ134" s="449"/>
      <c r="FA134" s="449"/>
      <c r="FB134" s="449"/>
      <c r="FC134" s="449"/>
      <c r="FD134" s="449"/>
      <c r="FE134" s="449"/>
      <c r="FF134" s="449"/>
      <c r="FG134" s="449"/>
      <c r="FH134" s="449"/>
      <c r="FI134" s="449"/>
      <c r="FJ134" s="449"/>
      <c r="FK134" s="449"/>
      <c r="FL134" s="449"/>
      <c r="FM134" s="449"/>
      <c r="FN134" s="449"/>
      <c r="FO134" s="449"/>
      <c r="FP134" s="449"/>
      <c r="FQ134" s="801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</row>
    <row r="135" spans="1:221" ht="15">
      <c r="B135" s="175"/>
      <c r="C135" s="802" t="s">
        <v>521</v>
      </c>
      <c r="D135" s="154">
        <v>1450022</v>
      </c>
      <c r="E135" s="154">
        <v>55</v>
      </c>
      <c r="F135" s="154" t="s">
        <v>522</v>
      </c>
      <c r="G135" s="255" t="s">
        <v>523</v>
      </c>
      <c r="H135" s="171" t="s">
        <v>169</v>
      </c>
      <c r="I135" s="445" t="s">
        <v>170</v>
      </c>
      <c r="J135" s="154"/>
      <c r="K135" s="154"/>
      <c r="L135" s="154"/>
      <c r="M135" s="176"/>
      <c r="N135" s="418">
        <v>107</v>
      </c>
      <c r="O135" s="176"/>
      <c r="P135" s="203">
        <v>1123.9000000000001</v>
      </c>
      <c r="Q135" s="203"/>
      <c r="R135" s="203">
        <v>22290.66</v>
      </c>
      <c r="S135" s="176">
        <v>813</v>
      </c>
      <c r="T135" s="188" t="s">
        <v>171</v>
      </c>
      <c r="U135" s="176"/>
      <c r="V135" s="176"/>
      <c r="W135" s="176"/>
      <c r="X135" s="203">
        <f t="shared" si="12"/>
        <v>28073.84</v>
      </c>
      <c r="Y135" s="203">
        <v>-1347.54</v>
      </c>
      <c r="Z135" s="203">
        <v>0</v>
      </c>
      <c r="AA135" s="203">
        <v>26726.3</v>
      </c>
      <c r="AB135" s="446">
        <v>967</v>
      </c>
      <c r="AC135" s="444" t="s">
        <v>172</v>
      </c>
      <c r="AD135" s="444" t="s">
        <v>173</v>
      </c>
      <c r="AE135" s="177" t="b">
        <v>1</v>
      </c>
      <c r="AF135" s="177" t="b">
        <v>1</v>
      </c>
      <c r="AG135" s="392">
        <f>(AB135-S135)/S135</f>
        <v>0.18942189421894218</v>
      </c>
      <c r="AH135" s="392">
        <f>(AA135-R135)/R135</f>
        <v>0.19899096751733683</v>
      </c>
      <c r="AI135" s="203">
        <f t="shared" si="14"/>
        <v>23744.399999999998</v>
      </c>
      <c r="AJ135" s="368">
        <v>-1139.73</v>
      </c>
      <c r="AK135" s="368">
        <v>0</v>
      </c>
      <c r="AL135" s="368">
        <v>22604.67</v>
      </c>
      <c r="AM135" s="1068">
        <v>798</v>
      </c>
      <c r="AN135" s="172">
        <v>46122</v>
      </c>
      <c r="AO135" s="171" t="s">
        <v>174</v>
      </c>
      <c r="AP135" s="861" t="b">
        <v>1</v>
      </c>
      <c r="AQ135" s="861" t="b">
        <v>1</v>
      </c>
      <c r="AR135" s="392">
        <f t="shared" si="13"/>
        <v>-0.17476732161323683</v>
      </c>
      <c r="AS135" s="392">
        <f>(AL135-AA135)/AA135</f>
        <v>-0.15421625889105492</v>
      </c>
      <c r="AT135" s="203">
        <f t="shared" si="15"/>
        <v>0</v>
      </c>
      <c r="AU135" s="203"/>
      <c r="AV135" s="203"/>
      <c r="AW135" s="203"/>
      <c r="AX135" s="176"/>
      <c r="AY135" s="176"/>
      <c r="AZ135" s="176"/>
      <c r="BA135" s="177" t="b">
        <v>0</v>
      </c>
      <c r="BB135" s="177" t="b">
        <v>0</v>
      </c>
      <c r="BC135" s="176">
        <f>(AX135-AM135)/AM135</f>
        <v>-1</v>
      </c>
      <c r="BD135" s="176">
        <f>(AW135-AL135)/AL135</f>
        <v>-1</v>
      </c>
      <c r="BE135" s="203">
        <f>BH135 + ABS(BF135) + ABS(BG135)</f>
        <v>0</v>
      </c>
      <c r="BF135" s="203"/>
      <c r="BG135" s="203"/>
      <c r="BH135" s="203"/>
      <c r="BI135" s="176"/>
      <c r="BJ135" s="176"/>
      <c r="BK135" s="176"/>
      <c r="BL135" s="177" t="b">
        <v>0</v>
      </c>
      <c r="BM135" s="177" t="b">
        <v>0</v>
      </c>
      <c r="BN135" s="176" t="e">
        <f>(BI135-AZ135)/AZ135</f>
        <v>#DIV/0!</v>
      </c>
      <c r="BO135" s="176" t="e">
        <f>(BH135-AW135)/AW135</f>
        <v>#DIV/0!</v>
      </c>
      <c r="BP135" s="203">
        <f>BS135 + ABS(BQ135) + ABS(BR135)</f>
        <v>0</v>
      </c>
      <c r="BQ135" s="203"/>
      <c r="BR135" s="203"/>
      <c r="BS135" s="203"/>
      <c r="BT135" s="176"/>
      <c r="BU135" s="176"/>
      <c r="BV135" s="176"/>
      <c r="BW135" s="177" t="b">
        <v>0</v>
      </c>
      <c r="BX135" s="177" t="b">
        <v>0</v>
      </c>
      <c r="BY135" s="176" t="e">
        <f>(BT135-BI135)/BI135</f>
        <v>#DIV/0!</v>
      </c>
      <c r="BZ135" s="176" t="e">
        <f>(BS135-BH135)/BH135</f>
        <v>#DIV/0!</v>
      </c>
      <c r="CA135" s="203">
        <f>CD135 + ABS(CB135) + ABS(CC135)</f>
        <v>0</v>
      </c>
      <c r="CB135" s="203"/>
      <c r="CC135" s="203"/>
      <c r="CD135" s="203"/>
      <c r="CE135" s="176"/>
      <c r="CF135" s="176"/>
      <c r="CG135" s="176"/>
      <c r="CH135" s="177" t="b">
        <v>0</v>
      </c>
      <c r="CI135" s="177" t="b">
        <v>0</v>
      </c>
      <c r="CJ135" s="176" t="e">
        <f>(CE135-BV135)/BV135</f>
        <v>#DIV/0!</v>
      </c>
      <c r="CK135" s="176" t="e">
        <f>(CD135-BS135)/BS135</f>
        <v>#DIV/0!</v>
      </c>
      <c r="CL135" s="203">
        <f>CO135 + ABS(CM135) + ABS(CN135)</f>
        <v>0</v>
      </c>
      <c r="CM135" s="203"/>
      <c r="CN135" s="203"/>
      <c r="CO135" s="203"/>
      <c r="CP135" s="176"/>
      <c r="CQ135" s="176"/>
      <c r="CR135" s="176"/>
      <c r="CS135" s="177" t="b">
        <v>0</v>
      </c>
      <c r="CT135" s="177" t="b">
        <v>0</v>
      </c>
      <c r="CU135" s="176" t="e">
        <f>(CP135-CE135)/CE135</f>
        <v>#DIV/0!</v>
      </c>
      <c r="CV135" s="176" t="e">
        <f>(CO135-CD135)/CD135</f>
        <v>#DIV/0!</v>
      </c>
      <c r="CW135" s="203">
        <f>CZ135 + ABS(CX135) + ABS(CY135)</f>
        <v>0</v>
      </c>
      <c r="CX135" s="203"/>
      <c r="CY135" s="203"/>
      <c r="CZ135" s="203"/>
      <c r="DA135" s="176"/>
      <c r="DB135" s="176"/>
      <c r="DC135" s="176"/>
      <c r="DD135" s="177" t="b">
        <v>0</v>
      </c>
      <c r="DE135" s="177" t="b">
        <v>0</v>
      </c>
      <c r="DF135" s="176" t="e">
        <f>(DA135-CR135)/CR135</f>
        <v>#DIV/0!</v>
      </c>
      <c r="DG135" s="176" t="e">
        <f>(CZ135-CO135)/CO135</f>
        <v>#DIV/0!</v>
      </c>
      <c r="DH135" s="203">
        <f>DK135 + ABS(DI135) + ABS(DJ135)</f>
        <v>0</v>
      </c>
      <c r="DI135" s="203"/>
      <c r="DJ135" s="203"/>
      <c r="DK135" s="203"/>
      <c r="DL135" s="176"/>
      <c r="DM135" s="176"/>
      <c r="DN135" s="176"/>
      <c r="DO135" s="177" t="b">
        <v>0</v>
      </c>
      <c r="DP135" s="177" t="b">
        <v>0</v>
      </c>
      <c r="DQ135" s="176" t="e">
        <f>(DL135-DA135)/DA135</f>
        <v>#DIV/0!</v>
      </c>
      <c r="DR135" s="176" t="e">
        <f>(DK135-CZ135)/CZ135</f>
        <v>#DIV/0!</v>
      </c>
      <c r="DS135" s="203">
        <f>DV135 + ABS(DT135) + ABS(DU135)</f>
        <v>0</v>
      </c>
      <c r="DT135" s="203"/>
      <c r="DU135" s="203"/>
      <c r="DV135" s="203"/>
      <c r="DW135" s="176"/>
      <c r="DX135" s="176"/>
      <c r="DY135" s="176"/>
      <c r="DZ135" s="177" t="b">
        <v>0</v>
      </c>
      <c r="EA135" s="177" t="b">
        <v>0</v>
      </c>
      <c r="EB135" s="176" t="e">
        <f>(DW135-DN135)/DN135</f>
        <v>#DIV/0!</v>
      </c>
      <c r="EC135" s="176" t="e">
        <f>(DV135-DK135)/DK135</f>
        <v>#DIV/0!</v>
      </c>
      <c r="ED135" s="203">
        <f>EG135 + ABS(EE135) + ABS(EF135)</f>
        <v>0</v>
      </c>
      <c r="EE135" s="203"/>
      <c r="EF135" s="203"/>
      <c r="EG135" s="203"/>
      <c r="EH135" s="176"/>
      <c r="EI135" s="176"/>
      <c r="EJ135" s="176"/>
      <c r="EK135" s="177" t="b">
        <v>0</v>
      </c>
      <c r="EL135" s="177" t="b">
        <v>0</v>
      </c>
      <c r="EM135" s="176" t="e">
        <f>(EH135-DW135)/DW135</f>
        <v>#DIV/0!</v>
      </c>
      <c r="EN135" s="176" t="e">
        <f>(EG135-DV135)/DV135</f>
        <v>#DIV/0!</v>
      </c>
      <c r="EO135" s="203">
        <f>ER135 + ABS(EP135) + ABS(EQ135)</f>
        <v>0</v>
      </c>
      <c r="EP135" s="203"/>
      <c r="EQ135" s="203"/>
      <c r="ER135" s="203"/>
      <c r="ES135" s="176"/>
      <c r="ET135" s="176"/>
      <c r="EU135" s="176"/>
      <c r="EV135" s="177" t="b">
        <v>0</v>
      </c>
      <c r="EW135" s="177" t="b">
        <v>0</v>
      </c>
      <c r="EX135" s="176" t="e">
        <f>(ES135-EJ135)/EJ135</f>
        <v>#DIV/0!</v>
      </c>
      <c r="EY135" s="176" t="e">
        <f>(ER135-EG135)/EG135</f>
        <v>#DIV/0!</v>
      </c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801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</row>
    <row r="136" spans="1:221" ht="15">
      <c r="B136" s="175"/>
      <c r="C136" s="802" t="s">
        <v>521</v>
      </c>
      <c r="D136" s="154">
        <v>1450022</v>
      </c>
      <c r="E136" s="154">
        <v>55</v>
      </c>
      <c r="F136" s="154" t="s">
        <v>524</v>
      </c>
      <c r="G136" s="255" t="s">
        <v>525</v>
      </c>
      <c r="H136" s="171" t="s">
        <v>169</v>
      </c>
      <c r="I136" s="445" t="s">
        <v>170</v>
      </c>
      <c r="J136" s="154"/>
      <c r="K136" s="154"/>
      <c r="L136" s="154"/>
      <c r="M136" s="176"/>
      <c r="N136" s="193">
        <v>107</v>
      </c>
      <c r="O136" s="176"/>
      <c r="P136" s="203">
        <v>784.07</v>
      </c>
      <c r="Q136" s="203"/>
      <c r="R136" s="203">
        <v>15550.82</v>
      </c>
      <c r="S136" s="176">
        <v>579</v>
      </c>
      <c r="T136" s="188" t="s">
        <v>171</v>
      </c>
      <c r="U136" s="176"/>
      <c r="V136" s="176"/>
      <c r="W136" s="176"/>
      <c r="X136" s="203">
        <f t="shared" si="12"/>
        <v>20298.3</v>
      </c>
      <c r="Y136" s="203">
        <v>-974.32</v>
      </c>
      <c r="Z136" s="203">
        <v>0</v>
      </c>
      <c r="AA136" s="203">
        <v>19323.98</v>
      </c>
      <c r="AB136" s="446">
        <v>710</v>
      </c>
      <c r="AC136" s="255" t="s">
        <v>172</v>
      </c>
      <c r="AD136" s="255" t="s">
        <v>173</v>
      </c>
      <c r="AE136" s="177" t="b">
        <v>1</v>
      </c>
      <c r="AF136" s="177" t="b">
        <v>1</v>
      </c>
      <c r="AG136" s="392">
        <f>(AB136-S136)/S136</f>
        <v>0.22625215889464595</v>
      </c>
      <c r="AH136" s="392">
        <f>(AA136-R136)/R136</f>
        <v>0.24263415048209677</v>
      </c>
      <c r="AI136" s="203">
        <f t="shared" si="14"/>
        <v>16956.510000000002</v>
      </c>
      <c r="AJ136" s="368">
        <v>-813.91</v>
      </c>
      <c r="AK136" s="368">
        <v>0</v>
      </c>
      <c r="AL136" s="368">
        <v>16142.6</v>
      </c>
      <c r="AM136" s="1068">
        <v>581</v>
      </c>
      <c r="AN136" s="172">
        <v>46122</v>
      </c>
      <c r="AO136" s="171" t="s">
        <v>174</v>
      </c>
      <c r="AP136" s="861" t="b">
        <v>1</v>
      </c>
      <c r="AQ136" s="861" t="b">
        <v>1</v>
      </c>
      <c r="AR136" s="392">
        <f t="shared" si="13"/>
        <v>-0.18169014084507043</v>
      </c>
      <c r="AS136" s="392">
        <f>(AL136-AA136)/AA136</f>
        <v>-0.16463378662159656</v>
      </c>
      <c r="AT136" s="203">
        <f t="shared" si="15"/>
        <v>0</v>
      </c>
      <c r="AU136" s="203"/>
      <c r="AV136" s="203"/>
      <c r="AW136" s="203"/>
      <c r="AX136" s="176"/>
      <c r="AY136" s="176"/>
      <c r="AZ136" s="176"/>
      <c r="BA136" s="177" t="b">
        <v>0</v>
      </c>
      <c r="BB136" s="177" t="b">
        <v>0</v>
      </c>
      <c r="BC136" s="176">
        <f>(AX136-AM136)/AM136</f>
        <v>-1</v>
      </c>
      <c r="BD136" s="176">
        <f>(AW136-AL136)/AL136</f>
        <v>-1</v>
      </c>
      <c r="BE136" s="203">
        <f>BH136 + ABS(BF136) + ABS(BG136)</f>
        <v>0</v>
      </c>
      <c r="BF136" s="203"/>
      <c r="BG136" s="203"/>
      <c r="BH136" s="203"/>
      <c r="BI136" s="176"/>
      <c r="BJ136" s="176"/>
      <c r="BK136" s="176"/>
      <c r="BL136" s="177" t="b">
        <v>0</v>
      </c>
      <c r="BM136" s="177" t="b">
        <v>0</v>
      </c>
      <c r="BN136" s="176" t="e">
        <f>(BI136-AZ136)/AZ136</f>
        <v>#DIV/0!</v>
      </c>
      <c r="BO136" s="176" t="e">
        <f>(BH136-AW136)/AW136</f>
        <v>#DIV/0!</v>
      </c>
      <c r="BP136" s="203">
        <f>BS136 + ABS(BQ136) + ABS(BR136)</f>
        <v>0</v>
      </c>
      <c r="BQ136" s="203"/>
      <c r="BR136" s="203"/>
      <c r="BS136" s="203"/>
      <c r="BT136" s="176"/>
      <c r="BU136" s="176"/>
      <c r="BV136" s="176"/>
      <c r="BW136" s="177" t="b">
        <v>0</v>
      </c>
      <c r="BX136" s="177" t="b">
        <v>0</v>
      </c>
      <c r="BY136" s="176" t="e">
        <f>(BT136-BI136)/BI136</f>
        <v>#DIV/0!</v>
      </c>
      <c r="BZ136" s="176" t="e">
        <f>(BS136-BH136)/BH136</f>
        <v>#DIV/0!</v>
      </c>
      <c r="CA136" s="203">
        <f>CD136 + ABS(CB136) + ABS(CC136)</f>
        <v>0</v>
      </c>
      <c r="CB136" s="203"/>
      <c r="CC136" s="203"/>
      <c r="CD136" s="203"/>
      <c r="CE136" s="176"/>
      <c r="CF136" s="176"/>
      <c r="CG136" s="176"/>
      <c r="CH136" s="177" t="b">
        <v>0</v>
      </c>
      <c r="CI136" s="177" t="b">
        <v>0</v>
      </c>
      <c r="CJ136" s="176" t="e">
        <f>(CE136-BV136)/BV136</f>
        <v>#DIV/0!</v>
      </c>
      <c r="CK136" s="176" t="e">
        <f>(CD136-BS136)/BS136</f>
        <v>#DIV/0!</v>
      </c>
      <c r="CL136" s="203">
        <f>CO136 + ABS(CM136) + ABS(CN136)</f>
        <v>0</v>
      </c>
      <c r="CM136" s="203"/>
      <c r="CN136" s="203"/>
      <c r="CO136" s="203"/>
      <c r="CP136" s="176"/>
      <c r="CQ136" s="176"/>
      <c r="CR136" s="176"/>
      <c r="CS136" s="177" t="b">
        <v>0</v>
      </c>
      <c r="CT136" s="177" t="b">
        <v>0</v>
      </c>
      <c r="CU136" s="176" t="e">
        <f>(CP136-CE136)/CE136</f>
        <v>#DIV/0!</v>
      </c>
      <c r="CV136" s="176" t="e">
        <f>(CO136-CD136)/CD136</f>
        <v>#DIV/0!</v>
      </c>
      <c r="CW136" s="203">
        <f>CZ136 + ABS(CX136) + ABS(CY136)</f>
        <v>0</v>
      </c>
      <c r="CX136" s="203"/>
      <c r="CY136" s="203"/>
      <c r="CZ136" s="203"/>
      <c r="DA136" s="176"/>
      <c r="DB136" s="176"/>
      <c r="DC136" s="176"/>
      <c r="DD136" s="177" t="b">
        <v>0</v>
      </c>
      <c r="DE136" s="177" t="b">
        <v>0</v>
      </c>
      <c r="DF136" s="176" t="e">
        <f>(DA136-CR136)/CR136</f>
        <v>#DIV/0!</v>
      </c>
      <c r="DG136" s="176" t="e">
        <f>(CZ136-CO136)/CO136</f>
        <v>#DIV/0!</v>
      </c>
      <c r="DH136" s="203">
        <f>DK136 + ABS(DI136) + ABS(DJ136)</f>
        <v>0</v>
      </c>
      <c r="DI136" s="203"/>
      <c r="DJ136" s="203"/>
      <c r="DK136" s="203"/>
      <c r="DL136" s="176"/>
      <c r="DM136" s="176"/>
      <c r="DN136" s="176"/>
      <c r="DO136" s="177" t="b">
        <v>0</v>
      </c>
      <c r="DP136" s="177" t="b">
        <v>0</v>
      </c>
      <c r="DQ136" s="176" t="e">
        <f>(DL136-DA136)/DA136</f>
        <v>#DIV/0!</v>
      </c>
      <c r="DR136" s="176" t="e">
        <f>(DK136-CZ136)/CZ136</f>
        <v>#DIV/0!</v>
      </c>
      <c r="DS136" s="203">
        <f>DV136 + ABS(DT136) + ABS(DU136)</f>
        <v>0</v>
      </c>
      <c r="DT136" s="203"/>
      <c r="DU136" s="203"/>
      <c r="DV136" s="203"/>
      <c r="DW136" s="176"/>
      <c r="DX136" s="176"/>
      <c r="DY136" s="176"/>
      <c r="DZ136" s="177" t="b">
        <v>0</v>
      </c>
      <c r="EA136" s="177" t="b">
        <v>0</v>
      </c>
      <c r="EB136" s="176" t="e">
        <f>(DW136-DN136)/DN136</f>
        <v>#DIV/0!</v>
      </c>
      <c r="EC136" s="176" t="e">
        <f>(DV136-DK136)/DK136</f>
        <v>#DIV/0!</v>
      </c>
      <c r="ED136" s="203">
        <f>EG136 + ABS(EE136) + ABS(EF136)</f>
        <v>0</v>
      </c>
      <c r="EE136" s="203"/>
      <c r="EF136" s="203"/>
      <c r="EG136" s="203"/>
      <c r="EH136" s="176"/>
      <c r="EI136" s="176"/>
      <c r="EJ136" s="176"/>
      <c r="EK136" s="177" t="b">
        <v>0</v>
      </c>
      <c r="EL136" s="177" t="b">
        <v>0</v>
      </c>
      <c r="EM136" s="176" t="e">
        <f>(EH136-DW136)/DW136</f>
        <v>#DIV/0!</v>
      </c>
      <c r="EN136" s="176" t="e">
        <f>(EG136-DV136)/DV136</f>
        <v>#DIV/0!</v>
      </c>
      <c r="EO136" s="203">
        <f>ER136 + ABS(EP136) + ABS(EQ136)</f>
        <v>0</v>
      </c>
      <c r="EP136" s="203"/>
      <c r="EQ136" s="203"/>
      <c r="ER136" s="203"/>
      <c r="ES136" s="176"/>
      <c r="ET136" s="176"/>
      <c r="EU136" s="176"/>
      <c r="EV136" s="177" t="b">
        <v>0</v>
      </c>
      <c r="EW136" s="177" t="b">
        <v>0</v>
      </c>
      <c r="EX136" s="176" t="e">
        <f>(ES136-EJ136)/EJ136</f>
        <v>#DIV/0!</v>
      </c>
      <c r="EY136" s="176" t="e">
        <f>(ER136-EG136)/EG136</f>
        <v>#DIV/0!</v>
      </c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801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</row>
    <row r="137" spans="1:221" s="353" customFormat="1" ht="15">
      <c r="A137" s="184"/>
      <c r="B137" s="175"/>
      <c r="C137" s="800" t="s">
        <v>526</v>
      </c>
      <c r="D137" s="357">
        <v>1450022</v>
      </c>
      <c r="E137" s="357">
        <v>296</v>
      </c>
      <c r="F137" s="357" t="s">
        <v>527</v>
      </c>
      <c r="G137" s="426" t="s">
        <v>528</v>
      </c>
      <c r="H137" s="148" t="s">
        <v>169</v>
      </c>
      <c r="I137" s="448" t="s">
        <v>170</v>
      </c>
      <c r="J137" s="357"/>
      <c r="K137" s="357"/>
      <c r="L137" s="357"/>
      <c r="M137" s="358"/>
      <c r="N137" s="361">
        <v>107</v>
      </c>
      <c r="O137" s="358"/>
      <c r="P137" s="402">
        <v>425.37</v>
      </c>
      <c r="Q137" s="402"/>
      <c r="R137" s="402">
        <v>8436.5400000000009</v>
      </c>
      <c r="S137" s="358">
        <v>332</v>
      </c>
      <c r="T137" s="188" t="s">
        <v>171</v>
      </c>
      <c r="U137" s="358"/>
      <c r="V137" s="358"/>
      <c r="W137" s="358"/>
      <c r="X137" s="402">
        <f t="shared" si="12"/>
        <v>9678.7899999999991</v>
      </c>
      <c r="Y137" s="402">
        <v>-464.58</v>
      </c>
      <c r="Z137" s="402">
        <v>0</v>
      </c>
      <c r="AA137" s="402">
        <v>9214.2099999999991</v>
      </c>
      <c r="AB137" s="450">
        <v>359</v>
      </c>
      <c r="AC137" s="173" t="s">
        <v>172</v>
      </c>
      <c r="AD137" s="173" t="s">
        <v>173</v>
      </c>
      <c r="AE137" s="164" t="b">
        <v>1</v>
      </c>
      <c r="AF137" s="164" t="b">
        <v>1</v>
      </c>
      <c r="AG137" s="409">
        <f>(AB137-S137)/S137</f>
        <v>8.1325301204819275E-2</v>
      </c>
      <c r="AH137" s="409">
        <f>(AA137-R137)/R137</f>
        <v>9.217878419351988E-2</v>
      </c>
      <c r="AI137" s="402">
        <f t="shared" si="14"/>
        <v>10130.990000000002</v>
      </c>
      <c r="AJ137" s="364">
        <v>-486.29</v>
      </c>
      <c r="AK137" s="364">
        <v>0</v>
      </c>
      <c r="AL137" s="364">
        <v>9644.7000000000007</v>
      </c>
      <c r="AM137" s="1069">
        <v>364</v>
      </c>
      <c r="AN137" s="407">
        <v>46122</v>
      </c>
      <c r="AO137" s="148" t="s">
        <v>174</v>
      </c>
      <c r="AP137" s="860" t="b">
        <v>1</v>
      </c>
      <c r="AQ137" s="860" t="b">
        <v>1</v>
      </c>
      <c r="AR137" s="409">
        <f t="shared" si="13"/>
        <v>1.3927576601671309E-2</v>
      </c>
      <c r="AS137" s="409">
        <f>(AL137-AA137)/AA137</f>
        <v>4.672022886389627E-2</v>
      </c>
      <c r="AT137" s="402">
        <f t="shared" si="15"/>
        <v>0</v>
      </c>
      <c r="AU137" s="402"/>
      <c r="AV137" s="402"/>
      <c r="AW137" s="402"/>
      <c r="AX137" s="358"/>
      <c r="AY137" s="358"/>
      <c r="AZ137" s="358"/>
      <c r="BA137" s="164" t="b">
        <v>0</v>
      </c>
      <c r="BB137" s="164" t="b">
        <v>0</v>
      </c>
      <c r="BC137" s="358">
        <f>(AX137-AM137)/AM137</f>
        <v>-1</v>
      </c>
      <c r="BD137" s="358">
        <f>(AW137-AL137)/AL137</f>
        <v>-1</v>
      </c>
      <c r="BE137" s="402">
        <f>BH137 + ABS(BF137) + ABS(BG137)</f>
        <v>0</v>
      </c>
      <c r="BF137" s="402"/>
      <c r="BG137" s="402"/>
      <c r="BH137" s="402"/>
      <c r="BI137" s="358"/>
      <c r="BJ137" s="358"/>
      <c r="BK137" s="358"/>
      <c r="BL137" s="164" t="b">
        <v>0</v>
      </c>
      <c r="BM137" s="164" t="b">
        <v>0</v>
      </c>
      <c r="BN137" s="358" t="e">
        <f>(BI137-AZ137)/AZ137</f>
        <v>#DIV/0!</v>
      </c>
      <c r="BO137" s="358" t="e">
        <f>(BH137-AW137)/AW137</f>
        <v>#DIV/0!</v>
      </c>
      <c r="BP137" s="402">
        <f>BS137 + ABS(BQ137) + ABS(BR137)</f>
        <v>0</v>
      </c>
      <c r="BQ137" s="402"/>
      <c r="BR137" s="402"/>
      <c r="BS137" s="402"/>
      <c r="BT137" s="358"/>
      <c r="BU137" s="358"/>
      <c r="BV137" s="358"/>
      <c r="BW137" s="164" t="b">
        <v>0</v>
      </c>
      <c r="BX137" s="164" t="b">
        <v>0</v>
      </c>
      <c r="BY137" s="358" t="e">
        <f>(BT137-BI137)/BI137</f>
        <v>#DIV/0!</v>
      </c>
      <c r="BZ137" s="358" t="e">
        <f>(BS137-BH137)/BH137</f>
        <v>#DIV/0!</v>
      </c>
      <c r="CA137" s="402">
        <f>CD137 + ABS(CB137) + ABS(CC137)</f>
        <v>0</v>
      </c>
      <c r="CB137" s="402"/>
      <c r="CC137" s="402"/>
      <c r="CD137" s="402"/>
      <c r="CE137" s="358"/>
      <c r="CF137" s="358"/>
      <c r="CG137" s="358"/>
      <c r="CH137" s="164" t="b">
        <v>0</v>
      </c>
      <c r="CI137" s="164" t="b">
        <v>0</v>
      </c>
      <c r="CJ137" s="358" t="e">
        <f>(CE137-BV137)/BV137</f>
        <v>#DIV/0!</v>
      </c>
      <c r="CK137" s="358" t="e">
        <f>(CD137-BS137)/BS137</f>
        <v>#DIV/0!</v>
      </c>
      <c r="CL137" s="402">
        <f>CO137 + ABS(CM137) + ABS(CN137)</f>
        <v>0</v>
      </c>
      <c r="CM137" s="402"/>
      <c r="CN137" s="402"/>
      <c r="CO137" s="402"/>
      <c r="CP137" s="358"/>
      <c r="CQ137" s="358"/>
      <c r="CR137" s="358"/>
      <c r="CS137" s="164" t="b">
        <v>0</v>
      </c>
      <c r="CT137" s="164" t="b">
        <v>0</v>
      </c>
      <c r="CU137" s="358" t="e">
        <f>(CP137-CE137)/CE137</f>
        <v>#DIV/0!</v>
      </c>
      <c r="CV137" s="358" t="e">
        <f>(CO137-CD137)/CD137</f>
        <v>#DIV/0!</v>
      </c>
      <c r="CW137" s="402">
        <f>CZ137 + ABS(CX137) + ABS(CY137)</f>
        <v>0</v>
      </c>
      <c r="CX137" s="402"/>
      <c r="CY137" s="402"/>
      <c r="CZ137" s="402"/>
      <c r="DA137" s="358"/>
      <c r="DB137" s="358"/>
      <c r="DC137" s="358"/>
      <c r="DD137" s="164" t="b">
        <v>0</v>
      </c>
      <c r="DE137" s="164" t="b">
        <v>0</v>
      </c>
      <c r="DF137" s="358" t="e">
        <f>(DA137-CR137)/CR137</f>
        <v>#DIV/0!</v>
      </c>
      <c r="DG137" s="358" t="e">
        <f>(CZ137-CO137)/CO137</f>
        <v>#DIV/0!</v>
      </c>
      <c r="DH137" s="402">
        <f>DK137 + ABS(DI137) + ABS(DJ137)</f>
        <v>0</v>
      </c>
      <c r="DI137" s="402"/>
      <c r="DJ137" s="402"/>
      <c r="DK137" s="402"/>
      <c r="DL137" s="358"/>
      <c r="DM137" s="358"/>
      <c r="DN137" s="358"/>
      <c r="DO137" s="164" t="b">
        <v>0</v>
      </c>
      <c r="DP137" s="164" t="b">
        <v>0</v>
      </c>
      <c r="DQ137" s="358" t="e">
        <f>(DL137-DA137)/DA137</f>
        <v>#DIV/0!</v>
      </c>
      <c r="DR137" s="358" t="e">
        <f>(DK137-CZ137)/CZ137</f>
        <v>#DIV/0!</v>
      </c>
      <c r="DS137" s="402">
        <f>DV137 + ABS(DT137) + ABS(DU137)</f>
        <v>0</v>
      </c>
      <c r="DT137" s="402"/>
      <c r="DU137" s="402"/>
      <c r="DV137" s="402"/>
      <c r="DW137" s="358"/>
      <c r="DX137" s="358"/>
      <c r="DY137" s="358"/>
      <c r="DZ137" s="164" t="b">
        <v>0</v>
      </c>
      <c r="EA137" s="164" t="b">
        <v>0</v>
      </c>
      <c r="EB137" s="358" t="e">
        <f>(DW137-DN137)/DN137</f>
        <v>#DIV/0!</v>
      </c>
      <c r="EC137" s="358" t="e">
        <f>(DV137-DK137)/DK137</f>
        <v>#DIV/0!</v>
      </c>
      <c r="ED137" s="402">
        <f>EG137 + ABS(EE137) + ABS(EF137)</f>
        <v>0</v>
      </c>
      <c r="EE137" s="402"/>
      <c r="EF137" s="402"/>
      <c r="EG137" s="402"/>
      <c r="EH137" s="358"/>
      <c r="EI137" s="358"/>
      <c r="EJ137" s="358"/>
      <c r="EK137" s="164" t="b">
        <v>0</v>
      </c>
      <c r="EL137" s="164" t="b">
        <v>0</v>
      </c>
      <c r="EM137" s="358" t="e">
        <f>(EH137-DW137)/DW137</f>
        <v>#DIV/0!</v>
      </c>
      <c r="EN137" s="358" t="e">
        <f>(EG137-DV137)/DV137</f>
        <v>#DIV/0!</v>
      </c>
      <c r="EO137" s="402">
        <f>ER137 + ABS(EP137) + ABS(EQ137)</f>
        <v>0</v>
      </c>
      <c r="EP137" s="402"/>
      <c r="EQ137" s="402"/>
      <c r="ER137" s="402"/>
      <c r="ES137" s="358"/>
      <c r="ET137" s="358"/>
      <c r="EU137" s="358"/>
      <c r="EV137" s="164" t="b">
        <v>0</v>
      </c>
      <c r="EW137" s="164" t="b">
        <v>0</v>
      </c>
      <c r="EX137" s="358" t="e">
        <f>(ES137-EJ137)/EJ137</f>
        <v>#DIV/0!</v>
      </c>
      <c r="EY137" s="358" t="e">
        <f>(ER137-EG137)/EG137</f>
        <v>#DIV/0!</v>
      </c>
      <c r="EZ137" s="449"/>
      <c r="FA137" s="449"/>
      <c r="FB137" s="449"/>
      <c r="FC137" s="449"/>
      <c r="FD137" s="449"/>
      <c r="FE137" s="449"/>
      <c r="FF137" s="449"/>
      <c r="FG137" s="449"/>
      <c r="FH137" s="449"/>
      <c r="FI137" s="449"/>
      <c r="FJ137" s="449"/>
      <c r="FK137" s="449"/>
      <c r="FL137" s="449"/>
      <c r="FM137" s="449"/>
      <c r="FN137" s="449"/>
      <c r="FO137" s="449"/>
      <c r="FP137" s="449"/>
      <c r="FQ137" s="801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</row>
    <row r="138" spans="1:221" ht="15">
      <c r="B138" s="175"/>
      <c r="C138" s="802" t="s">
        <v>529</v>
      </c>
      <c r="D138" s="154">
        <v>1450022</v>
      </c>
      <c r="E138" s="154">
        <v>123</v>
      </c>
      <c r="F138" s="154" t="s">
        <v>530</v>
      </c>
      <c r="G138" s="255" t="s">
        <v>531</v>
      </c>
      <c r="H138" s="171" t="s">
        <v>169</v>
      </c>
      <c r="I138" s="445" t="s">
        <v>170</v>
      </c>
      <c r="J138" s="154"/>
      <c r="K138" s="154"/>
      <c r="L138" s="154"/>
      <c r="M138" s="176"/>
      <c r="N138" s="193">
        <v>107</v>
      </c>
      <c r="O138" s="176"/>
      <c r="P138" s="203">
        <v>3441.67</v>
      </c>
      <c r="Q138" s="203"/>
      <c r="R138" s="203">
        <v>68259.87</v>
      </c>
      <c r="S138" s="176">
        <v>2409</v>
      </c>
      <c r="T138" s="188" t="s">
        <v>171</v>
      </c>
      <c r="U138" s="176"/>
      <c r="V138" s="176"/>
      <c r="W138" s="176"/>
      <c r="X138" s="203">
        <f t="shared" si="12"/>
        <v>88130.010000000009</v>
      </c>
      <c r="Y138" s="203">
        <v>-4230.24</v>
      </c>
      <c r="Z138" s="203">
        <v>0</v>
      </c>
      <c r="AA138" s="203">
        <v>83899.77</v>
      </c>
      <c r="AB138" s="446">
        <v>2952</v>
      </c>
      <c r="AC138" s="255" t="s">
        <v>172</v>
      </c>
      <c r="AD138" s="255" t="s">
        <v>173</v>
      </c>
      <c r="AE138" s="177" t="b">
        <v>1</v>
      </c>
      <c r="AF138" s="177" t="b">
        <v>1</v>
      </c>
      <c r="AG138" s="392">
        <f>(AB138-S138)/S138</f>
        <v>0.22540473225404734</v>
      </c>
      <c r="AH138" s="392">
        <f>(AA138-R138)/R138</f>
        <v>0.22912290925839751</v>
      </c>
      <c r="AI138" s="203">
        <f t="shared" si="14"/>
        <v>79772.290000000008</v>
      </c>
      <c r="AJ138" s="368">
        <v>-3829.07</v>
      </c>
      <c r="AK138" s="368">
        <v>0</v>
      </c>
      <c r="AL138" s="368">
        <v>75943.22</v>
      </c>
      <c r="AM138" s="1068">
        <v>2606</v>
      </c>
      <c r="AN138" s="172">
        <v>46122</v>
      </c>
      <c r="AO138" s="171" t="s">
        <v>174</v>
      </c>
      <c r="AP138" s="861" t="b">
        <v>1</v>
      </c>
      <c r="AQ138" s="861" t="b">
        <v>1</v>
      </c>
      <c r="AR138" s="392">
        <f t="shared" si="13"/>
        <v>-0.11720867208672087</v>
      </c>
      <c r="AS138" s="392">
        <f>(AL138-AA138)/AA138</f>
        <v>-9.4833990605695376E-2</v>
      </c>
      <c r="AT138" s="203">
        <f t="shared" si="15"/>
        <v>0</v>
      </c>
      <c r="AU138" s="203"/>
      <c r="AV138" s="203"/>
      <c r="AW138" s="203"/>
      <c r="AX138" s="176"/>
      <c r="AY138" s="176"/>
      <c r="AZ138" s="176"/>
      <c r="BA138" s="177" t="b">
        <v>0</v>
      </c>
      <c r="BB138" s="177" t="b">
        <v>0</v>
      </c>
      <c r="BC138" s="176">
        <f>(AX138-AM138)/AM138</f>
        <v>-1</v>
      </c>
      <c r="BD138" s="176">
        <f>(AW138-AL138)/AL138</f>
        <v>-1</v>
      </c>
      <c r="BE138" s="203">
        <f>BH138 + ABS(BF138) + ABS(BG138)</f>
        <v>0</v>
      </c>
      <c r="BF138" s="203"/>
      <c r="BG138" s="203"/>
      <c r="BH138" s="203"/>
      <c r="BI138" s="176"/>
      <c r="BJ138" s="176"/>
      <c r="BK138" s="176"/>
      <c r="BL138" s="177" t="b">
        <v>0</v>
      </c>
      <c r="BM138" s="177" t="b">
        <v>0</v>
      </c>
      <c r="BN138" s="176" t="e">
        <f>(BI138-AZ138)/AZ138</f>
        <v>#DIV/0!</v>
      </c>
      <c r="BO138" s="176" t="e">
        <f>(BH138-AW138)/AW138</f>
        <v>#DIV/0!</v>
      </c>
      <c r="BP138" s="203">
        <f>BS138 + ABS(BQ138) + ABS(BR138)</f>
        <v>0</v>
      </c>
      <c r="BQ138" s="203"/>
      <c r="BR138" s="203"/>
      <c r="BS138" s="203"/>
      <c r="BT138" s="176"/>
      <c r="BU138" s="176"/>
      <c r="BV138" s="176"/>
      <c r="BW138" s="177" t="b">
        <v>0</v>
      </c>
      <c r="BX138" s="177" t="b">
        <v>0</v>
      </c>
      <c r="BY138" s="176" t="e">
        <f>(BT138-BI138)/BI138</f>
        <v>#DIV/0!</v>
      </c>
      <c r="BZ138" s="176" t="e">
        <f>(BS138-BH138)/BH138</f>
        <v>#DIV/0!</v>
      </c>
      <c r="CA138" s="203">
        <f>CD138 + ABS(CB138) + ABS(CC138)</f>
        <v>0</v>
      </c>
      <c r="CB138" s="203"/>
      <c r="CC138" s="203"/>
      <c r="CD138" s="203"/>
      <c r="CE138" s="176"/>
      <c r="CF138" s="176"/>
      <c r="CG138" s="176"/>
      <c r="CH138" s="177" t="b">
        <v>0</v>
      </c>
      <c r="CI138" s="177" t="b">
        <v>0</v>
      </c>
      <c r="CJ138" s="176" t="e">
        <f>(CE138-BV138)/BV138</f>
        <v>#DIV/0!</v>
      </c>
      <c r="CK138" s="176" t="e">
        <f>(CD138-BS138)/BS138</f>
        <v>#DIV/0!</v>
      </c>
      <c r="CL138" s="203">
        <f>CO138 + ABS(CM138) + ABS(CN138)</f>
        <v>0</v>
      </c>
      <c r="CM138" s="203"/>
      <c r="CN138" s="203"/>
      <c r="CO138" s="203"/>
      <c r="CP138" s="176"/>
      <c r="CQ138" s="176"/>
      <c r="CR138" s="176"/>
      <c r="CS138" s="177" t="b">
        <v>0</v>
      </c>
      <c r="CT138" s="177" t="b">
        <v>0</v>
      </c>
      <c r="CU138" s="176" t="e">
        <f>(CP138-CE138)/CE138</f>
        <v>#DIV/0!</v>
      </c>
      <c r="CV138" s="176" t="e">
        <f>(CO138-CD138)/CD138</f>
        <v>#DIV/0!</v>
      </c>
      <c r="CW138" s="203">
        <f>CZ138 + ABS(CX138) + ABS(CY138)</f>
        <v>0</v>
      </c>
      <c r="CX138" s="203"/>
      <c r="CY138" s="203"/>
      <c r="CZ138" s="203"/>
      <c r="DA138" s="176"/>
      <c r="DB138" s="176"/>
      <c r="DC138" s="176"/>
      <c r="DD138" s="177" t="b">
        <v>0</v>
      </c>
      <c r="DE138" s="177" t="b">
        <v>0</v>
      </c>
      <c r="DF138" s="176" t="e">
        <f>(DA138-CR138)/CR138</f>
        <v>#DIV/0!</v>
      </c>
      <c r="DG138" s="176" t="e">
        <f>(CZ138-CO138)/CO138</f>
        <v>#DIV/0!</v>
      </c>
      <c r="DH138" s="203">
        <f>DK138 + ABS(DI138) + ABS(DJ138)</f>
        <v>0</v>
      </c>
      <c r="DI138" s="203"/>
      <c r="DJ138" s="203"/>
      <c r="DK138" s="203"/>
      <c r="DL138" s="176"/>
      <c r="DM138" s="176"/>
      <c r="DN138" s="176"/>
      <c r="DO138" s="177" t="b">
        <v>0</v>
      </c>
      <c r="DP138" s="177" t="b">
        <v>0</v>
      </c>
      <c r="DQ138" s="176" t="e">
        <f>(DL138-DA138)/DA138</f>
        <v>#DIV/0!</v>
      </c>
      <c r="DR138" s="176" t="e">
        <f>(DK138-CZ138)/CZ138</f>
        <v>#DIV/0!</v>
      </c>
      <c r="DS138" s="203">
        <f>DV138 + ABS(DT138) + ABS(DU138)</f>
        <v>0</v>
      </c>
      <c r="DT138" s="203"/>
      <c r="DU138" s="203"/>
      <c r="DV138" s="203"/>
      <c r="DW138" s="176"/>
      <c r="DX138" s="176"/>
      <c r="DY138" s="176"/>
      <c r="DZ138" s="177" t="b">
        <v>0</v>
      </c>
      <c r="EA138" s="177" t="b">
        <v>0</v>
      </c>
      <c r="EB138" s="176" t="e">
        <f>(DW138-DN138)/DN138</f>
        <v>#DIV/0!</v>
      </c>
      <c r="EC138" s="176" t="e">
        <f>(DV138-DK138)/DK138</f>
        <v>#DIV/0!</v>
      </c>
      <c r="ED138" s="203">
        <f>EG138 + ABS(EE138) + ABS(EF138)</f>
        <v>0</v>
      </c>
      <c r="EE138" s="203"/>
      <c r="EF138" s="203"/>
      <c r="EG138" s="203"/>
      <c r="EH138" s="176"/>
      <c r="EI138" s="176"/>
      <c r="EJ138" s="176"/>
      <c r="EK138" s="177" t="b">
        <v>0</v>
      </c>
      <c r="EL138" s="177" t="b">
        <v>0</v>
      </c>
      <c r="EM138" s="176" t="e">
        <f>(EH138-DW138)/DW138</f>
        <v>#DIV/0!</v>
      </c>
      <c r="EN138" s="176" t="e">
        <f>(EG138-DV138)/DV138</f>
        <v>#DIV/0!</v>
      </c>
      <c r="EO138" s="203">
        <f>ER138 + ABS(EP138) + ABS(EQ138)</f>
        <v>0</v>
      </c>
      <c r="EP138" s="203"/>
      <c r="EQ138" s="203"/>
      <c r="ER138" s="203"/>
      <c r="ES138" s="176"/>
      <c r="ET138" s="176"/>
      <c r="EU138" s="176"/>
      <c r="EV138" s="177" t="b">
        <v>0</v>
      </c>
      <c r="EW138" s="177" t="b">
        <v>0</v>
      </c>
      <c r="EX138" s="176" t="e">
        <f>(ES138-EJ138)/EJ138</f>
        <v>#DIV/0!</v>
      </c>
      <c r="EY138" s="176" t="e">
        <f>(ER138-EG138)/EG138</f>
        <v>#DIV/0!</v>
      </c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801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</row>
    <row r="139" spans="1:221" ht="15">
      <c r="B139" s="175"/>
      <c r="C139" s="800" t="s">
        <v>532</v>
      </c>
      <c r="D139" s="357">
        <v>1450022</v>
      </c>
      <c r="E139" s="357">
        <v>322</v>
      </c>
      <c r="F139" s="357" t="s">
        <v>533</v>
      </c>
      <c r="G139" s="426" t="s">
        <v>534</v>
      </c>
      <c r="H139" s="148" t="s">
        <v>169</v>
      </c>
      <c r="I139" s="448" t="s">
        <v>170</v>
      </c>
      <c r="J139" s="357"/>
      <c r="K139" s="357"/>
      <c r="L139" s="357"/>
      <c r="M139" s="358"/>
      <c r="N139" s="361">
        <v>107</v>
      </c>
      <c r="O139" s="358"/>
      <c r="P139" s="402">
        <v>509.85</v>
      </c>
      <c r="Q139" s="402"/>
      <c r="R139" s="402">
        <v>10112.120000000001</v>
      </c>
      <c r="S139" s="358">
        <v>650</v>
      </c>
      <c r="T139" s="188" t="s">
        <v>171</v>
      </c>
      <c r="U139" s="358"/>
      <c r="V139" s="358"/>
      <c r="W139" s="358"/>
      <c r="X139" s="402">
        <f t="shared" si="12"/>
        <v>13960.27</v>
      </c>
      <c r="Y139" s="402">
        <v>-670.09</v>
      </c>
      <c r="Z139" s="402">
        <v>0</v>
      </c>
      <c r="AA139" s="402">
        <v>13290.18</v>
      </c>
      <c r="AB139" s="450">
        <v>842</v>
      </c>
      <c r="AC139" s="173" t="s">
        <v>172</v>
      </c>
      <c r="AD139" s="173" t="s">
        <v>173</v>
      </c>
      <c r="AE139" s="164" t="b">
        <v>1</v>
      </c>
      <c r="AF139" s="164" t="b">
        <v>1</v>
      </c>
      <c r="AG139" s="409">
        <f>(AB139-S139)/S139</f>
        <v>0.29538461538461541</v>
      </c>
      <c r="AH139" s="409">
        <f>(AA139-R139)/R139</f>
        <v>0.31428226721993008</v>
      </c>
      <c r="AI139" s="402">
        <f t="shared" si="14"/>
        <v>9025.2599999999984</v>
      </c>
      <c r="AJ139" s="364">
        <v>-433.21</v>
      </c>
      <c r="AK139" s="364">
        <v>0</v>
      </c>
      <c r="AL139" s="364">
        <v>8592.0499999999993</v>
      </c>
      <c r="AM139" s="1069">
        <v>546</v>
      </c>
      <c r="AN139" s="407">
        <v>46122</v>
      </c>
      <c r="AO139" s="148" t="s">
        <v>174</v>
      </c>
      <c r="AP139" s="860" t="b">
        <v>1</v>
      </c>
      <c r="AQ139" s="860" t="b">
        <v>1</v>
      </c>
      <c r="AR139" s="409">
        <f t="shared" si="13"/>
        <v>-0.35154394299287411</v>
      </c>
      <c r="AS139" s="409">
        <f>(AL139-AA139)/AA139</f>
        <v>-0.35350386525991379</v>
      </c>
      <c r="AT139" s="402">
        <f t="shared" si="15"/>
        <v>0</v>
      </c>
      <c r="AU139" s="402"/>
      <c r="AV139" s="402"/>
      <c r="AW139" s="402"/>
      <c r="AX139" s="358"/>
      <c r="AY139" s="358"/>
      <c r="AZ139" s="358"/>
      <c r="BA139" s="164" t="b">
        <v>0</v>
      </c>
      <c r="BB139" s="164" t="b">
        <v>0</v>
      </c>
      <c r="BC139" s="358">
        <f>(AX139-AM139)/AM139</f>
        <v>-1</v>
      </c>
      <c r="BD139" s="358">
        <f>(AW139-AL139)/AL139</f>
        <v>-1</v>
      </c>
      <c r="BE139" s="402">
        <f>BH139 + ABS(BF139) + ABS(BG139)</f>
        <v>0</v>
      </c>
      <c r="BF139" s="402"/>
      <c r="BG139" s="402"/>
      <c r="BH139" s="402"/>
      <c r="BI139" s="358"/>
      <c r="BJ139" s="358"/>
      <c r="BK139" s="358"/>
      <c r="BL139" s="164" t="b">
        <v>0</v>
      </c>
      <c r="BM139" s="164" t="b">
        <v>0</v>
      </c>
      <c r="BN139" s="358" t="e">
        <f>(BI139-AZ139)/AZ139</f>
        <v>#DIV/0!</v>
      </c>
      <c r="BO139" s="358" t="e">
        <f>(BH139-AW139)/AW139</f>
        <v>#DIV/0!</v>
      </c>
      <c r="BP139" s="402">
        <f>BS139 + ABS(BQ139) + ABS(BR139)</f>
        <v>0</v>
      </c>
      <c r="BQ139" s="402"/>
      <c r="BR139" s="402"/>
      <c r="BS139" s="402"/>
      <c r="BT139" s="358"/>
      <c r="BU139" s="358"/>
      <c r="BV139" s="358"/>
      <c r="BW139" s="164" t="b">
        <v>0</v>
      </c>
      <c r="BX139" s="164" t="b">
        <v>0</v>
      </c>
      <c r="BY139" s="358" t="e">
        <f>(BT139-BI139)/BI139</f>
        <v>#DIV/0!</v>
      </c>
      <c r="BZ139" s="358" t="e">
        <f>(BS139-BH139)/BH139</f>
        <v>#DIV/0!</v>
      </c>
      <c r="CA139" s="402">
        <f>CD139 + ABS(CB139) + ABS(CC139)</f>
        <v>0</v>
      </c>
      <c r="CB139" s="402"/>
      <c r="CC139" s="402"/>
      <c r="CD139" s="402"/>
      <c r="CE139" s="358"/>
      <c r="CF139" s="358"/>
      <c r="CG139" s="358"/>
      <c r="CH139" s="164" t="b">
        <v>0</v>
      </c>
      <c r="CI139" s="164" t="b">
        <v>0</v>
      </c>
      <c r="CJ139" s="358" t="e">
        <f>(CE139-BV139)/BV139</f>
        <v>#DIV/0!</v>
      </c>
      <c r="CK139" s="358" t="e">
        <f>(CD139-BS139)/BS139</f>
        <v>#DIV/0!</v>
      </c>
      <c r="CL139" s="402">
        <f>CO139 + ABS(CM139) + ABS(CN139)</f>
        <v>0</v>
      </c>
      <c r="CM139" s="402"/>
      <c r="CN139" s="402"/>
      <c r="CO139" s="402"/>
      <c r="CP139" s="358"/>
      <c r="CQ139" s="358"/>
      <c r="CR139" s="358"/>
      <c r="CS139" s="164" t="b">
        <v>0</v>
      </c>
      <c r="CT139" s="164" t="b">
        <v>0</v>
      </c>
      <c r="CU139" s="358" t="e">
        <f>(CP139-CE139)/CE139</f>
        <v>#DIV/0!</v>
      </c>
      <c r="CV139" s="358" t="e">
        <f>(CO139-CD139)/CD139</f>
        <v>#DIV/0!</v>
      </c>
      <c r="CW139" s="402">
        <f>CZ139 + ABS(CX139) + ABS(CY139)</f>
        <v>0</v>
      </c>
      <c r="CX139" s="402"/>
      <c r="CY139" s="402"/>
      <c r="CZ139" s="402"/>
      <c r="DA139" s="358"/>
      <c r="DB139" s="358"/>
      <c r="DC139" s="358"/>
      <c r="DD139" s="164" t="b">
        <v>0</v>
      </c>
      <c r="DE139" s="164" t="b">
        <v>0</v>
      </c>
      <c r="DF139" s="358" t="e">
        <f>(DA139-CR139)/CR139</f>
        <v>#DIV/0!</v>
      </c>
      <c r="DG139" s="358" t="e">
        <f>(CZ139-CO139)/CO139</f>
        <v>#DIV/0!</v>
      </c>
      <c r="DH139" s="402">
        <f>DK139 + ABS(DI139) + ABS(DJ139)</f>
        <v>0</v>
      </c>
      <c r="DI139" s="402"/>
      <c r="DJ139" s="402"/>
      <c r="DK139" s="402"/>
      <c r="DL139" s="358"/>
      <c r="DM139" s="358"/>
      <c r="DN139" s="358"/>
      <c r="DO139" s="164" t="b">
        <v>0</v>
      </c>
      <c r="DP139" s="164" t="b">
        <v>0</v>
      </c>
      <c r="DQ139" s="358" t="e">
        <f>(DL139-DA139)/DA139</f>
        <v>#DIV/0!</v>
      </c>
      <c r="DR139" s="358" t="e">
        <f>(DK139-CZ139)/CZ139</f>
        <v>#DIV/0!</v>
      </c>
      <c r="DS139" s="402">
        <f>DV139 + ABS(DT139) + ABS(DU139)</f>
        <v>0</v>
      </c>
      <c r="DT139" s="402"/>
      <c r="DU139" s="402"/>
      <c r="DV139" s="402"/>
      <c r="DW139" s="358"/>
      <c r="DX139" s="358"/>
      <c r="DY139" s="358"/>
      <c r="DZ139" s="164" t="b">
        <v>0</v>
      </c>
      <c r="EA139" s="164" t="b">
        <v>0</v>
      </c>
      <c r="EB139" s="358" t="e">
        <f>(DW139-DN139)/DN139</f>
        <v>#DIV/0!</v>
      </c>
      <c r="EC139" s="358" t="e">
        <f>(DV139-DK139)/DK139</f>
        <v>#DIV/0!</v>
      </c>
      <c r="ED139" s="402">
        <f>EG139 + ABS(EE139) + ABS(EF139)</f>
        <v>0</v>
      </c>
      <c r="EE139" s="402"/>
      <c r="EF139" s="402"/>
      <c r="EG139" s="402"/>
      <c r="EH139" s="358"/>
      <c r="EI139" s="358"/>
      <c r="EJ139" s="358"/>
      <c r="EK139" s="164" t="b">
        <v>0</v>
      </c>
      <c r="EL139" s="164" t="b">
        <v>0</v>
      </c>
      <c r="EM139" s="358" t="e">
        <f>(EH139-DW139)/DW139</f>
        <v>#DIV/0!</v>
      </c>
      <c r="EN139" s="358" t="e">
        <f>(EG139-DV139)/DV139</f>
        <v>#DIV/0!</v>
      </c>
      <c r="EO139" s="402">
        <f>ER139 + ABS(EP139) + ABS(EQ139)</f>
        <v>0</v>
      </c>
      <c r="EP139" s="402"/>
      <c r="EQ139" s="402"/>
      <c r="ER139" s="402"/>
      <c r="ES139" s="358"/>
      <c r="ET139" s="358"/>
      <c r="EU139" s="358"/>
      <c r="EV139" s="164" t="b">
        <v>0</v>
      </c>
      <c r="EW139" s="164" t="b">
        <v>0</v>
      </c>
      <c r="EX139" s="358" t="e">
        <f>(ES139-EJ139)/EJ139</f>
        <v>#DIV/0!</v>
      </c>
      <c r="EY139" s="358" t="e">
        <f>(ER139-EG139)/EG139</f>
        <v>#DIV/0!</v>
      </c>
      <c r="EZ139" s="449"/>
      <c r="FA139" s="449"/>
      <c r="FB139" s="449"/>
      <c r="FC139" s="449"/>
      <c r="FD139" s="449"/>
      <c r="FE139" s="449"/>
      <c r="FF139" s="449"/>
      <c r="FG139" s="449"/>
      <c r="FH139" s="449"/>
      <c r="FI139" s="449"/>
      <c r="FJ139" s="449"/>
      <c r="FK139" s="449"/>
      <c r="FL139" s="449"/>
      <c r="FM139" s="449"/>
      <c r="FN139" s="175"/>
      <c r="FO139" s="175"/>
      <c r="FP139" s="175"/>
      <c r="FQ139" s="801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</row>
    <row r="140" spans="1:221" ht="15">
      <c r="B140" s="175"/>
      <c r="C140" s="802" t="s">
        <v>535</v>
      </c>
      <c r="D140" s="154">
        <v>1450022</v>
      </c>
      <c r="E140" s="154">
        <v>229</v>
      </c>
      <c r="F140" s="154" t="s">
        <v>536</v>
      </c>
      <c r="G140" s="255" t="s">
        <v>537</v>
      </c>
      <c r="H140" s="171" t="s">
        <v>169</v>
      </c>
      <c r="I140" s="445" t="s">
        <v>170</v>
      </c>
      <c r="J140" s="154"/>
      <c r="K140" s="154"/>
      <c r="L140" s="154"/>
      <c r="M140" s="176"/>
      <c r="N140" s="193">
        <v>107</v>
      </c>
      <c r="O140" s="176"/>
      <c r="P140" s="203">
        <v>599.64</v>
      </c>
      <c r="Q140" s="203"/>
      <c r="R140" s="203">
        <v>11892.87</v>
      </c>
      <c r="S140" s="176">
        <v>452</v>
      </c>
      <c r="T140" s="188" t="s">
        <v>171</v>
      </c>
      <c r="U140" s="176"/>
      <c r="V140" s="176"/>
      <c r="W140" s="176"/>
      <c r="X140" s="203">
        <f t="shared" si="12"/>
        <v>15820.56</v>
      </c>
      <c r="Y140" s="203">
        <v>-759.39</v>
      </c>
      <c r="Z140" s="203">
        <v>0</v>
      </c>
      <c r="AA140" s="203">
        <v>15061.17</v>
      </c>
      <c r="AB140" s="446">
        <v>562</v>
      </c>
      <c r="AC140" s="255" t="s">
        <v>172</v>
      </c>
      <c r="AD140" s="255" t="s">
        <v>173</v>
      </c>
      <c r="AE140" s="177" t="b">
        <v>1</v>
      </c>
      <c r="AF140" s="177" t="b">
        <v>1</v>
      </c>
      <c r="AG140" s="392">
        <f>(AB140-S140)/S140</f>
        <v>0.24336283185840707</v>
      </c>
      <c r="AH140" s="392">
        <f>(AA140-R140)/R140</f>
        <v>0.26640331560001912</v>
      </c>
      <c r="AI140" s="203">
        <f t="shared" si="14"/>
        <v>13746.32</v>
      </c>
      <c r="AJ140" s="368">
        <v>-659.82</v>
      </c>
      <c r="AK140" s="368">
        <v>0</v>
      </c>
      <c r="AL140" s="368">
        <v>13086.5</v>
      </c>
      <c r="AM140" s="1068">
        <v>480</v>
      </c>
      <c r="AN140" s="172">
        <v>46122</v>
      </c>
      <c r="AO140" s="171" t="s">
        <v>174</v>
      </c>
      <c r="AP140" s="861" t="b">
        <v>1</v>
      </c>
      <c r="AQ140" s="861" t="b">
        <v>1</v>
      </c>
      <c r="AR140" s="392">
        <f t="shared" si="13"/>
        <v>-0.14590747330960854</v>
      </c>
      <c r="AS140" s="392">
        <f>(AL140-AA140)/AA140</f>
        <v>-0.13111000008631468</v>
      </c>
      <c r="AT140" s="203">
        <f t="shared" si="15"/>
        <v>0</v>
      </c>
      <c r="AU140" s="203"/>
      <c r="AV140" s="203"/>
      <c r="AW140" s="203"/>
      <c r="AX140" s="176"/>
      <c r="AY140" s="176"/>
      <c r="AZ140" s="176"/>
      <c r="BA140" s="177" t="b">
        <v>0</v>
      </c>
      <c r="BB140" s="177" t="b">
        <v>0</v>
      </c>
      <c r="BC140" s="176">
        <f>(AX140-AM140)/AM140</f>
        <v>-1</v>
      </c>
      <c r="BD140" s="176">
        <f>(AW140-AL140)/AL140</f>
        <v>-1</v>
      </c>
      <c r="BE140" s="203">
        <f>BH140 + ABS(BF140) + ABS(BG140)</f>
        <v>0</v>
      </c>
      <c r="BF140" s="203"/>
      <c r="BG140" s="203"/>
      <c r="BH140" s="203"/>
      <c r="BI140" s="176"/>
      <c r="BJ140" s="176"/>
      <c r="BK140" s="176"/>
      <c r="BL140" s="177" t="b">
        <v>0</v>
      </c>
      <c r="BM140" s="177" t="b">
        <v>0</v>
      </c>
      <c r="BN140" s="176" t="e">
        <f>(BI140-AZ140)/AZ140</f>
        <v>#DIV/0!</v>
      </c>
      <c r="BO140" s="176" t="e">
        <f>(BH140-AW140)/AW140</f>
        <v>#DIV/0!</v>
      </c>
      <c r="BP140" s="203">
        <f>BS140 + ABS(BQ140) + ABS(BR140)</f>
        <v>0</v>
      </c>
      <c r="BQ140" s="203"/>
      <c r="BR140" s="203"/>
      <c r="BS140" s="203"/>
      <c r="BT140" s="176"/>
      <c r="BU140" s="176"/>
      <c r="BV140" s="176"/>
      <c r="BW140" s="177" t="b">
        <v>0</v>
      </c>
      <c r="BX140" s="177" t="b">
        <v>0</v>
      </c>
      <c r="BY140" s="176" t="e">
        <f>(BT140-BI140)/BI140</f>
        <v>#DIV/0!</v>
      </c>
      <c r="BZ140" s="176" t="e">
        <f>(BS140-BH140)/BH140</f>
        <v>#DIV/0!</v>
      </c>
      <c r="CA140" s="203">
        <f>CD140 + ABS(CB140) + ABS(CC140)</f>
        <v>0</v>
      </c>
      <c r="CB140" s="203"/>
      <c r="CC140" s="203"/>
      <c r="CD140" s="203"/>
      <c r="CE140" s="176"/>
      <c r="CF140" s="176"/>
      <c r="CG140" s="176"/>
      <c r="CH140" s="177" t="b">
        <v>0</v>
      </c>
      <c r="CI140" s="177" t="b">
        <v>0</v>
      </c>
      <c r="CJ140" s="176" t="e">
        <f>(CE140-BV140)/BV140</f>
        <v>#DIV/0!</v>
      </c>
      <c r="CK140" s="176" t="e">
        <f>(CD140-BS140)/BS140</f>
        <v>#DIV/0!</v>
      </c>
      <c r="CL140" s="203">
        <f>CO140 + ABS(CM140) + ABS(CN140)</f>
        <v>0</v>
      </c>
      <c r="CM140" s="203"/>
      <c r="CN140" s="203"/>
      <c r="CO140" s="203"/>
      <c r="CP140" s="176"/>
      <c r="CQ140" s="176"/>
      <c r="CR140" s="176"/>
      <c r="CS140" s="177" t="b">
        <v>0</v>
      </c>
      <c r="CT140" s="177" t="b">
        <v>0</v>
      </c>
      <c r="CU140" s="176" t="e">
        <f>(CP140-CE140)/CE140</f>
        <v>#DIV/0!</v>
      </c>
      <c r="CV140" s="176" t="e">
        <f>(CO140-CD140)/CD140</f>
        <v>#DIV/0!</v>
      </c>
      <c r="CW140" s="203">
        <f>CZ140 + ABS(CX140) + ABS(CY140)</f>
        <v>0</v>
      </c>
      <c r="CX140" s="203"/>
      <c r="CY140" s="203"/>
      <c r="CZ140" s="203"/>
      <c r="DA140" s="176"/>
      <c r="DB140" s="176"/>
      <c r="DC140" s="176"/>
      <c r="DD140" s="177" t="b">
        <v>0</v>
      </c>
      <c r="DE140" s="177" t="b">
        <v>0</v>
      </c>
      <c r="DF140" s="176" t="e">
        <f>(DA140-CR140)/CR140</f>
        <v>#DIV/0!</v>
      </c>
      <c r="DG140" s="176" t="e">
        <f>(CZ140-CO140)/CO140</f>
        <v>#DIV/0!</v>
      </c>
      <c r="DH140" s="203">
        <f>DK140 + ABS(DI140) + ABS(DJ140)</f>
        <v>0</v>
      </c>
      <c r="DI140" s="203"/>
      <c r="DJ140" s="203"/>
      <c r="DK140" s="203"/>
      <c r="DL140" s="176"/>
      <c r="DM140" s="176"/>
      <c r="DN140" s="176"/>
      <c r="DO140" s="177" t="b">
        <v>0</v>
      </c>
      <c r="DP140" s="177" t="b">
        <v>0</v>
      </c>
      <c r="DQ140" s="176" t="e">
        <f>(DL140-DA140)/DA140</f>
        <v>#DIV/0!</v>
      </c>
      <c r="DR140" s="176" t="e">
        <f>(DK140-CZ140)/CZ140</f>
        <v>#DIV/0!</v>
      </c>
      <c r="DS140" s="203">
        <f>DV140 + ABS(DT140) + ABS(DU140)</f>
        <v>0</v>
      </c>
      <c r="DT140" s="203"/>
      <c r="DU140" s="203"/>
      <c r="DV140" s="203"/>
      <c r="DW140" s="176"/>
      <c r="DX140" s="176"/>
      <c r="DY140" s="176"/>
      <c r="DZ140" s="177" t="b">
        <v>0</v>
      </c>
      <c r="EA140" s="177" t="b">
        <v>0</v>
      </c>
      <c r="EB140" s="176" t="e">
        <f>(DW140-DN140)/DN140</f>
        <v>#DIV/0!</v>
      </c>
      <c r="EC140" s="176" t="e">
        <f>(DV140-DK140)/DK140</f>
        <v>#DIV/0!</v>
      </c>
      <c r="ED140" s="203">
        <f>EG140 + ABS(EE140) + ABS(EF140)</f>
        <v>0</v>
      </c>
      <c r="EE140" s="203"/>
      <c r="EF140" s="203"/>
      <c r="EG140" s="203"/>
      <c r="EH140" s="176"/>
      <c r="EI140" s="176"/>
      <c r="EJ140" s="176"/>
      <c r="EK140" s="177" t="b">
        <v>0</v>
      </c>
      <c r="EL140" s="177" t="b">
        <v>0</v>
      </c>
      <c r="EM140" s="176" t="e">
        <f>(EH140-DW140)/DW140</f>
        <v>#DIV/0!</v>
      </c>
      <c r="EN140" s="176" t="e">
        <f>(EG140-DV140)/DV140</f>
        <v>#DIV/0!</v>
      </c>
      <c r="EO140" s="203">
        <f>ER140 + ABS(EP140) + ABS(EQ140)</f>
        <v>0</v>
      </c>
      <c r="EP140" s="203"/>
      <c r="EQ140" s="203"/>
      <c r="ER140" s="203"/>
      <c r="ES140" s="176"/>
      <c r="ET140" s="176"/>
      <c r="EU140" s="176"/>
      <c r="EV140" s="177" t="b">
        <v>0</v>
      </c>
      <c r="EW140" s="177" t="b">
        <v>0</v>
      </c>
      <c r="EX140" s="176" t="e">
        <f>(ES140-EJ140)/EJ140</f>
        <v>#DIV/0!</v>
      </c>
      <c r="EY140" s="176" t="e">
        <f>(ER140-EG140)/EG140</f>
        <v>#DIV/0!</v>
      </c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801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</row>
    <row r="141" spans="1:221" ht="15">
      <c r="B141" s="175"/>
      <c r="C141" s="800" t="s">
        <v>538</v>
      </c>
      <c r="D141" s="357">
        <v>1450022</v>
      </c>
      <c r="E141" s="357">
        <v>76</v>
      </c>
      <c r="F141" s="357" t="s">
        <v>539</v>
      </c>
      <c r="G141" s="426" t="s">
        <v>540</v>
      </c>
      <c r="H141" s="148" t="s">
        <v>169</v>
      </c>
      <c r="I141" s="448" t="s">
        <v>170</v>
      </c>
      <c r="J141" s="357"/>
      <c r="K141" s="357"/>
      <c r="L141" s="357"/>
      <c r="M141" s="358"/>
      <c r="N141" s="361">
        <v>107</v>
      </c>
      <c r="O141" s="358"/>
      <c r="P141" s="402">
        <v>1133.28</v>
      </c>
      <c r="Q141" s="402"/>
      <c r="R141" s="402">
        <v>22476.78</v>
      </c>
      <c r="S141" s="358">
        <v>1397</v>
      </c>
      <c r="T141" s="188" t="s">
        <v>171</v>
      </c>
      <c r="U141" s="358"/>
      <c r="V141" s="358"/>
      <c r="W141" s="358"/>
      <c r="X141" s="402">
        <f t="shared" si="12"/>
        <v>26267.719999999998</v>
      </c>
      <c r="Y141" s="402">
        <v>-1260.8499999999999</v>
      </c>
      <c r="Z141" s="402">
        <v>0</v>
      </c>
      <c r="AA141" s="402">
        <v>25006.87</v>
      </c>
      <c r="AB141" s="450">
        <v>1536</v>
      </c>
      <c r="AC141" s="173" t="s">
        <v>172</v>
      </c>
      <c r="AD141" s="173" t="s">
        <v>173</v>
      </c>
      <c r="AE141" s="164" t="b">
        <v>1</v>
      </c>
      <c r="AF141" s="164" t="b">
        <v>1</v>
      </c>
      <c r="AG141" s="409">
        <f>(AB141-S141)/S141</f>
        <v>9.949892627057981E-2</v>
      </c>
      <c r="AH141" s="409">
        <f>(AA141-R141)/R141</f>
        <v>0.11256461112312352</v>
      </c>
      <c r="AI141" s="402">
        <f t="shared" si="14"/>
        <v>25633.230000000003</v>
      </c>
      <c r="AJ141" s="364">
        <v>-1230.4000000000001</v>
      </c>
      <c r="AK141" s="364">
        <v>0</v>
      </c>
      <c r="AL141" s="364">
        <v>24402.83</v>
      </c>
      <c r="AM141" s="1069">
        <v>1444</v>
      </c>
      <c r="AN141" s="407">
        <v>46122</v>
      </c>
      <c r="AO141" s="148" t="s">
        <v>174</v>
      </c>
      <c r="AP141" s="860" t="b">
        <v>1</v>
      </c>
      <c r="AQ141" s="860" t="b">
        <v>1</v>
      </c>
      <c r="AR141" s="409">
        <f t="shared" si="13"/>
        <v>-5.9895833333333336E-2</v>
      </c>
      <c r="AS141" s="409">
        <f>(AL141-AA141)/AA141</f>
        <v>-2.4154962216382827E-2</v>
      </c>
      <c r="AT141" s="402">
        <f t="shared" si="15"/>
        <v>0</v>
      </c>
      <c r="AU141" s="402"/>
      <c r="AV141" s="402"/>
      <c r="AW141" s="402"/>
      <c r="AX141" s="358"/>
      <c r="AY141" s="358"/>
      <c r="AZ141" s="358"/>
      <c r="BA141" s="164" t="b">
        <v>0</v>
      </c>
      <c r="BB141" s="164" t="b">
        <v>0</v>
      </c>
      <c r="BC141" s="358">
        <f>(AX141-AM141)/AM141</f>
        <v>-1</v>
      </c>
      <c r="BD141" s="358">
        <f>(AW141-AL141)/AL141</f>
        <v>-1</v>
      </c>
      <c r="BE141" s="402">
        <f>BH141 + ABS(BF141) + ABS(BG141)</f>
        <v>0</v>
      </c>
      <c r="BF141" s="402"/>
      <c r="BG141" s="402"/>
      <c r="BH141" s="402"/>
      <c r="BI141" s="358"/>
      <c r="BJ141" s="358"/>
      <c r="BK141" s="358"/>
      <c r="BL141" s="164" t="b">
        <v>0</v>
      </c>
      <c r="BM141" s="164" t="b">
        <v>0</v>
      </c>
      <c r="BN141" s="358" t="e">
        <f>(BI141-AZ141)/AZ141</f>
        <v>#DIV/0!</v>
      </c>
      <c r="BO141" s="358" t="e">
        <f>(BH141-AW141)/AW141</f>
        <v>#DIV/0!</v>
      </c>
      <c r="BP141" s="402">
        <f>BS141 + ABS(BQ141) + ABS(BR141)</f>
        <v>0</v>
      </c>
      <c r="BQ141" s="402"/>
      <c r="BR141" s="402"/>
      <c r="BS141" s="402"/>
      <c r="BT141" s="358"/>
      <c r="BU141" s="358"/>
      <c r="BV141" s="358"/>
      <c r="BW141" s="164" t="b">
        <v>0</v>
      </c>
      <c r="BX141" s="164" t="b">
        <v>0</v>
      </c>
      <c r="BY141" s="358" t="e">
        <f>(BT141-BI141)/BI141</f>
        <v>#DIV/0!</v>
      </c>
      <c r="BZ141" s="358" t="e">
        <f>(BS141-BH141)/BH141</f>
        <v>#DIV/0!</v>
      </c>
      <c r="CA141" s="402">
        <f>CD141 + ABS(CB141) + ABS(CC141)</f>
        <v>0</v>
      </c>
      <c r="CB141" s="402"/>
      <c r="CC141" s="402"/>
      <c r="CD141" s="402"/>
      <c r="CE141" s="358"/>
      <c r="CF141" s="358"/>
      <c r="CG141" s="358"/>
      <c r="CH141" s="164" t="b">
        <v>0</v>
      </c>
      <c r="CI141" s="164" t="b">
        <v>0</v>
      </c>
      <c r="CJ141" s="358" t="e">
        <f>(CE141-BV141)/BV141</f>
        <v>#DIV/0!</v>
      </c>
      <c r="CK141" s="358" t="e">
        <f>(CD141-BS141)/BS141</f>
        <v>#DIV/0!</v>
      </c>
      <c r="CL141" s="402">
        <f>CO141 + ABS(CM141) + ABS(CN141)</f>
        <v>0</v>
      </c>
      <c r="CM141" s="402"/>
      <c r="CN141" s="402"/>
      <c r="CO141" s="402"/>
      <c r="CP141" s="358"/>
      <c r="CQ141" s="358"/>
      <c r="CR141" s="358"/>
      <c r="CS141" s="164" t="b">
        <v>0</v>
      </c>
      <c r="CT141" s="164" t="b">
        <v>0</v>
      </c>
      <c r="CU141" s="358" t="e">
        <f>(CP141-CE141)/CE141</f>
        <v>#DIV/0!</v>
      </c>
      <c r="CV141" s="358" t="e">
        <f>(CO141-CD141)/CD141</f>
        <v>#DIV/0!</v>
      </c>
      <c r="CW141" s="402">
        <f>CZ141 + ABS(CX141) + ABS(CY141)</f>
        <v>0</v>
      </c>
      <c r="CX141" s="402"/>
      <c r="CY141" s="402"/>
      <c r="CZ141" s="402"/>
      <c r="DA141" s="358"/>
      <c r="DB141" s="358"/>
      <c r="DC141" s="358"/>
      <c r="DD141" s="164" t="b">
        <v>0</v>
      </c>
      <c r="DE141" s="164" t="b">
        <v>0</v>
      </c>
      <c r="DF141" s="358" t="e">
        <f>(DA141-CR141)/CR141</f>
        <v>#DIV/0!</v>
      </c>
      <c r="DG141" s="358" t="e">
        <f>(CZ141-CO141)/CO141</f>
        <v>#DIV/0!</v>
      </c>
      <c r="DH141" s="402">
        <f>DK141 + ABS(DI141) + ABS(DJ141)</f>
        <v>0</v>
      </c>
      <c r="DI141" s="402"/>
      <c r="DJ141" s="402"/>
      <c r="DK141" s="402"/>
      <c r="DL141" s="358"/>
      <c r="DM141" s="358"/>
      <c r="DN141" s="358"/>
      <c r="DO141" s="164" t="b">
        <v>0</v>
      </c>
      <c r="DP141" s="164" t="b">
        <v>0</v>
      </c>
      <c r="DQ141" s="358" t="e">
        <f>(DL141-DA141)/DA141</f>
        <v>#DIV/0!</v>
      </c>
      <c r="DR141" s="358" t="e">
        <f>(DK141-CZ141)/CZ141</f>
        <v>#DIV/0!</v>
      </c>
      <c r="DS141" s="402">
        <f>DV141 + ABS(DT141) + ABS(DU141)</f>
        <v>0</v>
      </c>
      <c r="DT141" s="402"/>
      <c r="DU141" s="402"/>
      <c r="DV141" s="402"/>
      <c r="DW141" s="358"/>
      <c r="DX141" s="358"/>
      <c r="DY141" s="358"/>
      <c r="DZ141" s="164" t="b">
        <v>0</v>
      </c>
      <c r="EA141" s="164" t="b">
        <v>0</v>
      </c>
      <c r="EB141" s="358" t="e">
        <f>(DW141-DN141)/DN141</f>
        <v>#DIV/0!</v>
      </c>
      <c r="EC141" s="358" t="e">
        <f>(DV141-DK141)/DK141</f>
        <v>#DIV/0!</v>
      </c>
      <c r="ED141" s="402">
        <f>EG141 + ABS(EE141) + ABS(EF141)</f>
        <v>0</v>
      </c>
      <c r="EE141" s="402"/>
      <c r="EF141" s="402"/>
      <c r="EG141" s="402"/>
      <c r="EH141" s="358"/>
      <c r="EI141" s="358"/>
      <c r="EJ141" s="358"/>
      <c r="EK141" s="164" t="b">
        <v>0</v>
      </c>
      <c r="EL141" s="164" t="b">
        <v>0</v>
      </c>
      <c r="EM141" s="358" t="e">
        <f>(EH141-DW141)/DW141</f>
        <v>#DIV/0!</v>
      </c>
      <c r="EN141" s="358" t="e">
        <f>(EG141-DV141)/DV141</f>
        <v>#DIV/0!</v>
      </c>
      <c r="EO141" s="402">
        <f>ER141 + ABS(EP141) + ABS(EQ141)</f>
        <v>0</v>
      </c>
      <c r="EP141" s="402"/>
      <c r="EQ141" s="402"/>
      <c r="ER141" s="402"/>
      <c r="ES141" s="358"/>
      <c r="ET141" s="358"/>
      <c r="EU141" s="358"/>
      <c r="EV141" s="164" t="b">
        <v>0</v>
      </c>
      <c r="EW141" s="164" t="b">
        <v>0</v>
      </c>
      <c r="EX141" s="358" t="e">
        <f>(ES141-EJ141)/EJ141</f>
        <v>#DIV/0!</v>
      </c>
      <c r="EY141" s="358" t="e">
        <f>(ER141-EG141)/EG141</f>
        <v>#DIV/0!</v>
      </c>
      <c r="EZ141" s="449"/>
      <c r="FA141" s="449"/>
      <c r="FB141" s="449"/>
      <c r="FC141" s="449"/>
      <c r="FD141" s="449"/>
      <c r="FE141" s="449"/>
      <c r="FF141" s="449"/>
      <c r="FG141" s="449"/>
      <c r="FH141" s="449"/>
      <c r="FI141" s="449"/>
      <c r="FJ141" s="449"/>
      <c r="FK141" s="449"/>
      <c r="FL141" s="449"/>
      <c r="FM141" s="449"/>
      <c r="FN141" s="449"/>
      <c r="FO141" s="175"/>
      <c r="FP141" s="175"/>
      <c r="FQ141" s="801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</row>
    <row r="142" spans="1:221" ht="15">
      <c r="B142" s="175"/>
      <c r="C142" s="802" t="s">
        <v>541</v>
      </c>
      <c r="D142" s="154">
        <v>1450022</v>
      </c>
      <c r="E142" s="154">
        <v>333</v>
      </c>
      <c r="F142" s="154" t="s">
        <v>542</v>
      </c>
      <c r="G142" s="255" t="s">
        <v>543</v>
      </c>
      <c r="H142" s="171" t="s">
        <v>169</v>
      </c>
      <c r="I142" s="445" t="s">
        <v>170</v>
      </c>
      <c r="J142" s="154"/>
      <c r="K142" s="154"/>
      <c r="L142" s="154"/>
      <c r="M142" s="176"/>
      <c r="N142" s="193">
        <v>107</v>
      </c>
      <c r="O142" s="176"/>
      <c r="P142" s="203">
        <v>789.44</v>
      </c>
      <c r="Q142" s="203"/>
      <c r="R142" s="203">
        <v>15657.18</v>
      </c>
      <c r="S142" s="176">
        <v>985</v>
      </c>
      <c r="T142" s="188" t="s">
        <v>171</v>
      </c>
      <c r="U142" s="176"/>
      <c r="V142" s="176"/>
      <c r="W142" s="176"/>
      <c r="X142" s="203">
        <f t="shared" si="12"/>
        <v>17802.8</v>
      </c>
      <c r="Y142" s="203">
        <v>-854.53</v>
      </c>
      <c r="Z142" s="203">
        <v>0</v>
      </c>
      <c r="AA142" s="203">
        <v>16948.27</v>
      </c>
      <c r="AB142" s="446">
        <v>1063</v>
      </c>
      <c r="AC142" s="444" t="s">
        <v>172</v>
      </c>
      <c r="AD142" s="444" t="s">
        <v>173</v>
      </c>
      <c r="AE142" s="177" t="b">
        <v>1</v>
      </c>
      <c r="AF142" s="177" t="b">
        <v>1</v>
      </c>
      <c r="AG142" s="392">
        <f>(AB142-S142)/S142</f>
        <v>7.9187817258883242E-2</v>
      </c>
      <c r="AH142" s="392">
        <f>(AA142-R142)/R142</f>
        <v>8.2459932120598989E-2</v>
      </c>
      <c r="AI142" s="203">
        <f t="shared" si="14"/>
        <v>17984.91</v>
      </c>
      <c r="AJ142" s="368">
        <v>-863.28</v>
      </c>
      <c r="AK142" s="368">
        <v>0</v>
      </c>
      <c r="AL142" s="368">
        <v>17121.63</v>
      </c>
      <c r="AM142" s="1068">
        <v>1046</v>
      </c>
      <c r="AN142" s="172">
        <v>46122</v>
      </c>
      <c r="AO142" s="171" t="s">
        <v>174</v>
      </c>
      <c r="AP142" s="861" t="b">
        <v>1</v>
      </c>
      <c r="AQ142" s="861" t="b">
        <v>1</v>
      </c>
      <c r="AR142" s="392">
        <f t="shared" si="13"/>
        <v>-1.5992474129821261E-2</v>
      </c>
      <c r="AS142" s="392">
        <f>(AL142-AA142)/AA142</f>
        <v>1.022877261218995E-2</v>
      </c>
      <c r="AT142" s="203">
        <f t="shared" si="15"/>
        <v>0</v>
      </c>
      <c r="AU142" s="203"/>
      <c r="AV142" s="203"/>
      <c r="AW142" s="203"/>
      <c r="AX142" s="176"/>
      <c r="AY142" s="176"/>
      <c r="AZ142" s="176"/>
      <c r="BA142" s="177" t="b">
        <v>0</v>
      </c>
      <c r="BB142" s="177" t="b">
        <v>0</v>
      </c>
      <c r="BC142" s="176">
        <f>(AX142-AM142)/AM142</f>
        <v>-1</v>
      </c>
      <c r="BD142" s="176">
        <f>(AW142-AL142)/AL142</f>
        <v>-1</v>
      </c>
      <c r="BE142" s="203">
        <f>BH142 + ABS(BF142) + ABS(BG142)</f>
        <v>0</v>
      </c>
      <c r="BF142" s="203"/>
      <c r="BG142" s="203"/>
      <c r="BH142" s="203"/>
      <c r="BI142" s="176"/>
      <c r="BJ142" s="176"/>
      <c r="BK142" s="176"/>
      <c r="BL142" s="177" t="b">
        <v>0</v>
      </c>
      <c r="BM142" s="177" t="b">
        <v>0</v>
      </c>
      <c r="BN142" s="176" t="e">
        <f>(BI142-AZ142)/AZ142</f>
        <v>#DIV/0!</v>
      </c>
      <c r="BO142" s="176" t="e">
        <f>(BH142-AW142)/AW142</f>
        <v>#DIV/0!</v>
      </c>
      <c r="BP142" s="203">
        <f>BS142 + ABS(BQ142) + ABS(BR142)</f>
        <v>0</v>
      </c>
      <c r="BQ142" s="203"/>
      <c r="BR142" s="203"/>
      <c r="BS142" s="203"/>
      <c r="BT142" s="176"/>
      <c r="BU142" s="176"/>
      <c r="BV142" s="176"/>
      <c r="BW142" s="177" t="b">
        <v>0</v>
      </c>
      <c r="BX142" s="177" t="b">
        <v>0</v>
      </c>
      <c r="BY142" s="176" t="e">
        <f>(BT142-BI142)/BI142</f>
        <v>#DIV/0!</v>
      </c>
      <c r="BZ142" s="176" t="e">
        <f>(BS142-BH142)/BH142</f>
        <v>#DIV/0!</v>
      </c>
      <c r="CA142" s="203">
        <f>CD142 + ABS(CB142) + ABS(CC142)</f>
        <v>0</v>
      </c>
      <c r="CB142" s="203"/>
      <c r="CC142" s="203"/>
      <c r="CD142" s="203"/>
      <c r="CE142" s="176"/>
      <c r="CF142" s="176"/>
      <c r="CG142" s="176"/>
      <c r="CH142" s="177" t="b">
        <v>0</v>
      </c>
      <c r="CI142" s="177" t="b">
        <v>0</v>
      </c>
      <c r="CJ142" s="176" t="e">
        <f>(CE142-BV142)/BV142</f>
        <v>#DIV/0!</v>
      </c>
      <c r="CK142" s="176" t="e">
        <f>(CD142-BS142)/BS142</f>
        <v>#DIV/0!</v>
      </c>
      <c r="CL142" s="203">
        <f>CO142 + ABS(CM142) + ABS(CN142)</f>
        <v>0</v>
      </c>
      <c r="CM142" s="203"/>
      <c r="CN142" s="203"/>
      <c r="CO142" s="203"/>
      <c r="CP142" s="176"/>
      <c r="CQ142" s="176"/>
      <c r="CR142" s="176"/>
      <c r="CS142" s="177" t="b">
        <v>0</v>
      </c>
      <c r="CT142" s="177" t="b">
        <v>0</v>
      </c>
      <c r="CU142" s="176" t="e">
        <f>(CP142-CE142)/CE142</f>
        <v>#DIV/0!</v>
      </c>
      <c r="CV142" s="176" t="e">
        <f>(CO142-CD142)/CD142</f>
        <v>#DIV/0!</v>
      </c>
      <c r="CW142" s="203">
        <f>CZ142 + ABS(CX142) + ABS(CY142)</f>
        <v>0</v>
      </c>
      <c r="CX142" s="203"/>
      <c r="CY142" s="203"/>
      <c r="CZ142" s="203"/>
      <c r="DA142" s="176"/>
      <c r="DB142" s="176"/>
      <c r="DC142" s="176"/>
      <c r="DD142" s="177" t="b">
        <v>0</v>
      </c>
      <c r="DE142" s="177" t="b">
        <v>0</v>
      </c>
      <c r="DF142" s="176" t="e">
        <f>(DA142-CR142)/CR142</f>
        <v>#DIV/0!</v>
      </c>
      <c r="DG142" s="176" t="e">
        <f>(CZ142-CO142)/CO142</f>
        <v>#DIV/0!</v>
      </c>
      <c r="DH142" s="203">
        <f>DK142 + ABS(DI142) + ABS(DJ142)</f>
        <v>0</v>
      </c>
      <c r="DI142" s="203"/>
      <c r="DJ142" s="203"/>
      <c r="DK142" s="203"/>
      <c r="DL142" s="176"/>
      <c r="DM142" s="176"/>
      <c r="DN142" s="176"/>
      <c r="DO142" s="177" t="b">
        <v>0</v>
      </c>
      <c r="DP142" s="177" t="b">
        <v>0</v>
      </c>
      <c r="DQ142" s="176" t="e">
        <f>(DL142-DA142)/DA142</f>
        <v>#DIV/0!</v>
      </c>
      <c r="DR142" s="176" t="e">
        <f>(DK142-CZ142)/CZ142</f>
        <v>#DIV/0!</v>
      </c>
      <c r="DS142" s="203">
        <f>DV142 + ABS(DT142) + ABS(DU142)</f>
        <v>0</v>
      </c>
      <c r="DT142" s="203"/>
      <c r="DU142" s="203"/>
      <c r="DV142" s="203"/>
      <c r="DW142" s="176"/>
      <c r="DX142" s="176"/>
      <c r="DY142" s="176"/>
      <c r="DZ142" s="177" t="b">
        <v>0</v>
      </c>
      <c r="EA142" s="177" t="b">
        <v>0</v>
      </c>
      <c r="EB142" s="176" t="e">
        <f>(DW142-DN142)/DN142</f>
        <v>#DIV/0!</v>
      </c>
      <c r="EC142" s="176" t="e">
        <f>(DV142-DK142)/DK142</f>
        <v>#DIV/0!</v>
      </c>
      <c r="ED142" s="203">
        <f>EG142 + ABS(EE142) + ABS(EF142)</f>
        <v>0</v>
      </c>
      <c r="EE142" s="203"/>
      <c r="EF142" s="203"/>
      <c r="EG142" s="203"/>
      <c r="EH142" s="176"/>
      <c r="EI142" s="176"/>
      <c r="EJ142" s="176"/>
      <c r="EK142" s="177" t="b">
        <v>0</v>
      </c>
      <c r="EL142" s="177" t="b">
        <v>0</v>
      </c>
      <c r="EM142" s="176" t="e">
        <f>(EH142-DW142)/DW142</f>
        <v>#DIV/0!</v>
      </c>
      <c r="EN142" s="176" t="e">
        <f>(EG142-DV142)/DV142</f>
        <v>#DIV/0!</v>
      </c>
      <c r="EO142" s="203">
        <f>ER142 + ABS(EP142) + ABS(EQ142)</f>
        <v>0</v>
      </c>
      <c r="EP142" s="203"/>
      <c r="EQ142" s="203"/>
      <c r="ER142" s="203"/>
      <c r="ES142" s="176"/>
      <c r="ET142" s="176"/>
      <c r="EU142" s="176"/>
      <c r="EV142" s="177" t="b">
        <v>0</v>
      </c>
      <c r="EW142" s="177" t="b">
        <v>0</v>
      </c>
      <c r="EX142" s="176" t="e">
        <f>(ES142-EJ142)/EJ142</f>
        <v>#DIV/0!</v>
      </c>
      <c r="EY142" s="176" t="e">
        <f>(ER142-EG142)/EG142</f>
        <v>#DIV/0!</v>
      </c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801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</row>
    <row r="143" spans="1:221" ht="15">
      <c r="B143" s="175"/>
      <c r="C143" s="800" t="s">
        <v>544</v>
      </c>
      <c r="D143" s="357">
        <v>1450022</v>
      </c>
      <c r="E143" s="357">
        <v>340</v>
      </c>
      <c r="F143" s="357" t="s">
        <v>545</v>
      </c>
      <c r="G143" s="426" t="s">
        <v>546</v>
      </c>
      <c r="H143" s="148" t="s">
        <v>169</v>
      </c>
      <c r="I143" s="448" t="s">
        <v>170</v>
      </c>
      <c r="J143" s="357"/>
      <c r="K143" s="357"/>
      <c r="L143" s="357"/>
      <c r="M143" s="358"/>
      <c r="N143" s="361">
        <v>107</v>
      </c>
      <c r="O143" s="358"/>
      <c r="P143" s="402">
        <v>1476.79</v>
      </c>
      <c r="Q143" s="402"/>
      <c r="R143" s="402">
        <v>29289.74</v>
      </c>
      <c r="S143" s="358">
        <v>1056</v>
      </c>
      <c r="T143" s="188" t="s">
        <v>171</v>
      </c>
      <c r="U143" s="358"/>
      <c r="V143" s="358"/>
      <c r="W143" s="358"/>
      <c r="X143" s="402">
        <f t="shared" si="12"/>
        <v>27922.559999999998</v>
      </c>
      <c r="Y143" s="402">
        <v>-1340.28</v>
      </c>
      <c r="Z143" s="402">
        <v>0</v>
      </c>
      <c r="AA143" s="402">
        <v>26582.28</v>
      </c>
      <c r="AB143" s="450">
        <v>962</v>
      </c>
      <c r="AC143" s="173" t="s">
        <v>172</v>
      </c>
      <c r="AD143" s="173" t="s">
        <v>173</v>
      </c>
      <c r="AE143" s="164" t="b">
        <v>1</v>
      </c>
      <c r="AF143" s="164" t="b">
        <v>1</v>
      </c>
      <c r="AG143" s="409">
        <f>(AB143-S143)/S143</f>
        <v>-8.9015151515151519E-2</v>
      </c>
      <c r="AH143" s="409">
        <f>(AA143-R143)/R143</f>
        <v>-9.2437146932680264E-2</v>
      </c>
      <c r="AI143" s="402">
        <f t="shared" si="14"/>
        <v>29858.46</v>
      </c>
      <c r="AJ143" s="364">
        <v>-1433.21</v>
      </c>
      <c r="AK143" s="364">
        <v>0</v>
      </c>
      <c r="AL143" s="364">
        <v>28425.25</v>
      </c>
      <c r="AM143" s="1069">
        <v>989</v>
      </c>
      <c r="AN143" s="407">
        <v>46122</v>
      </c>
      <c r="AO143" s="148" t="s">
        <v>174</v>
      </c>
      <c r="AP143" s="860" t="b">
        <v>1</v>
      </c>
      <c r="AQ143" s="860" t="b">
        <v>1</v>
      </c>
      <c r="AR143" s="409">
        <f t="shared" si="13"/>
        <v>2.8066528066528068E-2</v>
      </c>
      <c r="AS143" s="409">
        <f>(AL143-AA143)/AA143</f>
        <v>6.9330772228717821E-2</v>
      </c>
      <c r="AT143" s="402">
        <f t="shared" si="15"/>
        <v>0</v>
      </c>
      <c r="AU143" s="402"/>
      <c r="AV143" s="402"/>
      <c r="AW143" s="402"/>
      <c r="AX143" s="358"/>
      <c r="AY143" s="358"/>
      <c r="AZ143" s="358"/>
      <c r="BA143" s="164" t="b">
        <v>0</v>
      </c>
      <c r="BB143" s="164" t="b">
        <v>0</v>
      </c>
      <c r="BC143" s="358">
        <f>(AX143-AM143)/AM143</f>
        <v>-1</v>
      </c>
      <c r="BD143" s="358">
        <f>(AW143-AL143)/AL143</f>
        <v>-1</v>
      </c>
      <c r="BE143" s="402">
        <f>BH143 + ABS(BF143) + ABS(BG143)</f>
        <v>0</v>
      </c>
      <c r="BF143" s="402"/>
      <c r="BG143" s="402"/>
      <c r="BH143" s="402"/>
      <c r="BI143" s="358"/>
      <c r="BJ143" s="358"/>
      <c r="BK143" s="358"/>
      <c r="BL143" s="164" t="b">
        <v>0</v>
      </c>
      <c r="BM143" s="164" t="b">
        <v>0</v>
      </c>
      <c r="BN143" s="358" t="e">
        <f>(BI143-AZ143)/AZ143</f>
        <v>#DIV/0!</v>
      </c>
      <c r="BO143" s="358" t="e">
        <f>(BH143-AW143)/AW143</f>
        <v>#DIV/0!</v>
      </c>
      <c r="BP143" s="402">
        <f>BS143 + ABS(BQ143) + ABS(BR143)</f>
        <v>0</v>
      </c>
      <c r="BQ143" s="402"/>
      <c r="BR143" s="402"/>
      <c r="BS143" s="402"/>
      <c r="BT143" s="358"/>
      <c r="BU143" s="358"/>
      <c r="BV143" s="358"/>
      <c r="BW143" s="164" t="b">
        <v>0</v>
      </c>
      <c r="BX143" s="164" t="b">
        <v>0</v>
      </c>
      <c r="BY143" s="358" t="e">
        <f>(BT143-BI143)/BI143</f>
        <v>#DIV/0!</v>
      </c>
      <c r="BZ143" s="358" t="e">
        <f>(BS143-BH143)/BH143</f>
        <v>#DIV/0!</v>
      </c>
      <c r="CA143" s="402">
        <f>CD143 + ABS(CB143) + ABS(CC143)</f>
        <v>0</v>
      </c>
      <c r="CB143" s="402"/>
      <c r="CC143" s="402"/>
      <c r="CD143" s="402"/>
      <c r="CE143" s="358"/>
      <c r="CF143" s="358"/>
      <c r="CG143" s="358"/>
      <c r="CH143" s="164" t="b">
        <v>0</v>
      </c>
      <c r="CI143" s="164" t="b">
        <v>0</v>
      </c>
      <c r="CJ143" s="358" t="e">
        <f>(CE143-BV143)/BV143</f>
        <v>#DIV/0!</v>
      </c>
      <c r="CK143" s="358" t="e">
        <f>(CD143-BS143)/BS143</f>
        <v>#DIV/0!</v>
      </c>
      <c r="CL143" s="402">
        <f>CO143 + ABS(CM143) + ABS(CN143)</f>
        <v>0</v>
      </c>
      <c r="CM143" s="402"/>
      <c r="CN143" s="402"/>
      <c r="CO143" s="402"/>
      <c r="CP143" s="358"/>
      <c r="CQ143" s="358"/>
      <c r="CR143" s="358"/>
      <c r="CS143" s="164" t="b">
        <v>0</v>
      </c>
      <c r="CT143" s="164" t="b">
        <v>0</v>
      </c>
      <c r="CU143" s="358" t="e">
        <f>(CP143-CE143)/CE143</f>
        <v>#DIV/0!</v>
      </c>
      <c r="CV143" s="358" t="e">
        <f>(CO143-CD143)/CD143</f>
        <v>#DIV/0!</v>
      </c>
      <c r="CW143" s="402">
        <f>CZ143 + ABS(CX143) + ABS(CY143)</f>
        <v>0</v>
      </c>
      <c r="CX143" s="402"/>
      <c r="CY143" s="402"/>
      <c r="CZ143" s="402"/>
      <c r="DA143" s="358"/>
      <c r="DB143" s="358"/>
      <c r="DC143" s="358"/>
      <c r="DD143" s="164" t="b">
        <v>0</v>
      </c>
      <c r="DE143" s="164" t="b">
        <v>0</v>
      </c>
      <c r="DF143" s="358" t="e">
        <f>(DA143-CR143)/CR143</f>
        <v>#DIV/0!</v>
      </c>
      <c r="DG143" s="358" t="e">
        <f>(CZ143-CO143)/CO143</f>
        <v>#DIV/0!</v>
      </c>
      <c r="DH143" s="402">
        <f>DK143 + ABS(DI143) + ABS(DJ143)</f>
        <v>0</v>
      </c>
      <c r="DI143" s="402"/>
      <c r="DJ143" s="402"/>
      <c r="DK143" s="402"/>
      <c r="DL143" s="358"/>
      <c r="DM143" s="358"/>
      <c r="DN143" s="358"/>
      <c r="DO143" s="164" t="b">
        <v>0</v>
      </c>
      <c r="DP143" s="164" t="b">
        <v>0</v>
      </c>
      <c r="DQ143" s="358" t="e">
        <f>(DL143-DA143)/DA143</f>
        <v>#DIV/0!</v>
      </c>
      <c r="DR143" s="358" t="e">
        <f>(DK143-CZ143)/CZ143</f>
        <v>#DIV/0!</v>
      </c>
      <c r="DS143" s="402">
        <f>DV143 + ABS(DT143) + ABS(DU143)</f>
        <v>0</v>
      </c>
      <c r="DT143" s="402"/>
      <c r="DU143" s="402"/>
      <c r="DV143" s="402"/>
      <c r="DW143" s="358"/>
      <c r="DX143" s="358"/>
      <c r="DY143" s="358"/>
      <c r="DZ143" s="164" t="b">
        <v>0</v>
      </c>
      <c r="EA143" s="164" t="b">
        <v>0</v>
      </c>
      <c r="EB143" s="358" t="e">
        <f>(DW143-DN143)/DN143</f>
        <v>#DIV/0!</v>
      </c>
      <c r="EC143" s="358" t="e">
        <f>(DV143-DK143)/DK143</f>
        <v>#DIV/0!</v>
      </c>
      <c r="ED143" s="402">
        <f>EG143 + ABS(EE143) + ABS(EF143)</f>
        <v>0</v>
      </c>
      <c r="EE143" s="402"/>
      <c r="EF143" s="402"/>
      <c r="EG143" s="402"/>
      <c r="EH143" s="358"/>
      <c r="EI143" s="358"/>
      <c r="EJ143" s="358"/>
      <c r="EK143" s="164" t="b">
        <v>0</v>
      </c>
      <c r="EL143" s="164" t="b">
        <v>0</v>
      </c>
      <c r="EM143" s="358" t="e">
        <f>(EH143-DW143)/DW143</f>
        <v>#DIV/0!</v>
      </c>
      <c r="EN143" s="358" t="e">
        <f>(EG143-DV143)/DV143</f>
        <v>#DIV/0!</v>
      </c>
      <c r="EO143" s="402">
        <f>ER143 + ABS(EP143) + ABS(EQ143)</f>
        <v>0</v>
      </c>
      <c r="EP143" s="402"/>
      <c r="EQ143" s="402"/>
      <c r="ER143" s="402"/>
      <c r="ES143" s="358"/>
      <c r="ET143" s="358"/>
      <c r="EU143" s="358"/>
      <c r="EV143" s="164" t="b">
        <v>0</v>
      </c>
      <c r="EW143" s="164" t="b">
        <v>0</v>
      </c>
      <c r="EX143" s="358" t="e">
        <f>(ES143-EJ143)/EJ143</f>
        <v>#DIV/0!</v>
      </c>
      <c r="EY143" s="358" t="e">
        <f>(ER143-EG143)/EG143</f>
        <v>#DIV/0!</v>
      </c>
      <c r="EZ143" s="449"/>
      <c r="FA143" s="449"/>
      <c r="FB143" s="449"/>
      <c r="FC143" s="449"/>
      <c r="FD143" s="449"/>
      <c r="FE143" s="449"/>
      <c r="FF143" s="449"/>
      <c r="FG143" s="449"/>
      <c r="FH143" s="449"/>
      <c r="FI143" s="449"/>
      <c r="FJ143" s="449"/>
      <c r="FK143" s="449"/>
      <c r="FL143" s="449"/>
      <c r="FM143" s="449"/>
      <c r="FN143" s="449"/>
      <c r="FO143" s="449"/>
      <c r="FP143" s="449"/>
      <c r="FQ143" s="801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</row>
    <row r="144" spans="1:221" ht="15">
      <c r="B144" s="175"/>
      <c r="C144" s="802" t="s">
        <v>547</v>
      </c>
      <c r="D144" s="154">
        <v>1450022</v>
      </c>
      <c r="E144" s="154">
        <v>132</v>
      </c>
      <c r="F144" s="154" t="s">
        <v>548</v>
      </c>
      <c r="G144" s="255" t="s">
        <v>549</v>
      </c>
      <c r="H144" s="171" t="s">
        <v>169</v>
      </c>
      <c r="I144" s="445" t="s">
        <v>170</v>
      </c>
      <c r="J144" s="154"/>
      <c r="K144" s="154"/>
      <c r="L144" s="154"/>
      <c r="M144" s="176"/>
      <c r="N144" s="193">
        <v>107</v>
      </c>
      <c r="O144" s="176"/>
      <c r="P144" s="203">
        <v>7391.77</v>
      </c>
      <c r="Q144" s="203"/>
      <c r="R144" s="203">
        <v>146603.37</v>
      </c>
      <c r="S144" s="176">
        <v>5129</v>
      </c>
      <c r="T144" s="188" t="s">
        <v>171</v>
      </c>
      <c r="U144" s="176"/>
      <c r="V144" s="176"/>
      <c r="W144" s="176"/>
      <c r="X144" s="203">
        <f t="shared" si="12"/>
        <v>205458.9</v>
      </c>
      <c r="Y144" s="203">
        <v>-9862.0300000000007</v>
      </c>
      <c r="Z144" s="203">
        <v>0</v>
      </c>
      <c r="AA144" s="203">
        <v>195596.87</v>
      </c>
      <c r="AB144" s="446">
        <v>6830</v>
      </c>
      <c r="AC144" s="444" t="s">
        <v>172</v>
      </c>
      <c r="AD144" s="444" t="s">
        <v>173</v>
      </c>
      <c r="AE144" s="177" t="b">
        <v>1</v>
      </c>
      <c r="AF144" s="177" t="b">
        <v>1</v>
      </c>
      <c r="AG144" s="392">
        <f>(AB144-S144)/S144</f>
        <v>0.3316435952427374</v>
      </c>
      <c r="AH144" s="392">
        <f>(AA144-R144)/R144</f>
        <v>0.33419081703237791</v>
      </c>
      <c r="AI144" s="203">
        <f t="shared" si="14"/>
        <v>152578.28</v>
      </c>
      <c r="AJ144" s="368">
        <v>-7323.76</v>
      </c>
      <c r="AK144" s="368">
        <v>0</v>
      </c>
      <c r="AL144" s="368">
        <v>145254.51999999999</v>
      </c>
      <c r="AM144" s="1068">
        <v>4957</v>
      </c>
      <c r="AN144" s="172">
        <v>46122</v>
      </c>
      <c r="AO144" s="171" t="s">
        <v>174</v>
      </c>
      <c r="AP144" s="861" t="b">
        <v>1</v>
      </c>
      <c r="AQ144" s="861" t="b">
        <v>1</v>
      </c>
      <c r="AR144" s="392">
        <f t="shared" si="13"/>
        <v>-0.27423133235724745</v>
      </c>
      <c r="AS144" s="392">
        <f>(AL144-AA144)/AA144</f>
        <v>-0.25737809608098539</v>
      </c>
      <c r="AT144" s="203">
        <f t="shared" si="15"/>
        <v>0</v>
      </c>
      <c r="AU144" s="203"/>
      <c r="AV144" s="203"/>
      <c r="AW144" s="203"/>
      <c r="AX144" s="176"/>
      <c r="AY144" s="176"/>
      <c r="AZ144" s="176"/>
      <c r="BA144" s="177" t="b">
        <v>0</v>
      </c>
      <c r="BB144" s="177" t="b">
        <v>0</v>
      </c>
      <c r="BC144" s="176">
        <f>(AX144-AM144)/AM144</f>
        <v>-1</v>
      </c>
      <c r="BD144" s="176">
        <f>(AW144-AL144)/AL144</f>
        <v>-1</v>
      </c>
      <c r="BE144" s="203">
        <f>BH144 + ABS(BF144) + ABS(BG144)</f>
        <v>0</v>
      </c>
      <c r="BF144" s="203"/>
      <c r="BG144" s="203"/>
      <c r="BH144" s="203"/>
      <c r="BI144" s="176"/>
      <c r="BJ144" s="176"/>
      <c r="BK144" s="176"/>
      <c r="BL144" s="177" t="b">
        <v>0</v>
      </c>
      <c r="BM144" s="177" t="b">
        <v>0</v>
      </c>
      <c r="BN144" s="176" t="e">
        <f>(BI144-AZ144)/AZ144</f>
        <v>#DIV/0!</v>
      </c>
      <c r="BO144" s="176" t="e">
        <f>(BH144-AW144)/AW144</f>
        <v>#DIV/0!</v>
      </c>
      <c r="BP144" s="203">
        <f>BS144 + ABS(BQ144) + ABS(BR144)</f>
        <v>0</v>
      </c>
      <c r="BQ144" s="203"/>
      <c r="BR144" s="203"/>
      <c r="BS144" s="203"/>
      <c r="BT144" s="176"/>
      <c r="BU144" s="176"/>
      <c r="BV144" s="176"/>
      <c r="BW144" s="177" t="b">
        <v>0</v>
      </c>
      <c r="BX144" s="177" t="b">
        <v>0</v>
      </c>
      <c r="BY144" s="176" t="e">
        <f>(BT144-BI144)/BI144</f>
        <v>#DIV/0!</v>
      </c>
      <c r="BZ144" s="176" t="e">
        <f>(BS144-BH144)/BH144</f>
        <v>#DIV/0!</v>
      </c>
      <c r="CA144" s="203">
        <f>CD144 + ABS(CB144) + ABS(CC144)</f>
        <v>0</v>
      </c>
      <c r="CB144" s="203"/>
      <c r="CC144" s="203"/>
      <c r="CD144" s="203"/>
      <c r="CE144" s="176"/>
      <c r="CF144" s="176"/>
      <c r="CG144" s="176"/>
      <c r="CH144" s="177" t="b">
        <v>0</v>
      </c>
      <c r="CI144" s="177" t="b">
        <v>0</v>
      </c>
      <c r="CJ144" s="176" t="e">
        <f>(CE144-BV144)/BV144</f>
        <v>#DIV/0!</v>
      </c>
      <c r="CK144" s="176" t="e">
        <f>(CD144-BS144)/BS144</f>
        <v>#DIV/0!</v>
      </c>
      <c r="CL144" s="203">
        <f>CO144 + ABS(CM144) + ABS(CN144)</f>
        <v>0</v>
      </c>
      <c r="CM144" s="203"/>
      <c r="CN144" s="203"/>
      <c r="CO144" s="203"/>
      <c r="CP144" s="176"/>
      <c r="CQ144" s="176"/>
      <c r="CR144" s="176"/>
      <c r="CS144" s="177" t="b">
        <v>0</v>
      </c>
      <c r="CT144" s="177" t="b">
        <v>0</v>
      </c>
      <c r="CU144" s="176" t="e">
        <f>(CP144-CE144)/CE144</f>
        <v>#DIV/0!</v>
      </c>
      <c r="CV144" s="176" t="e">
        <f>(CO144-CD144)/CD144</f>
        <v>#DIV/0!</v>
      </c>
      <c r="CW144" s="203">
        <f>CZ144 + ABS(CX144) + ABS(CY144)</f>
        <v>0</v>
      </c>
      <c r="CX144" s="203"/>
      <c r="CY144" s="203"/>
      <c r="CZ144" s="203"/>
      <c r="DA144" s="176"/>
      <c r="DB144" s="176"/>
      <c r="DC144" s="176"/>
      <c r="DD144" s="177" t="b">
        <v>0</v>
      </c>
      <c r="DE144" s="177" t="b">
        <v>0</v>
      </c>
      <c r="DF144" s="176" t="e">
        <f>(DA144-CR144)/CR144</f>
        <v>#DIV/0!</v>
      </c>
      <c r="DG144" s="176" t="e">
        <f>(CZ144-CO144)/CO144</f>
        <v>#DIV/0!</v>
      </c>
      <c r="DH144" s="203">
        <f>DK144 + ABS(DI144) + ABS(DJ144)</f>
        <v>0</v>
      </c>
      <c r="DI144" s="203"/>
      <c r="DJ144" s="203"/>
      <c r="DK144" s="203"/>
      <c r="DL144" s="176"/>
      <c r="DM144" s="176"/>
      <c r="DN144" s="176"/>
      <c r="DO144" s="177" t="b">
        <v>0</v>
      </c>
      <c r="DP144" s="177" t="b">
        <v>0</v>
      </c>
      <c r="DQ144" s="176" t="e">
        <f>(DL144-DA144)/DA144</f>
        <v>#DIV/0!</v>
      </c>
      <c r="DR144" s="176" t="e">
        <f>(DK144-CZ144)/CZ144</f>
        <v>#DIV/0!</v>
      </c>
      <c r="DS144" s="203">
        <f>DV144 + ABS(DT144) + ABS(DU144)</f>
        <v>0</v>
      </c>
      <c r="DT144" s="203"/>
      <c r="DU144" s="203"/>
      <c r="DV144" s="203"/>
      <c r="DW144" s="176"/>
      <c r="DX144" s="176"/>
      <c r="DY144" s="176"/>
      <c r="DZ144" s="177" t="b">
        <v>0</v>
      </c>
      <c r="EA144" s="177" t="b">
        <v>0</v>
      </c>
      <c r="EB144" s="176" t="e">
        <f>(DW144-DN144)/DN144</f>
        <v>#DIV/0!</v>
      </c>
      <c r="EC144" s="176" t="e">
        <f>(DV144-DK144)/DK144</f>
        <v>#DIV/0!</v>
      </c>
      <c r="ED144" s="203">
        <f>EG144 + ABS(EE144) + ABS(EF144)</f>
        <v>0</v>
      </c>
      <c r="EE144" s="203"/>
      <c r="EF144" s="203"/>
      <c r="EG144" s="203"/>
      <c r="EH144" s="176"/>
      <c r="EI144" s="176"/>
      <c r="EJ144" s="176"/>
      <c r="EK144" s="177" t="b">
        <v>0</v>
      </c>
      <c r="EL144" s="177" t="b">
        <v>0</v>
      </c>
      <c r="EM144" s="176" t="e">
        <f>(EH144-DW144)/DW144</f>
        <v>#DIV/0!</v>
      </c>
      <c r="EN144" s="176" t="e">
        <f>(EG144-DV144)/DV144</f>
        <v>#DIV/0!</v>
      </c>
      <c r="EO144" s="203">
        <f>ER144 + ABS(EP144) + ABS(EQ144)</f>
        <v>0</v>
      </c>
      <c r="EP144" s="203"/>
      <c r="EQ144" s="203"/>
      <c r="ER144" s="203"/>
      <c r="ES144" s="176"/>
      <c r="ET144" s="176"/>
      <c r="EU144" s="176"/>
      <c r="EV144" s="177" t="b">
        <v>0</v>
      </c>
      <c r="EW144" s="177" t="b">
        <v>0</v>
      </c>
      <c r="EX144" s="176" t="e">
        <f>(ES144-EJ144)/EJ144</f>
        <v>#DIV/0!</v>
      </c>
      <c r="EY144" s="176" t="e">
        <f>(ER144-EG144)/EG144</f>
        <v>#DIV/0!</v>
      </c>
      <c r="EZ144" s="175"/>
      <c r="FA144" s="175"/>
      <c r="FB144" s="175"/>
      <c r="FC144" s="175"/>
      <c r="FD144" s="175"/>
      <c r="FE144" s="175"/>
      <c r="FF144" s="175"/>
      <c r="FG144" s="175"/>
      <c r="FH144" s="175"/>
      <c r="FI144" s="175"/>
      <c r="FJ144" s="175"/>
      <c r="FK144" s="175"/>
      <c r="FL144" s="175"/>
      <c r="FM144" s="175"/>
      <c r="FN144" s="175"/>
      <c r="FO144" s="175"/>
      <c r="FP144" s="175"/>
      <c r="FQ144" s="801"/>
      <c r="FR144" s="175"/>
      <c r="FS144" s="175"/>
      <c r="FT144" s="175"/>
      <c r="FU144" s="175"/>
      <c r="FV144" s="175"/>
      <c r="FW144" s="175"/>
      <c r="FX144" s="175"/>
      <c r="FY144" s="175"/>
      <c r="FZ144" s="175"/>
      <c r="GA144" s="175"/>
      <c r="GB144" s="175"/>
      <c r="GC144" s="175"/>
      <c r="GD144" s="175"/>
      <c r="GE144" s="175"/>
      <c r="GF144" s="175"/>
      <c r="GG144" s="175"/>
      <c r="GH144" s="175"/>
      <c r="GI144" s="175"/>
      <c r="GJ144" s="175"/>
      <c r="GK144" s="175"/>
      <c r="GL144" s="175"/>
      <c r="GM144" s="175"/>
      <c r="GN144" s="175"/>
      <c r="GO144" s="175"/>
      <c r="GP144" s="175"/>
      <c r="GQ144" s="175"/>
      <c r="GR144" s="175"/>
      <c r="GS144" s="175"/>
      <c r="GT144" s="175"/>
      <c r="GU144" s="175"/>
      <c r="GV144" s="175"/>
      <c r="GW144" s="175"/>
      <c r="GX144" s="175"/>
      <c r="GY144" s="175"/>
      <c r="GZ144" s="175"/>
      <c r="HA144" s="175"/>
      <c r="HB144" s="175"/>
      <c r="HC144" s="175"/>
      <c r="HD144" s="175"/>
      <c r="HE144" s="175"/>
      <c r="HF144" s="175"/>
      <c r="HG144" s="175"/>
      <c r="HH144" s="175"/>
      <c r="HI144" s="175"/>
      <c r="HJ144" s="175"/>
      <c r="HK144" s="175"/>
      <c r="HL144" s="175"/>
      <c r="HM144" s="175"/>
    </row>
    <row r="145" spans="1:221" ht="15">
      <c r="B145" s="175"/>
      <c r="C145" s="800" t="s">
        <v>550</v>
      </c>
      <c r="D145" s="357">
        <v>1450022</v>
      </c>
      <c r="E145" s="357">
        <v>228</v>
      </c>
      <c r="F145" s="357" t="s">
        <v>551</v>
      </c>
      <c r="G145" s="426" t="s">
        <v>552</v>
      </c>
      <c r="H145" s="148" t="s">
        <v>169</v>
      </c>
      <c r="I145" s="448" t="s">
        <v>170</v>
      </c>
      <c r="J145" s="357"/>
      <c r="K145" s="357"/>
      <c r="L145" s="357"/>
      <c r="M145" s="358"/>
      <c r="N145" s="361">
        <v>107</v>
      </c>
      <c r="O145" s="358"/>
      <c r="P145" s="402">
        <v>403.03</v>
      </c>
      <c r="Q145" s="402"/>
      <c r="R145" s="402">
        <v>7993.4</v>
      </c>
      <c r="S145" s="358">
        <v>522</v>
      </c>
      <c r="T145" s="188" t="s">
        <v>171</v>
      </c>
      <c r="U145" s="358"/>
      <c r="V145" s="358"/>
      <c r="W145" s="358"/>
      <c r="X145" s="402">
        <f t="shared" si="12"/>
        <v>7144.57</v>
      </c>
      <c r="Y145" s="402">
        <v>-342.94</v>
      </c>
      <c r="Z145" s="402">
        <v>0</v>
      </c>
      <c r="AA145" s="402">
        <v>6801.63</v>
      </c>
      <c r="AB145" s="450">
        <v>450</v>
      </c>
      <c r="AC145" s="173" t="s">
        <v>172</v>
      </c>
      <c r="AD145" s="173" t="s">
        <v>173</v>
      </c>
      <c r="AE145" s="164" t="b">
        <v>1</v>
      </c>
      <c r="AF145" s="164" t="b">
        <v>1</v>
      </c>
      <c r="AG145" s="409">
        <f>(AB145-S145)/S145</f>
        <v>-0.13793103448275862</v>
      </c>
      <c r="AH145" s="409">
        <f>(AA145-R145)/R145</f>
        <v>-0.14909425275852572</v>
      </c>
      <c r="AI145" s="402">
        <f t="shared" si="14"/>
        <v>14081.4</v>
      </c>
      <c r="AJ145" s="364">
        <v>-675.91</v>
      </c>
      <c r="AK145" s="364">
        <v>0</v>
      </c>
      <c r="AL145" s="364">
        <v>13405.49</v>
      </c>
      <c r="AM145" s="1069">
        <v>812</v>
      </c>
      <c r="AN145" s="407">
        <v>46122</v>
      </c>
      <c r="AO145" s="148" t="s">
        <v>174</v>
      </c>
      <c r="AP145" s="860" t="b">
        <v>1</v>
      </c>
      <c r="AQ145" s="860" t="b">
        <v>1</v>
      </c>
      <c r="AR145" s="409">
        <f t="shared" si="13"/>
        <v>0.80444444444444441</v>
      </c>
      <c r="AS145" s="409">
        <f>(AL145-AA145)/AA145</f>
        <v>0.97092314636344512</v>
      </c>
      <c r="AT145" s="402">
        <f t="shared" si="15"/>
        <v>0</v>
      </c>
      <c r="AU145" s="402"/>
      <c r="AV145" s="402"/>
      <c r="AW145" s="402"/>
      <c r="AX145" s="358"/>
      <c r="AY145" s="358"/>
      <c r="AZ145" s="358"/>
      <c r="BA145" s="164" t="b">
        <v>0</v>
      </c>
      <c r="BB145" s="164" t="b">
        <v>0</v>
      </c>
      <c r="BC145" s="358">
        <f>(AX145-AM145)/AM145</f>
        <v>-1</v>
      </c>
      <c r="BD145" s="358">
        <f>(AW145-AL145)/AL145</f>
        <v>-1</v>
      </c>
      <c r="BE145" s="402">
        <f>BH145 + ABS(BF145) + ABS(BG145)</f>
        <v>0</v>
      </c>
      <c r="BF145" s="402"/>
      <c r="BG145" s="402"/>
      <c r="BH145" s="402"/>
      <c r="BI145" s="358"/>
      <c r="BJ145" s="358"/>
      <c r="BK145" s="358"/>
      <c r="BL145" s="164" t="b">
        <v>0</v>
      </c>
      <c r="BM145" s="164" t="b">
        <v>0</v>
      </c>
      <c r="BN145" s="358" t="e">
        <f>(BI145-AZ145)/AZ145</f>
        <v>#DIV/0!</v>
      </c>
      <c r="BO145" s="358" t="e">
        <f>(BH145-AW145)/AW145</f>
        <v>#DIV/0!</v>
      </c>
      <c r="BP145" s="402">
        <f>BS145 + ABS(BQ145) + ABS(BR145)</f>
        <v>0</v>
      </c>
      <c r="BQ145" s="402"/>
      <c r="BR145" s="402"/>
      <c r="BS145" s="402"/>
      <c r="BT145" s="358"/>
      <c r="BU145" s="358"/>
      <c r="BV145" s="358"/>
      <c r="BW145" s="164" t="b">
        <v>0</v>
      </c>
      <c r="BX145" s="164" t="b">
        <v>0</v>
      </c>
      <c r="BY145" s="358" t="e">
        <f>(BT145-BI145)/BI145</f>
        <v>#DIV/0!</v>
      </c>
      <c r="BZ145" s="358" t="e">
        <f>(BS145-BH145)/BH145</f>
        <v>#DIV/0!</v>
      </c>
      <c r="CA145" s="402">
        <f>CD145 + ABS(CB145) + ABS(CC145)</f>
        <v>0</v>
      </c>
      <c r="CB145" s="402"/>
      <c r="CC145" s="402"/>
      <c r="CD145" s="402"/>
      <c r="CE145" s="358"/>
      <c r="CF145" s="358"/>
      <c r="CG145" s="358"/>
      <c r="CH145" s="164" t="b">
        <v>0</v>
      </c>
      <c r="CI145" s="164" t="b">
        <v>0</v>
      </c>
      <c r="CJ145" s="358" t="e">
        <f>(CE145-BV145)/BV145</f>
        <v>#DIV/0!</v>
      </c>
      <c r="CK145" s="358" t="e">
        <f>(CD145-BS145)/BS145</f>
        <v>#DIV/0!</v>
      </c>
      <c r="CL145" s="402">
        <f>CO145 + ABS(CM145) + ABS(CN145)</f>
        <v>0</v>
      </c>
      <c r="CM145" s="402"/>
      <c r="CN145" s="402"/>
      <c r="CO145" s="402"/>
      <c r="CP145" s="358"/>
      <c r="CQ145" s="358"/>
      <c r="CR145" s="358"/>
      <c r="CS145" s="164" t="b">
        <v>0</v>
      </c>
      <c r="CT145" s="164" t="b">
        <v>0</v>
      </c>
      <c r="CU145" s="358" t="e">
        <f>(CP145-CE145)/CE145</f>
        <v>#DIV/0!</v>
      </c>
      <c r="CV145" s="358" t="e">
        <f>(CO145-CD145)/CD145</f>
        <v>#DIV/0!</v>
      </c>
      <c r="CW145" s="402">
        <f>CZ145 + ABS(CX145) + ABS(CY145)</f>
        <v>0</v>
      </c>
      <c r="CX145" s="402"/>
      <c r="CY145" s="402"/>
      <c r="CZ145" s="402"/>
      <c r="DA145" s="358"/>
      <c r="DB145" s="358"/>
      <c r="DC145" s="358"/>
      <c r="DD145" s="164" t="b">
        <v>0</v>
      </c>
      <c r="DE145" s="164" t="b">
        <v>0</v>
      </c>
      <c r="DF145" s="358" t="e">
        <f>(DA145-CR145)/CR145</f>
        <v>#DIV/0!</v>
      </c>
      <c r="DG145" s="358" t="e">
        <f>(CZ145-CO145)/CO145</f>
        <v>#DIV/0!</v>
      </c>
      <c r="DH145" s="402">
        <f>DK145 + ABS(DI145) + ABS(DJ145)</f>
        <v>0</v>
      </c>
      <c r="DI145" s="402"/>
      <c r="DJ145" s="402"/>
      <c r="DK145" s="402"/>
      <c r="DL145" s="358"/>
      <c r="DM145" s="358"/>
      <c r="DN145" s="358"/>
      <c r="DO145" s="164" t="b">
        <v>0</v>
      </c>
      <c r="DP145" s="164" t="b">
        <v>0</v>
      </c>
      <c r="DQ145" s="358" t="e">
        <f>(DL145-DA145)/DA145</f>
        <v>#DIV/0!</v>
      </c>
      <c r="DR145" s="358" t="e">
        <f>(DK145-CZ145)/CZ145</f>
        <v>#DIV/0!</v>
      </c>
      <c r="DS145" s="402">
        <f>DV145 + ABS(DT145) + ABS(DU145)</f>
        <v>0</v>
      </c>
      <c r="DT145" s="402"/>
      <c r="DU145" s="402"/>
      <c r="DV145" s="402"/>
      <c r="DW145" s="358"/>
      <c r="DX145" s="358"/>
      <c r="DY145" s="358"/>
      <c r="DZ145" s="164" t="b">
        <v>0</v>
      </c>
      <c r="EA145" s="164" t="b">
        <v>0</v>
      </c>
      <c r="EB145" s="358" t="e">
        <f>(DW145-DN145)/DN145</f>
        <v>#DIV/0!</v>
      </c>
      <c r="EC145" s="358" t="e">
        <f>(DV145-DK145)/DK145</f>
        <v>#DIV/0!</v>
      </c>
      <c r="ED145" s="402">
        <f>EG145 + ABS(EE145) + ABS(EF145)</f>
        <v>0</v>
      </c>
      <c r="EE145" s="402"/>
      <c r="EF145" s="402"/>
      <c r="EG145" s="402"/>
      <c r="EH145" s="358"/>
      <c r="EI145" s="358"/>
      <c r="EJ145" s="358"/>
      <c r="EK145" s="164" t="b">
        <v>0</v>
      </c>
      <c r="EL145" s="164" t="b">
        <v>0</v>
      </c>
      <c r="EM145" s="358" t="e">
        <f>(EH145-DW145)/DW145</f>
        <v>#DIV/0!</v>
      </c>
      <c r="EN145" s="358" t="e">
        <f>(EG145-DV145)/DV145</f>
        <v>#DIV/0!</v>
      </c>
      <c r="EO145" s="402">
        <f>ER145 + ABS(EP145) + ABS(EQ145)</f>
        <v>0</v>
      </c>
      <c r="EP145" s="402"/>
      <c r="EQ145" s="402"/>
      <c r="ER145" s="402"/>
      <c r="ES145" s="358"/>
      <c r="ET145" s="358"/>
      <c r="EU145" s="358"/>
      <c r="EV145" s="164" t="b">
        <v>0</v>
      </c>
      <c r="EW145" s="164" t="b">
        <v>0</v>
      </c>
      <c r="EX145" s="358" t="e">
        <f>(ES145-EJ145)/EJ145</f>
        <v>#DIV/0!</v>
      </c>
      <c r="EY145" s="358" t="e">
        <f>(ER145-EG145)/EG145</f>
        <v>#DIV/0!</v>
      </c>
      <c r="EZ145" s="449"/>
      <c r="FA145" s="449"/>
      <c r="FB145" s="449"/>
      <c r="FC145" s="449"/>
      <c r="FD145" s="449"/>
      <c r="FE145" s="449"/>
      <c r="FF145" s="449"/>
      <c r="FG145" s="449"/>
      <c r="FH145" s="449"/>
      <c r="FI145" s="449"/>
      <c r="FJ145" s="449"/>
      <c r="FK145" s="449"/>
      <c r="FL145" s="449"/>
      <c r="FM145" s="175"/>
      <c r="FN145" s="175"/>
      <c r="FO145" s="175"/>
      <c r="FP145" s="175"/>
      <c r="FQ145" s="801"/>
      <c r="FR145" s="175"/>
      <c r="FS145" s="175"/>
      <c r="FT145" s="175"/>
      <c r="FU145" s="175"/>
      <c r="FV145" s="175"/>
      <c r="FW145" s="175"/>
      <c r="FX145" s="175"/>
      <c r="FY145" s="175"/>
      <c r="FZ145" s="175"/>
      <c r="GA145" s="175"/>
      <c r="GB145" s="175"/>
      <c r="GC145" s="175"/>
      <c r="GD145" s="175"/>
      <c r="GE145" s="175"/>
      <c r="GF145" s="175"/>
      <c r="GG145" s="175"/>
      <c r="GH145" s="175"/>
      <c r="GI145" s="175"/>
      <c r="GJ145" s="175"/>
      <c r="GK145" s="175"/>
      <c r="GL145" s="175"/>
      <c r="GM145" s="175"/>
      <c r="GN145" s="175"/>
      <c r="GO145" s="175"/>
      <c r="GP145" s="175"/>
      <c r="GQ145" s="175"/>
      <c r="GR145" s="175"/>
      <c r="GS145" s="175"/>
      <c r="GT145" s="175"/>
      <c r="GU145" s="175"/>
      <c r="GV145" s="175"/>
      <c r="GW145" s="175"/>
      <c r="GX145" s="175"/>
      <c r="GY145" s="175"/>
      <c r="GZ145" s="175"/>
      <c r="HA145" s="175"/>
      <c r="HB145" s="175"/>
      <c r="HC145" s="175"/>
      <c r="HD145" s="175"/>
      <c r="HE145" s="175"/>
      <c r="HF145" s="175"/>
      <c r="HG145" s="175"/>
      <c r="HH145" s="175"/>
      <c r="HI145" s="175"/>
      <c r="HJ145" s="175"/>
      <c r="HK145" s="175"/>
      <c r="HL145" s="175"/>
      <c r="HM145" s="175"/>
    </row>
    <row r="146" spans="1:221" s="353" customFormat="1" ht="15">
      <c r="A146" s="184"/>
      <c r="B146" s="175"/>
      <c r="C146" s="802" t="s">
        <v>553</v>
      </c>
      <c r="D146" s="154">
        <v>1450022</v>
      </c>
      <c r="E146" s="154">
        <v>323</v>
      </c>
      <c r="F146" s="154" t="s">
        <v>554</v>
      </c>
      <c r="G146" s="255" t="s">
        <v>555</v>
      </c>
      <c r="H146" s="171" t="s">
        <v>169</v>
      </c>
      <c r="I146" s="445" t="s">
        <v>170</v>
      </c>
      <c r="J146" s="154"/>
      <c r="K146" s="154"/>
      <c r="L146" s="154"/>
      <c r="M146" s="176"/>
      <c r="N146" s="193">
        <v>107</v>
      </c>
      <c r="O146" s="176"/>
      <c r="P146" s="203">
        <v>532.84</v>
      </c>
      <c r="Q146" s="203"/>
      <c r="R146" s="203">
        <v>10567.94</v>
      </c>
      <c r="S146" s="176">
        <v>406</v>
      </c>
      <c r="T146" s="188" t="s">
        <v>171</v>
      </c>
      <c r="U146" s="176"/>
      <c r="V146" s="176"/>
      <c r="W146" s="176"/>
      <c r="X146" s="203">
        <f t="shared" si="12"/>
        <v>14398.58</v>
      </c>
      <c r="Y146" s="203">
        <v>-691.13</v>
      </c>
      <c r="Z146" s="203">
        <v>0</v>
      </c>
      <c r="AA146" s="203">
        <v>13707.45</v>
      </c>
      <c r="AB146" s="446">
        <v>515</v>
      </c>
      <c r="AC146" s="444" t="s">
        <v>172</v>
      </c>
      <c r="AD146" s="444" t="s">
        <v>173</v>
      </c>
      <c r="AE146" s="177" t="b">
        <v>1</v>
      </c>
      <c r="AF146" s="177" t="b">
        <v>1</v>
      </c>
      <c r="AG146" s="392">
        <f>(AB146-S146)/S146</f>
        <v>0.26847290640394089</v>
      </c>
      <c r="AH146" s="392">
        <f>(AA146-R146)/R146</f>
        <v>0.29707871165052036</v>
      </c>
      <c r="AI146" s="203">
        <f t="shared" si="14"/>
        <v>12173.85</v>
      </c>
      <c r="AJ146" s="368">
        <v>-584.34</v>
      </c>
      <c r="AK146" s="368">
        <v>0</v>
      </c>
      <c r="AL146" s="368">
        <v>11589.51</v>
      </c>
      <c r="AM146" s="1068">
        <v>423</v>
      </c>
      <c r="AN146" s="172">
        <v>46122</v>
      </c>
      <c r="AO146" s="171" t="s">
        <v>174</v>
      </c>
      <c r="AP146" s="861" t="b">
        <v>1</v>
      </c>
      <c r="AQ146" s="861" t="b">
        <v>1</v>
      </c>
      <c r="AR146" s="392">
        <f t="shared" si="13"/>
        <v>-0.17864077669902911</v>
      </c>
      <c r="AS146" s="392">
        <f>(AL146-AA146)/AA146</f>
        <v>-0.15451013864723201</v>
      </c>
      <c r="AT146" s="203">
        <f t="shared" si="15"/>
        <v>0</v>
      </c>
      <c r="AU146" s="203"/>
      <c r="AV146" s="203"/>
      <c r="AW146" s="203"/>
      <c r="AX146" s="176"/>
      <c r="AY146" s="176"/>
      <c r="AZ146" s="176"/>
      <c r="BA146" s="177" t="b">
        <v>0</v>
      </c>
      <c r="BB146" s="177" t="b">
        <v>0</v>
      </c>
      <c r="BC146" s="176">
        <f>(AX146-AM146)/AM146</f>
        <v>-1</v>
      </c>
      <c r="BD146" s="176">
        <f>(AW146-AL146)/AL146</f>
        <v>-1</v>
      </c>
      <c r="BE146" s="203">
        <f>BH146 + ABS(BF146) + ABS(BG146)</f>
        <v>0</v>
      </c>
      <c r="BF146" s="203"/>
      <c r="BG146" s="203"/>
      <c r="BH146" s="203"/>
      <c r="BI146" s="176"/>
      <c r="BJ146" s="176"/>
      <c r="BK146" s="176"/>
      <c r="BL146" s="177" t="b">
        <v>0</v>
      </c>
      <c r="BM146" s="177" t="b">
        <v>0</v>
      </c>
      <c r="BN146" s="176" t="e">
        <f>(BI146-AZ146)/AZ146</f>
        <v>#DIV/0!</v>
      </c>
      <c r="BO146" s="176" t="e">
        <f>(BH146-AW146)/AW146</f>
        <v>#DIV/0!</v>
      </c>
      <c r="BP146" s="203">
        <f>BS146 + ABS(BQ146) + ABS(BR146)</f>
        <v>0</v>
      </c>
      <c r="BQ146" s="203"/>
      <c r="BR146" s="203"/>
      <c r="BS146" s="203"/>
      <c r="BT146" s="176"/>
      <c r="BU146" s="176"/>
      <c r="BV146" s="176"/>
      <c r="BW146" s="177" t="b">
        <v>0</v>
      </c>
      <c r="BX146" s="177" t="b">
        <v>0</v>
      </c>
      <c r="BY146" s="176" t="e">
        <f>(BT146-BI146)/BI146</f>
        <v>#DIV/0!</v>
      </c>
      <c r="BZ146" s="176" t="e">
        <f>(BS146-BH146)/BH146</f>
        <v>#DIV/0!</v>
      </c>
      <c r="CA146" s="203">
        <f>CD146 + ABS(CB146) + ABS(CC146)</f>
        <v>0</v>
      </c>
      <c r="CB146" s="203"/>
      <c r="CC146" s="203"/>
      <c r="CD146" s="203"/>
      <c r="CE146" s="176"/>
      <c r="CF146" s="176"/>
      <c r="CG146" s="176"/>
      <c r="CH146" s="177" t="b">
        <v>0</v>
      </c>
      <c r="CI146" s="177" t="b">
        <v>0</v>
      </c>
      <c r="CJ146" s="176" t="e">
        <f>(CE146-BV146)/BV146</f>
        <v>#DIV/0!</v>
      </c>
      <c r="CK146" s="176" t="e">
        <f>(CD146-BS146)/BS146</f>
        <v>#DIV/0!</v>
      </c>
      <c r="CL146" s="203">
        <f>CO146 + ABS(CM146) + ABS(CN146)</f>
        <v>0</v>
      </c>
      <c r="CM146" s="203"/>
      <c r="CN146" s="203"/>
      <c r="CO146" s="203"/>
      <c r="CP146" s="176"/>
      <c r="CQ146" s="176"/>
      <c r="CR146" s="176"/>
      <c r="CS146" s="177" t="b">
        <v>0</v>
      </c>
      <c r="CT146" s="177" t="b">
        <v>0</v>
      </c>
      <c r="CU146" s="176" t="e">
        <f>(CP146-CE146)/CE146</f>
        <v>#DIV/0!</v>
      </c>
      <c r="CV146" s="176" t="e">
        <f>(CO146-CD146)/CD146</f>
        <v>#DIV/0!</v>
      </c>
      <c r="CW146" s="203">
        <f>CZ146 + ABS(CX146) + ABS(CY146)</f>
        <v>0</v>
      </c>
      <c r="CX146" s="203"/>
      <c r="CY146" s="203"/>
      <c r="CZ146" s="203"/>
      <c r="DA146" s="176"/>
      <c r="DB146" s="176"/>
      <c r="DC146" s="176"/>
      <c r="DD146" s="177" t="b">
        <v>0</v>
      </c>
      <c r="DE146" s="177" t="b">
        <v>0</v>
      </c>
      <c r="DF146" s="176" t="e">
        <f>(DA146-CR146)/CR146</f>
        <v>#DIV/0!</v>
      </c>
      <c r="DG146" s="176" t="e">
        <f>(CZ146-CO146)/CO146</f>
        <v>#DIV/0!</v>
      </c>
      <c r="DH146" s="203">
        <f>DK146 + ABS(DI146) + ABS(DJ146)</f>
        <v>0</v>
      </c>
      <c r="DI146" s="203"/>
      <c r="DJ146" s="203"/>
      <c r="DK146" s="203"/>
      <c r="DL146" s="176"/>
      <c r="DM146" s="176"/>
      <c r="DN146" s="176"/>
      <c r="DO146" s="177" t="b">
        <v>0</v>
      </c>
      <c r="DP146" s="177" t="b">
        <v>0</v>
      </c>
      <c r="DQ146" s="176" t="e">
        <f>(DL146-DA146)/DA146</f>
        <v>#DIV/0!</v>
      </c>
      <c r="DR146" s="176" t="e">
        <f>(DK146-CZ146)/CZ146</f>
        <v>#DIV/0!</v>
      </c>
      <c r="DS146" s="203">
        <f>DV146 + ABS(DT146) + ABS(DU146)</f>
        <v>0</v>
      </c>
      <c r="DT146" s="203"/>
      <c r="DU146" s="203"/>
      <c r="DV146" s="203"/>
      <c r="DW146" s="176"/>
      <c r="DX146" s="176"/>
      <c r="DY146" s="176"/>
      <c r="DZ146" s="177" t="b">
        <v>0</v>
      </c>
      <c r="EA146" s="177" t="b">
        <v>0</v>
      </c>
      <c r="EB146" s="176" t="e">
        <f>(DW146-DN146)/DN146</f>
        <v>#DIV/0!</v>
      </c>
      <c r="EC146" s="176" t="e">
        <f>(DV146-DK146)/DK146</f>
        <v>#DIV/0!</v>
      </c>
      <c r="ED146" s="203">
        <f>EG146 + ABS(EE146) + ABS(EF146)</f>
        <v>0</v>
      </c>
      <c r="EE146" s="203"/>
      <c r="EF146" s="203"/>
      <c r="EG146" s="203"/>
      <c r="EH146" s="176"/>
      <c r="EI146" s="176"/>
      <c r="EJ146" s="176"/>
      <c r="EK146" s="177" t="b">
        <v>0</v>
      </c>
      <c r="EL146" s="177" t="b">
        <v>0</v>
      </c>
      <c r="EM146" s="176" t="e">
        <f>(EH146-DW146)/DW146</f>
        <v>#DIV/0!</v>
      </c>
      <c r="EN146" s="176" t="e">
        <f>(EG146-DV146)/DV146</f>
        <v>#DIV/0!</v>
      </c>
      <c r="EO146" s="203">
        <f>ER146 + ABS(EP146) + ABS(EQ146)</f>
        <v>0</v>
      </c>
      <c r="EP146" s="203"/>
      <c r="EQ146" s="203"/>
      <c r="ER146" s="203"/>
      <c r="ES146" s="176"/>
      <c r="ET146" s="176"/>
      <c r="EU146" s="176"/>
      <c r="EV146" s="177" t="b">
        <v>0</v>
      </c>
      <c r="EW146" s="177" t="b">
        <v>0</v>
      </c>
      <c r="EX146" s="176" t="e">
        <f>(ES146-EJ146)/EJ146</f>
        <v>#DIV/0!</v>
      </c>
      <c r="EY146" s="176" t="e">
        <f>(ER146-EG146)/EG146</f>
        <v>#DIV/0!</v>
      </c>
      <c r="EZ146" s="175"/>
      <c r="FA146" s="175"/>
      <c r="FB146" s="175"/>
      <c r="FC146" s="175"/>
      <c r="FD146" s="175"/>
      <c r="FE146" s="175"/>
      <c r="FF146" s="175"/>
      <c r="FG146" s="175"/>
      <c r="FH146" s="175"/>
      <c r="FI146" s="175"/>
      <c r="FJ146" s="175"/>
      <c r="FK146" s="175"/>
      <c r="FL146" s="175"/>
      <c r="FM146" s="175"/>
      <c r="FN146" s="175"/>
      <c r="FO146" s="175"/>
      <c r="FP146" s="175"/>
      <c r="FQ146" s="801"/>
      <c r="FR146" s="175"/>
      <c r="FS146" s="175"/>
      <c r="FT146" s="175"/>
      <c r="FU146" s="175"/>
      <c r="FV146" s="175"/>
      <c r="FW146" s="175"/>
      <c r="FX146" s="175"/>
      <c r="FY146" s="175"/>
      <c r="FZ146" s="175"/>
      <c r="GA146" s="175"/>
      <c r="GB146" s="175"/>
      <c r="GC146" s="175"/>
      <c r="GD146" s="175"/>
      <c r="GE146" s="175"/>
      <c r="GF146" s="175"/>
      <c r="GG146" s="175"/>
      <c r="GH146" s="175"/>
      <c r="GI146" s="175"/>
      <c r="GJ146" s="175"/>
      <c r="GK146" s="175"/>
      <c r="GL146" s="175"/>
      <c r="GM146" s="175"/>
      <c r="GN146" s="175"/>
      <c r="GO146" s="175"/>
      <c r="GP146" s="175"/>
      <c r="GQ146" s="175"/>
      <c r="GR146" s="175"/>
      <c r="GS146" s="175"/>
      <c r="GT146" s="175"/>
      <c r="GU146" s="175"/>
      <c r="GV146" s="175"/>
      <c r="GW146" s="175"/>
      <c r="GX146" s="175"/>
      <c r="GY146" s="175"/>
      <c r="GZ146" s="175"/>
      <c r="HA146" s="175"/>
      <c r="HB146" s="175"/>
      <c r="HC146" s="175"/>
      <c r="HD146" s="175"/>
      <c r="HE146" s="175"/>
      <c r="HF146" s="175"/>
      <c r="HG146" s="175"/>
      <c r="HH146" s="175"/>
      <c r="HI146" s="175"/>
      <c r="HJ146" s="175"/>
      <c r="HK146" s="175"/>
      <c r="HL146" s="175"/>
      <c r="HM146" s="175"/>
    </row>
    <row r="147" spans="1:221" ht="15">
      <c r="B147" s="175"/>
      <c r="C147" s="800" t="s">
        <v>556</v>
      </c>
      <c r="D147" s="357">
        <v>1450022</v>
      </c>
      <c r="E147" s="357">
        <v>321</v>
      </c>
      <c r="F147" s="357" t="s">
        <v>557</v>
      </c>
      <c r="G147" s="426" t="s">
        <v>558</v>
      </c>
      <c r="H147" s="148" t="s">
        <v>169</v>
      </c>
      <c r="I147" s="448" t="s">
        <v>170</v>
      </c>
      <c r="J147" s="357"/>
      <c r="K147" s="357"/>
      <c r="L147" s="357"/>
      <c r="M147" s="358"/>
      <c r="N147" s="361">
        <v>107</v>
      </c>
      <c r="O147" s="358"/>
      <c r="P147" s="402">
        <v>1583.72</v>
      </c>
      <c r="Q147" s="402"/>
      <c r="R147" s="402">
        <v>31410.39</v>
      </c>
      <c r="S147" s="358">
        <v>1478</v>
      </c>
      <c r="T147" s="188" t="s">
        <v>171</v>
      </c>
      <c r="U147" s="358"/>
      <c r="V147" s="358"/>
      <c r="W147" s="358"/>
      <c r="X147" s="402">
        <f t="shared" si="12"/>
        <v>38245.08</v>
      </c>
      <c r="Y147" s="402">
        <v>-1835.76</v>
      </c>
      <c r="Z147" s="402">
        <v>0</v>
      </c>
      <c r="AA147" s="402">
        <v>36409.32</v>
      </c>
      <c r="AB147" s="450">
        <v>1707</v>
      </c>
      <c r="AC147" s="173" t="s">
        <v>172</v>
      </c>
      <c r="AD147" s="173" t="s">
        <v>173</v>
      </c>
      <c r="AE147" s="164" t="b">
        <v>1</v>
      </c>
      <c r="AF147" s="164" t="b">
        <v>1</v>
      </c>
      <c r="AG147" s="409">
        <f>(AB147-S147)/S147</f>
        <v>0.15493910690121787</v>
      </c>
      <c r="AH147" s="409">
        <f>(AA147-R147)/R147</f>
        <v>0.15914893129311672</v>
      </c>
      <c r="AI147" s="402">
        <f t="shared" si="14"/>
        <v>34461.630000000005</v>
      </c>
      <c r="AJ147" s="364">
        <v>-1654.16</v>
      </c>
      <c r="AK147" s="364">
        <v>0</v>
      </c>
      <c r="AL147" s="364">
        <v>32807.47</v>
      </c>
      <c r="AM147" s="1069">
        <v>1542</v>
      </c>
      <c r="AN147" s="407">
        <v>46122</v>
      </c>
      <c r="AO147" s="148" t="s">
        <v>174</v>
      </c>
      <c r="AP147" s="860" t="b">
        <v>1</v>
      </c>
      <c r="AQ147" s="860" t="b">
        <v>1</v>
      </c>
      <c r="AR147" s="409">
        <f t="shared" si="13"/>
        <v>-9.6660808435852369E-2</v>
      </c>
      <c r="AS147" s="409">
        <f>(AL147-AA147)/AA147</f>
        <v>-9.8926593520560074E-2</v>
      </c>
      <c r="AT147" s="402">
        <f t="shared" si="15"/>
        <v>0</v>
      </c>
      <c r="AU147" s="402"/>
      <c r="AV147" s="402"/>
      <c r="AW147" s="402"/>
      <c r="AX147" s="358"/>
      <c r="AY147" s="358"/>
      <c r="AZ147" s="358"/>
      <c r="BA147" s="164" t="b">
        <v>0</v>
      </c>
      <c r="BB147" s="164" t="b">
        <v>0</v>
      </c>
      <c r="BC147" s="358">
        <f>(AX147-AM147)/AM147</f>
        <v>-1</v>
      </c>
      <c r="BD147" s="358">
        <f>(AW147-AL147)/AL147</f>
        <v>-1</v>
      </c>
      <c r="BE147" s="402">
        <f>BH147 + ABS(BF147) + ABS(BG147)</f>
        <v>0</v>
      </c>
      <c r="BF147" s="402"/>
      <c r="BG147" s="402"/>
      <c r="BH147" s="402"/>
      <c r="BI147" s="358"/>
      <c r="BJ147" s="358"/>
      <c r="BK147" s="358"/>
      <c r="BL147" s="164" t="b">
        <v>0</v>
      </c>
      <c r="BM147" s="164" t="b">
        <v>0</v>
      </c>
      <c r="BN147" s="358" t="e">
        <f>(BI147-AZ147)/AZ147</f>
        <v>#DIV/0!</v>
      </c>
      <c r="BO147" s="358" t="e">
        <f>(BH147-AW147)/AW147</f>
        <v>#DIV/0!</v>
      </c>
      <c r="BP147" s="402">
        <f>BS147 + ABS(BQ147) + ABS(BR147)</f>
        <v>0</v>
      </c>
      <c r="BQ147" s="402"/>
      <c r="BR147" s="402"/>
      <c r="BS147" s="402"/>
      <c r="BT147" s="358"/>
      <c r="BU147" s="358"/>
      <c r="BV147" s="358"/>
      <c r="BW147" s="164" t="b">
        <v>0</v>
      </c>
      <c r="BX147" s="164" t="b">
        <v>0</v>
      </c>
      <c r="BY147" s="358" t="e">
        <f>(BT147-BI147)/BI147</f>
        <v>#DIV/0!</v>
      </c>
      <c r="BZ147" s="358" t="e">
        <f>(BS147-BH147)/BH147</f>
        <v>#DIV/0!</v>
      </c>
      <c r="CA147" s="402">
        <f>CD147 + ABS(CB147) + ABS(CC147)</f>
        <v>0</v>
      </c>
      <c r="CB147" s="402"/>
      <c r="CC147" s="402"/>
      <c r="CD147" s="402"/>
      <c r="CE147" s="358"/>
      <c r="CF147" s="358"/>
      <c r="CG147" s="358"/>
      <c r="CH147" s="164" t="b">
        <v>0</v>
      </c>
      <c r="CI147" s="164" t="b">
        <v>0</v>
      </c>
      <c r="CJ147" s="358" t="e">
        <f>(CE147-BV147)/BV147</f>
        <v>#DIV/0!</v>
      </c>
      <c r="CK147" s="358" t="e">
        <f>(CD147-BS147)/BS147</f>
        <v>#DIV/0!</v>
      </c>
      <c r="CL147" s="402">
        <f>CO147 + ABS(CM147) + ABS(CN147)</f>
        <v>0</v>
      </c>
      <c r="CM147" s="402"/>
      <c r="CN147" s="402"/>
      <c r="CO147" s="402"/>
      <c r="CP147" s="358"/>
      <c r="CQ147" s="358"/>
      <c r="CR147" s="358"/>
      <c r="CS147" s="164" t="b">
        <v>0</v>
      </c>
      <c r="CT147" s="164" t="b">
        <v>0</v>
      </c>
      <c r="CU147" s="358" t="e">
        <f>(CP147-CE147)/CE147</f>
        <v>#DIV/0!</v>
      </c>
      <c r="CV147" s="358" t="e">
        <f>(CO147-CD147)/CD147</f>
        <v>#DIV/0!</v>
      </c>
      <c r="CW147" s="402">
        <f>CZ147 + ABS(CX147) + ABS(CY147)</f>
        <v>0</v>
      </c>
      <c r="CX147" s="402"/>
      <c r="CY147" s="402"/>
      <c r="CZ147" s="402"/>
      <c r="DA147" s="358"/>
      <c r="DB147" s="358"/>
      <c r="DC147" s="358"/>
      <c r="DD147" s="164" t="b">
        <v>0</v>
      </c>
      <c r="DE147" s="164" t="b">
        <v>0</v>
      </c>
      <c r="DF147" s="358" t="e">
        <f>(DA147-CR147)/CR147</f>
        <v>#DIV/0!</v>
      </c>
      <c r="DG147" s="358" t="e">
        <f>(CZ147-CO147)/CO147</f>
        <v>#DIV/0!</v>
      </c>
      <c r="DH147" s="402">
        <f>DK147 + ABS(DI147) + ABS(DJ147)</f>
        <v>0</v>
      </c>
      <c r="DI147" s="402"/>
      <c r="DJ147" s="402"/>
      <c r="DK147" s="402"/>
      <c r="DL147" s="358"/>
      <c r="DM147" s="358"/>
      <c r="DN147" s="358"/>
      <c r="DO147" s="164" t="b">
        <v>0</v>
      </c>
      <c r="DP147" s="164" t="b">
        <v>0</v>
      </c>
      <c r="DQ147" s="358" t="e">
        <f>(DL147-DA147)/DA147</f>
        <v>#DIV/0!</v>
      </c>
      <c r="DR147" s="358" t="e">
        <f>(DK147-CZ147)/CZ147</f>
        <v>#DIV/0!</v>
      </c>
      <c r="DS147" s="402">
        <f>DV147 + ABS(DT147) + ABS(DU147)</f>
        <v>0</v>
      </c>
      <c r="DT147" s="402"/>
      <c r="DU147" s="402"/>
      <c r="DV147" s="402"/>
      <c r="DW147" s="358"/>
      <c r="DX147" s="358"/>
      <c r="DY147" s="358"/>
      <c r="DZ147" s="164" t="b">
        <v>0</v>
      </c>
      <c r="EA147" s="164" t="b">
        <v>0</v>
      </c>
      <c r="EB147" s="358" t="e">
        <f>(DW147-DN147)/DN147</f>
        <v>#DIV/0!</v>
      </c>
      <c r="EC147" s="358" t="e">
        <f>(DV147-DK147)/DK147</f>
        <v>#DIV/0!</v>
      </c>
      <c r="ED147" s="402">
        <f>EG147 + ABS(EE147) + ABS(EF147)</f>
        <v>0</v>
      </c>
      <c r="EE147" s="402"/>
      <c r="EF147" s="402"/>
      <c r="EG147" s="402"/>
      <c r="EH147" s="358"/>
      <c r="EI147" s="358"/>
      <c r="EJ147" s="358"/>
      <c r="EK147" s="164" t="b">
        <v>0</v>
      </c>
      <c r="EL147" s="164" t="b">
        <v>0</v>
      </c>
      <c r="EM147" s="358" t="e">
        <f>(EH147-DW147)/DW147</f>
        <v>#DIV/0!</v>
      </c>
      <c r="EN147" s="358" t="e">
        <f>(EG147-DV147)/DV147</f>
        <v>#DIV/0!</v>
      </c>
      <c r="EO147" s="402">
        <f>ER147 + ABS(EP147) + ABS(EQ147)</f>
        <v>0</v>
      </c>
      <c r="EP147" s="402"/>
      <c r="EQ147" s="402"/>
      <c r="ER147" s="402"/>
      <c r="ES147" s="358"/>
      <c r="ET147" s="358"/>
      <c r="EU147" s="358"/>
      <c r="EV147" s="164" t="b">
        <v>0</v>
      </c>
      <c r="EW147" s="164" t="b">
        <v>0</v>
      </c>
      <c r="EX147" s="358" t="e">
        <f>(ES147-EJ147)/EJ147</f>
        <v>#DIV/0!</v>
      </c>
      <c r="EY147" s="358" t="e">
        <f>(ER147-EG147)/EG147</f>
        <v>#DIV/0!</v>
      </c>
      <c r="EZ147" s="449"/>
      <c r="FA147" s="449"/>
      <c r="FB147" s="449"/>
      <c r="FC147" s="449"/>
      <c r="FD147" s="449"/>
      <c r="FE147" s="449"/>
      <c r="FF147" s="449"/>
      <c r="FG147" s="449"/>
      <c r="FH147" s="449"/>
      <c r="FI147" s="449"/>
      <c r="FJ147" s="449"/>
      <c r="FK147" s="449"/>
      <c r="FL147" s="449"/>
      <c r="FM147" s="449"/>
      <c r="FN147" s="175"/>
      <c r="FO147" s="175"/>
      <c r="FP147" s="175"/>
      <c r="FQ147" s="801"/>
      <c r="FR147" s="175"/>
      <c r="FS147" s="175"/>
      <c r="FT147" s="175"/>
      <c r="FU147" s="175"/>
      <c r="FV147" s="175"/>
      <c r="FW147" s="175"/>
      <c r="FX147" s="175"/>
      <c r="FY147" s="175"/>
      <c r="FZ147" s="175"/>
      <c r="GA147" s="175"/>
      <c r="GB147" s="175"/>
      <c r="GC147" s="175"/>
      <c r="GD147" s="175"/>
      <c r="GE147" s="175"/>
      <c r="GF147" s="175"/>
      <c r="GG147" s="175"/>
      <c r="GH147" s="175"/>
      <c r="GI147" s="175"/>
      <c r="GJ147" s="175"/>
      <c r="GK147" s="175"/>
      <c r="GL147" s="175"/>
      <c r="GM147" s="175"/>
      <c r="GN147" s="175"/>
      <c r="GO147" s="175"/>
      <c r="GP147" s="175"/>
      <c r="GQ147" s="175"/>
      <c r="GR147" s="175"/>
      <c r="GS147" s="175"/>
      <c r="GT147" s="175"/>
      <c r="GU147" s="175"/>
      <c r="GV147" s="175"/>
      <c r="GW147" s="175"/>
      <c r="GX147" s="175"/>
      <c r="GY147" s="175"/>
      <c r="GZ147" s="175"/>
      <c r="HA147" s="175"/>
      <c r="HB147" s="175"/>
      <c r="HC147" s="175"/>
      <c r="HD147" s="175"/>
      <c r="HE147" s="175"/>
      <c r="HF147" s="175"/>
      <c r="HG147" s="175"/>
      <c r="HH147" s="175"/>
      <c r="HI147" s="175"/>
      <c r="HJ147" s="175"/>
      <c r="HK147" s="175"/>
      <c r="HL147" s="175"/>
      <c r="HM147" s="175"/>
    </row>
    <row r="148" spans="1:221" ht="15">
      <c r="B148" s="175"/>
      <c r="C148" s="802" t="s">
        <v>559</v>
      </c>
      <c r="D148" s="154">
        <v>1450022</v>
      </c>
      <c r="E148" s="154">
        <v>168</v>
      </c>
      <c r="F148" s="154" t="s">
        <v>560</v>
      </c>
      <c r="G148" s="255" t="s">
        <v>561</v>
      </c>
      <c r="H148" s="171" t="s">
        <v>169</v>
      </c>
      <c r="I148" s="445" t="s">
        <v>170</v>
      </c>
      <c r="J148" s="154"/>
      <c r="K148" s="154"/>
      <c r="L148" s="154"/>
      <c r="M148" s="176"/>
      <c r="N148" s="193">
        <v>107</v>
      </c>
      <c r="O148" s="176"/>
      <c r="P148" s="203">
        <v>18.75</v>
      </c>
      <c r="Q148" s="203"/>
      <c r="R148" s="203">
        <v>371.82</v>
      </c>
      <c r="S148" s="176">
        <v>23</v>
      </c>
      <c r="T148" s="188" t="s">
        <v>171</v>
      </c>
      <c r="U148" s="176"/>
      <c r="V148" s="176"/>
      <c r="W148" s="176"/>
      <c r="X148" s="203">
        <f t="shared" si="12"/>
        <v>454.26</v>
      </c>
      <c r="Y148" s="203">
        <v>-21.8</v>
      </c>
      <c r="Z148" s="203">
        <v>0</v>
      </c>
      <c r="AA148" s="203">
        <v>432.46</v>
      </c>
      <c r="AB148" s="446">
        <v>26</v>
      </c>
      <c r="AC148" s="255" t="s">
        <v>172</v>
      </c>
      <c r="AD148" s="255" t="s">
        <v>173</v>
      </c>
      <c r="AE148" s="177" t="b">
        <v>1</v>
      </c>
      <c r="AF148" s="177" t="b">
        <v>1</v>
      </c>
      <c r="AG148" s="392">
        <f>(AB148-S148)/S148</f>
        <v>0.13043478260869565</v>
      </c>
      <c r="AH148" s="392">
        <f>(AA148-R148)/R148</f>
        <v>0.16308966704319292</v>
      </c>
      <c r="AI148" s="203">
        <f t="shared" si="14"/>
        <v>805.79</v>
      </c>
      <c r="AJ148" s="368">
        <v>-38.68</v>
      </c>
      <c r="AK148" s="368">
        <v>0</v>
      </c>
      <c r="AL148" s="368">
        <v>767.11</v>
      </c>
      <c r="AM148" s="1068">
        <v>41</v>
      </c>
      <c r="AN148" s="172">
        <v>46122</v>
      </c>
      <c r="AO148" s="171" t="s">
        <v>174</v>
      </c>
      <c r="AP148" s="861" t="b">
        <v>1</v>
      </c>
      <c r="AQ148" s="861" t="b">
        <v>1</v>
      </c>
      <c r="AR148" s="392">
        <f t="shared" si="13"/>
        <v>0.57692307692307687</v>
      </c>
      <c r="AS148" s="392">
        <f>(AL148-AA148)/AA148</f>
        <v>0.7738287934144199</v>
      </c>
      <c r="AT148" s="203">
        <f t="shared" si="15"/>
        <v>0</v>
      </c>
      <c r="AU148" s="203"/>
      <c r="AV148" s="203"/>
      <c r="AW148" s="203"/>
      <c r="AX148" s="176"/>
      <c r="AY148" s="176"/>
      <c r="AZ148" s="176"/>
      <c r="BA148" s="177" t="b">
        <v>0</v>
      </c>
      <c r="BB148" s="177" t="b">
        <v>0</v>
      </c>
      <c r="BC148" s="176">
        <f>(AX148-AM148)/AM148</f>
        <v>-1</v>
      </c>
      <c r="BD148" s="176">
        <f>(AW148-AL148)/AL148</f>
        <v>-1</v>
      </c>
      <c r="BE148" s="203">
        <f>BH148 + ABS(BF148) + ABS(BG148)</f>
        <v>0</v>
      </c>
      <c r="BF148" s="203"/>
      <c r="BG148" s="203"/>
      <c r="BH148" s="203"/>
      <c r="BI148" s="176"/>
      <c r="BJ148" s="176"/>
      <c r="BK148" s="176"/>
      <c r="BL148" s="177" t="b">
        <v>0</v>
      </c>
      <c r="BM148" s="177" t="b">
        <v>0</v>
      </c>
      <c r="BN148" s="176" t="e">
        <f>(BI148-AZ148)/AZ148</f>
        <v>#DIV/0!</v>
      </c>
      <c r="BO148" s="176" t="e">
        <f>(BH148-AW148)/AW148</f>
        <v>#DIV/0!</v>
      </c>
      <c r="BP148" s="203">
        <f>BS148 + ABS(BQ148) + ABS(BR148)</f>
        <v>0</v>
      </c>
      <c r="BQ148" s="203"/>
      <c r="BR148" s="203"/>
      <c r="BS148" s="203"/>
      <c r="BT148" s="176"/>
      <c r="BU148" s="176"/>
      <c r="BV148" s="176"/>
      <c r="BW148" s="177" t="b">
        <v>0</v>
      </c>
      <c r="BX148" s="177" t="b">
        <v>0</v>
      </c>
      <c r="BY148" s="176" t="e">
        <f>(BT148-BI148)/BI148</f>
        <v>#DIV/0!</v>
      </c>
      <c r="BZ148" s="176" t="e">
        <f>(BS148-BH148)/BH148</f>
        <v>#DIV/0!</v>
      </c>
      <c r="CA148" s="203">
        <f>CD148 + ABS(CB148) + ABS(CC148)</f>
        <v>0</v>
      </c>
      <c r="CB148" s="203"/>
      <c r="CC148" s="203"/>
      <c r="CD148" s="203"/>
      <c r="CE148" s="176"/>
      <c r="CF148" s="176"/>
      <c r="CG148" s="176"/>
      <c r="CH148" s="177" t="b">
        <v>0</v>
      </c>
      <c r="CI148" s="177" t="b">
        <v>0</v>
      </c>
      <c r="CJ148" s="176" t="e">
        <f>(CE148-BV148)/BV148</f>
        <v>#DIV/0!</v>
      </c>
      <c r="CK148" s="176" t="e">
        <f>(CD148-BS148)/BS148</f>
        <v>#DIV/0!</v>
      </c>
      <c r="CL148" s="203">
        <f>CO148 + ABS(CM148) + ABS(CN148)</f>
        <v>0</v>
      </c>
      <c r="CM148" s="203"/>
      <c r="CN148" s="203"/>
      <c r="CO148" s="203"/>
      <c r="CP148" s="176"/>
      <c r="CQ148" s="176"/>
      <c r="CR148" s="176"/>
      <c r="CS148" s="177" t="b">
        <v>0</v>
      </c>
      <c r="CT148" s="177" t="b">
        <v>0</v>
      </c>
      <c r="CU148" s="176" t="e">
        <f>(CP148-CE148)/CE148</f>
        <v>#DIV/0!</v>
      </c>
      <c r="CV148" s="176" t="e">
        <f>(CO148-CD148)/CD148</f>
        <v>#DIV/0!</v>
      </c>
      <c r="CW148" s="203">
        <f>CZ148 + ABS(CX148) + ABS(CY148)</f>
        <v>0</v>
      </c>
      <c r="CX148" s="203"/>
      <c r="CY148" s="203"/>
      <c r="CZ148" s="203"/>
      <c r="DA148" s="176"/>
      <c r="DB148" s="176"/>
      <c r="DC148" s="176"/>
      <c r="DD148" s="177" t="b">
        <v>0</v>
      </c>
      <c r="DE148" s="177" t="b">
        <v>0</v>
      </c>
      <c r="DF148" s="176" t="e">
        <f>(DA148-CR148)/CR148</f>
        <v>#DIV/0!</v>
      </c>
      <c r="DG148" s="176" t="e">
        <f>(CZ148-CO148)/CO148</f>
        <v>#DIV/0!</v>
      </c>
      <c r="DH148" s="203">
        <f>DK148 + ABS(DI148) + ABS(DJ148)</f>
        <v>0</v>
      </c>
      <c r="DI148" s="203"/>
      <c r="DJ148" s="203"/>
      <c r="DK148" s="203"/>
      <c r="DL148" s="176"/>
      <c r="DM148" s="176"/>
      <c r="DN148" s="176"/>
      <c r="DO148" s="177" t="b">
        <v>0</v>
      </c>
      <c r="DP148" s="177" t="b">
        <v>0</v>
      </c>
      <c r="DQ148" s="176" t="e">
        <f>(DL148-DA148)/DA148</f>
        <v>#DIV/0!</v>
      </c>
      <c r="DR148" s="176" t="e">
        <f>(DK148-CZ148)/CZ148</f>
        <v>#DIV/0!</v>
      </c>
      <c r="DS148" s="203">
        <f>DV148 + ABS(DT148) + ABS(DU148)</f>
        <v>0</v>
      </c>
      <c r="DT148" s="203"/>
      <c r="DU148" s="203"/>
      <c r="DV148" s="203"/>
      <c r="DW148" s="176"/>
      <c r="DX148" s="176"/>
      <c r="DY148" s="176"/>
      <c r="DZ148" s="177" t="b">
        <v>0</v>
      </c>
      <c r="EA148" s="177" t="b">
        <v>0</v>
      </c>
      <c r="EB148" s="176" t="e">
        <f>(DW148-DN148)/DN148</f>
        <v>#DIV/0!</v>
      </c>
      <c r="EC148" s="176" t="e">
        <f>(DV148-DK148)/DK148</f>
        <v>#DIV/0!</v>
      </c>
      <c r="ED148" s="203">
        <f>EG148 + ABS(EE148) + ABS(EF148)</f>
        <v>0</v>
      </c>
      <c r="EE148" s="203"/>
      <c r="EF148" s="203"/>
      <c r="EG148" s="203"/>
      <c r="EH148" s="176"/>
      <c r="EI148" s="176"/>
      <c r="EJ148" s="176"/>
      <c r="EK148" s="177" t="b">
        <v>0</v>
      </c>
      <c r="EL148" s="177" t="b">
        <v>0</v>
      </c>
      <c r="EM148" s="176" t="e">
        <f>(EH148-DW148)/DW148</f>
        <v>#DIV/0!</v>
      </c>
      <c r="EN148" s="176" t="e">
        <f>(EG148-DV148)/DV148</f>
        <v>#DIV/0!</v>
      </c>
      <c r="EO148" s="203">
        <f>ER148 + ABS(EP148) + ABS(EQ148)</f>
        <v>0</v>
      </c>
      <c r="EP148" s="203"/>
      <c r="EQ148" s="203"/>
      <c r="ER148" s="203"/>
      <c r="ES148" s="176"/>
      <c r="ET148" s="176"/>
      <c r="EU148" s="176"/>
      <c r="EV148" s="177" t="b">
        <v>0</v>
      </c>
      <c r="EW148" s="177" t="b">
        <v>0</v>
      </c>
      <c r="EX148" s="176" t="e">
        <f>(ES148-EJ148)/EJ148</f>
        <v>#DIV/0!</v>
      </c>
      <c r="EY148" s="176" t="e">
        <f>(ER148-EG148)/EG148</f>
        <v>#DIV/0!</v>
      </c>
      <c r="EZ148" s="175"/>
      <c r="FA148" s="175"/>
      <c r="FB148" s="175"/>
      <c r="FC148" s="175"/>
      <c r="FD148" s="175"/>
      <c r="FE148" s="175"/>
      <c r="FF148" s="175"/>
      <c r="FG148" s="175"/>
      <c r="FH148" s="175"/>
      <c r="FI148" s="175"/>
      <c r="FJ148" s="175"/>
      <c r="FK148" s="175"/>
      <c r="FL148" s="175"/>
      <c r="FM148" s="175"/>
      <c r="FN148" s="175"/>
      <c r="FO148" s="175"/>
      <c r="FP148" s="175"/>
      <c r="FQ148" s="801"/>
      <c r="FR148" s="175"/>
      <c r="FS148" s="175"/>
      <c r="FT148" s="175"/>
      <c r="FU148" s="175"/>
      <c r="FV148" s="175"/>
      <c r="FW148" s="175"/>
      <c r="FX148" s="175"/>
      <c r="FY148" s="175"/>
      <c r="FZ148" s="175"/>
      <c r="GA148" s="175"/>
      <c r="GB148" s="175"/>
      <c r="GC148" s="175"/>
      <c r="GD148" s="175"/>
      <c r="GE148" s="175"/>
      <c r="GF148" s="175"/>
      <c r="GG148" s="175"/>
      <c r="GH148" s="175"/>
      <c r="GI148" s="175"/>
      <c r="GJ148" s="175"/>
      <c r="GK148" s="175"/>
      <c r="GL148" s="175"/>
      <c r="GM148" s="175"/>
      <c r="GN148" s="175"/>
      <c r="GO148" s="175"/>
      <c r="GP148" s="175"/>
      <c r="GQ148" s="175"/>
      <c r="GR148" s="175"/>
      <c r="GS148" s="175"/>
      <c r="GT148" s="175"/>
      <c r="GU148" s="175"/>
      <c r="GV148" s="175"/>
      <c r="GW148" s="175"/>
      <c r="GX148" s="175"/>
      <c r="GY148" s="175"/>
      <c r="GZ148" s="175"/>
      <c r="HA148" s="175"/>
      <c r="HB148" s="175"/>
      <c r="HC148" s="175"/>
      <c r="HD148" s="175"/>
      <c r="HE148" s="175"/>
      <c r="HF148" s="175"/>
      <c r="HG148" s="175"/>
      <c r="HH148" s="175"/>
      <c r="HI148" s="175"/>
      <c r="HJ148" s="175"/>
      <c r="HK148" s="175"/>
      <c r="HL148" s="175"/>
      <c r="HM148" s="175"/>
    </row>
    <row r="149" spans="1:221" ht="15">
      <c r="B149" s="175"/>
      <c r="C149" s="800" t="s">
        <v>562</v>
      </c>
      <c r="D149" s="357">
        <v>1450022</v>
      </c>
      <c r="E149" s="357">
        <v>342</v>
      </c>
      <c r="F149" s="357" t="s">
        <v>563</v>
      </c>
      <c r="G149" s="426" t="s">
        <v>564</v>
      </c>
      <c r="H149" s="148" t="s">
        <v>169</v>
      </c>
      <c r="I149" s="448" t="s">
        <v>170</v>
      </c>
      <c r="J149" s="357"/>
      <c r="K149" s="357"/>
      <c r="L149" s="357"/>
      <c r="M149" s="358"/>
      <c r="N149" s="361">
        <v>107</v>
      </c>
      <c r="O149" s="358"/>
      <c r="P149" s="402">
        <v>1089.05</v>
      </c>
      <c r="Q149" s="402"/>
      <c r="R149" s="402">
        <v>21599.39</v>
      </c>
      <c r="S149" s="358">
        <v>789</v>
      </c>
      <c r="T149" s="188" t="s">
        <v>171</v>
      </c>
      <c r="U149" s="358"/>
      <c r="V149" s="358"/>
      <c r="W149" s="358"/>
      <c r="X149" s="402">
        <f t="shared" si="12"/>
        <v>26129.940000000002</v>
      </c>
      <c r="Y149" s="402">
        <v>-1254.24</v>
      </c>
      <c r="Z149" s="402">
        <v>0</v>
      </c>
      <c r="AA149" s="402">
        <v>24875.7</v>
      </c>
      <c r="AB149" s="450">
        <v>900</v>
      </c>
      <c r="AC149" s="173" t="s">
        <v>172</v>
      </c>
      <c r="AD149" s="173" t="s">
        <v>173</v>
      </c>
      <c r="AE149" s="164" t="b">
        <v>1</v>
      </c>
      <c r="AF149" s="164" t="b">
        <v>1</v>
      </c>
      <c r="AG149" s="409">
        <f>(AB149-S149)/S149</f>
        <v>0.14068441064638784</v>
      </c>
      <c r="AH149" s="409">
        <f>(AA149-R149)/R149</f>
        <v>0.15168530222381288</v>
      </c>
      <c r="AI149" s="402">
        <f t="shared" si="14"/>
        <v>25144.48</v>
      </c>
      <c r="AJ149" s="364">
        <v>-1206.94</v>
      </c>
      <c r="AK149" s="364">
        <v>0</v>
      </c>
      <c r="AL149" s="364">
        <v>23937.54</v>
      </c>
      <c r="AM149" s="1069">
        <v>831</v>
      </c>
      <c r="AN149" s="407">
        <v>46122</v>
      </c>
      <c r="AO149" s="148" t="s">
        <v>174</v>
      </c>
      <c r="AP149" s="860" t="b">
        <v>1</v>
      </c>
      <c r="AQ149" s="860" t="b">
        <v>1</v>
      </c>
      <c r="AR149" s="409">
        <f t="shared" si="13"/>
        <v>-7.6666666666666661E-2</v>
      </c>
      <c r="AS149" s="409">
        <f>(AL149-AA149)/AA149</f>
        <v>-3.7713913578311359E-2</v>
      </c>
      <c r="AT149" s="402">
        <f t="shared" si="15"/>
        <v>0</v>
      </c>
      <c r="AU149" s="402"/>
      <c r="AV149" s="402"/>
      <c r="AW149" s="402"/>
      <c r="AX149" s="358"/>
      <c r="AY149" s="358"/>
      <c r="AZ149" s="358"/>
      <c r="BA149" s="164" t="b">
        <v>0</v>
      </c>
      <c r="BB149" s="164" t="b">
        <v>0</v>
      </c>
      <c r="BC149" s="358">
        <f>(AX149-AM149)/AM149</f>
        <v>-1</v>
      </c>
      <c r="BD149" s="358">
        <f>(AW149-AL149)/AL149</f>
        <v>-1</v>
      </c>
      <c r="BE149" s="402">
        <f>BH149 + ABS(BF149) + ABS(BG149)</f>
        <v>0</v>
      </c>
      <c r="BF149" s="402"/>
      <c r="BG149" s="402"/>
      <c r="BH149" s="402"/>
      <c r="BI149" s="358"/>
      <c r="BJ149" s="358"/>
      <c r="BK149" s="358"/>
      <c r="BL149" s="164" t="b">
        <v>0</v>
      </c>
      <c r="BM149" s="164" t="b">
        <v>0</v>
      </c>
      <c r="BN149" s="358" t="e">
        <f>(BI149-AZ149)/AZ149</f>
        <v>#DIV/0!</v>
      </c>
      <c r="BO149" s="358" t="e">
        <f>(BH149-AW149)/AW149</f>
        <v>#DIV/0!</v>
      </c>
      <c r="BP149" s="402">
        <f>BS149 + ABS(BQ149) + ABS(BR149)</f>
        <v>0</v>
      </c>
      <c r="BQ149" s="402"/>
      <c r="BR149" s="402"/>
      <c r="BS149" s="402"/>
      <c r="BT149" s="358"/>
      <c r="BU149" s="358"/>
      <c r="BV149" s="358"/>
      <c r="BW149" s="164" t="b">
        <v>0</v>
      </c>
      <c r="BX149" s="164" t="b">
        <v>0</v>
      </c>
      <c r="BY149" s="358" t="e">
        <f>(BT149-BI149)/BI149</f>
        <v>#DIV/0!</v>
      </c>
      <c r="BZ149" s="358" t="e">
        <f>(BS149-BH149)/BH149</f>
        <v>#DIV/0!</v>
      </c>
      <c r="CA149" s="402">
        <f>CD149 + ABS(CB149) + ABS(CC149)</f>
        <v>0</v>
      </c>
      <c r="CB149" s="402"/>
      <c r="CC149" s="402"/>
      <c r="CD149" s="402"/>
      <c r="CE149" s="358"/>
      <c r="CF149" s="358"/>
      <c r="CG149" s="358"/>
      <c r="CH149" s="164" t="b">
        <v>0</v>
      </c>
      <c r="CI149" s="164" t="b">
        <v>0</v>
      </c>
      <c r="CJ149" s="358" t="e">
        <f>(CE149-BV149)/BV149</f>
        <v>#DIV/0!</v>
      </c>
      <c r="CK149" s="358" t="e">
        <f>(CD149-BS149)/BS149</f>
        <v>#DIV/0!</v>
      </c>
      <c r="CL149" s="402">
        <f>CO149 + ABS(CM149) + ABS(CN149)</f>
        <v>0</v>
      </c>
      <c r="CM149" s="402"/>
      <c r="CN149" s="402"/>
      <c r="CO149" s="402"/>
      <c r="CP149" s="358"/>
      <c r="CQ149" s="358"/>
      <c r="CR149" s="358"/>
      <c r="CS149" s="164" t="b">
        <v>0</v>
      </c>
      <c r="CT149" s="164" t="b">
        <v>0</v>
      </c>
      <c r="CU149" s="358" t="e">
        <f>(CP149-CE149)/CE149</f>
        <v>#DIV/0!</v>
      </c>
      <c r="CV149" s="358" t="e">
        <f>(CO149-CD149)/CD149</f>
        <v>#DIV/0!</v>
      </c>
      <c r="CW149" s="402">
        <f>CZ149 + ABS(CX149) + ABS(CY149)</f>
        <v>0</v>
      </c>
      <c r="CX149" s="402"/>
      <c r="CY149" s="402"/>
      <c r="CZ149" s="402"/>
      <c r="DA149" s="358"/>
      <c r="DB149" s="358"/>
      <c r="DC149" s="358"/>
      <c r="DD149" s="164" t="b">
        <v>0</v>
      </c>
      <c r="DE149" s="164" t="b">
        <v>0</v>
      </c>
      <c r="DF149" s="358" t="e">
        <f>(DA149-CR149)/CR149</f>
        <v>#DIV/0!</v>
      </c>
      <c r="DG149" s="358" t="e">
        <f>(CZ149-CO149)/CO149</f>
        <v>#DIV/0!</v>
      </c>
      <c r="DH149" s="402">
        <f>DK149 + ABS(DI149) + ABS(DJ149)</f>
        <v>0</v>
      </c>
      <c r="DI149" s="402"/>
      <c r="DJ149" s="402"/>
      <c r="DK149" s="402"/>
      <c r="DL149" s="358"/>
      <c r="DM149" s="358"/>
      <c r="DN149" s="358"/>
      <c r="DO149" s="164" t="b">
        <v>0</v>
      </c>
      <c r="DP149" s="164" t="b">
        <v>0</v>
      </c>
      <c r="DQ149" s="358" t="e">
        <f>(DL149-DA149)/DA149</f>
        <v>#DIV/0!</v>
      </c>
      <c r="DR149" s="358" t="e">
        <f>(DK149-CZ149)/CZ149</f>
        <v>#DIV/0!</v>
      </c>
      <c r="DS149" s="402">
        <f>DV149 + ABS(DT149) + ABS(DU149)</f>
        <v>0</v>
      </c>
      <c r="DT149" s="402"/>
      <c r="DU149" s="402"/>
      <c r="DV149" s="402"/>
      <c r="DW149" s="358"/>
      <c r="DX149" s="358"/>
      <c r="DY149" s="358"/>
      <c r="DZ149" s="164" t="b">
        <v>0</v>
      </c>
      <c r="EA149" s="164" t="b">
        <v>0</v>
      </c>
      <c r="EB149" s="358" t="e">
        <f>(DW149-DN149)/DN149</f>
        <v>#DIV/0!</v>
      </c>
      <c r="EC149" s="358" t="e">
        <f>(DV149-DK149)/DK149</f>
        <v>#DIV/0!</v>
      </c>
      <c r="ED149" s="402">
        <f>EG149 + ABS(EE149) + ABS(EF149)</f>
        <v>0</v>
      </c>
      <c r="EE149" s="402"/>
      <c r="EF149" s="402"/>
      <c r="EG149" s="402"/>
      <c r="EH149" s="358"/>
      <c r="EI149" s="358"/>
      <c r="EJ149" s="358"/>
      <c r="EK149" s="164" t="b">
        <v>0</v>
      </c>
      <c r="EL149" s="164" t="b">
        <v>0</v>
      </c>
      <c r="EM149" s="358" t="e">
        <f>(EH149-DW149)/DW149</f>
        <v>#DIV/0!</v>
      </c>
      <c r="EN149" s="358" t="e">
        <f>(EG149-DV149)/DV149</f>
        <v>#DIV/0!</v>
      </c>
      <c r="EO149" s="402">
        <f>ER149 + ABS(EP149) + ABS(EQ149)</f>
        <v>0</v>
      </c>
      <c r="EP149" s="402"/>
      <c r="EQ149" s="402"/>
      <c r="ER149" s="402"/>
      <c r="ES149" s="358"/>
      <c r="ET149" s="358"/>
      <c r="EU149" s="358"/>
      <c r="EV149" s="164" t="b">
        <v>0</v>
      </c>
      <c r="EW149" s="164" t="b">
        <v>0</v>
      </c>
      <c r="EX149" s="358" t="e">
        <f>(ES149-EJ149)/EJ149</f>
        <v>#DIV/0!</v>
      </c>
      <c r="EY149" s="358" t="e">
        <f>(ER149-EG149)/EG149</f>
        <v>#DIV/0!</v>
      </c>
      <c r="EZ149" s="449"/>
      <c r="FA149" s="449"/>
      <c r="FB149" s="449"/>
      <c r="FC149" s="449"/>
      <c r="FD149" s="449"/>
      <c r="FE149" s="449"/>
      <c r="FF149" s="449"/>
      <c r="FG149" s="449"/>
      <c r="FH149" s="449"/>
      <c r="FI149" s="449"/>
      <c r="FJ149" s="449"/>
      <c r="FK149" s="449"/>
      <c r="FL149" s="449"/>
      <c r="FM149" s="175"/>
      <c r="FN149" s="175"/>
      <c r="FO149" s="175"/>
      <c r="FP149" s="175"/>
      <c r="FQ149" s="801"/>
      <c r="FR149" s="175"/>
      <c r="FS149" s="175"/>
      <c r="FT149" s="175"/>
      <c r="FU149" s="175"/>
      <c r="FV149" s="175"/>
      <c r="FW149" s="175"/>
      <c r="FX149" s="175"/>
      <c r="FY149" s="175"/>
      <c r="FZ149" s="175"/>
      <c r="GA149" s="175"/>
      <c r="GB149" s="175"/>
      <c r="GC149" s="175"/>
      <c r="GD149" s="175"/>
      <c r="GE149" s="175"/>
      <c r="GF149" s="175"/>
      <c r="GG149" s="175"/>
      <c r="GH149" s="175"/>
      <c r="GI149" s="175"/>
      <c r="GJ149" s="175"/>
      <c r="GK149" s="175"/>
      <c r="GL149" s="175"/>
      <c r="GM149" s="175"/>
      <c r="GN149" s="175"/>
      <c r="GO149" s="175"/>
      <c r="GP149" s="175"/>
      <c r="GQ149" s="175"/>
      <c r="GR149" s="175"/>
      <c r="GS149" s="175"/>
      <c r="GT149" s="175"/>
      <c r="GU149" s="175"/>
      <c r="GV149" s="175"/>
      <c r="GW149" s="175"/>
      <c r="GX149" s="175"/>
      <c r="GY149" s="175"/>
      <c r="GZ149" s="175"/>
      <c r="HA149" s="175"/>
      <c r="HB149" s="175"/>
      <c r="HC149" s="175"/>
      <c r="HD149" s="175"/>
      <c r="HE149" s="175"/>
      <c r="HF149" s="175"/>
      <c r="HG149" s="175"/>
      <c r="HH149" s="175"/>
      <c r="HI149" s="175"/>
      <c r="HJ149" s="175"/>
      <c r="HK149" s="175"/>
      <c r="HL149" s="175"/>
      <c r="HM149" s="175"/>
    </row>
    <row r="150" spans="1:221" ht="15">
      <c r="B150" s="175"/>
      <c r="C150" s="802" t="s">
        <v>565</v>
      </c>
      <c r="D150" s="154">
        <v>1450022</v>
      </c>
      <c r="E150" s="154">
        <v>128</v>
      </c>
      <c r="F150" s="154" t="s">
        <v>566</v>
      </c>
      <c r="G150" s="255" t="s">
        <v>567</v>
      </c>
      <c r="H150" s="171" t="s">
        <v>169</v>
      </c>
      <c r="I150" s="445" t="s">
        <v>170</v>
      </c>
      <c r="J150" s="154"/>
      <c r="K150" s="154"/>
      <c r="L150" s="154"/>
      <c r="M150" s="176"/>
      <c r="N150" s="193">
        <v>107</v>
      </c>
      <c r="O150" s="176"/>
      <c r="P150" s="203">
        <v>1181.99</v>
      </c>
      <c r="Q150" s="203"/>
      <c r="R150" s="203">
        <v>23442.77</v>
      </c>
      <c r="S150" s="176">
        <v>853</v>
      </c>
      <c r="T150" s="188" t="s">
        <v>171</v>
      </c>
      <c r="U150" s="176"/>
      <c r="V150" s="176"/>
      <c r="W150" s="176"/>
      <c r="X150" s="203">
        <f t="shared" si="12"/>
        <v>28192.74</v>
      </c>
      <c r="Y150" s="203">
        <v>-1353.25</v>
      </c>
      <c r="Z150" s="203">
        <v>0</v>
      </c>
      <c r="AA150" s="203">
        <v>26839.49</v>
      </c>
      <c r="AB150" s="446">
        <v>964</v>
      </c>
      <c r="AC150" s="255" t="s">
        <v>172</v>
      </c>
      <c r="AD150" s="255" t="s">
        <v>173</v>
      </c>
      <c r="AE150" s="177" t="b">
        <v>1</v>
      </c>
      <c r="AF150" s="177" t="b">
        <v>1</v>
      </c>
      <c r="AG150" s="392">
        <f>(AB150-S150)/S150</f>
        <v>0.13012895662368112</v>
      </c>
      <c r="AH150" s="392">
        <f>(AA150-R150)/R150</f>
        <v>0.14489414006962492</v>
      </c>
      <c r="AI150" s="203">
        <f t="shared" si="14"/>
        <v>24858.800000000003</v>
      </c>
      <c r="AJ150" s="368">
        <v>-1193.22</v>
      </c>
      <c r="AK150" s="368">
        <v>0</v>
      </c>
      <c r="AL150" s="368">
        <v>23665.58</v>
      </c>
      <c r="AM150" s="1068">
        <v>822</v>
      </c>
      <c r="AN150" s="172">
        <v>46122</v>
      </c>
      <c r="AO150" s="171" t="s">
        <v>174</v>
      </c>
      <c r="AP150" s="861" t="b">
        <v>1</v>
      </c>
      <c r="AQ150" s="861" t="b">
        <v>1</v>
      </c>
      <c r="AR150" s="392">
        <f t="shared" si="13"/>
        <v>-0.14730290456431536</v>
      </c>
      <c r="AS150" s="392">
        <f>(AL150-AA150)/AA150</f>
        <v>-0.11825522765149411</v>
      </c>
      <c r="AT150" s="203">
        <f t="shared" si="15"/>
        <v>0</v>
      </c>
      <c r="AU150" s="203"/>
      <c r="AV150" s="203"/>
      <c r="AW150" s="203"/>
      <c r="AX150" s="176"/>
      <c r="AY150" s="176"/>
      <c r="AZ150" s="176"/>
      <c r="BA150" s="177" t="b">
        <v>0</v>
      </c>
      <c r="BB150" s="177" t="b">
        <v>0</v>
      </c>
      <c r="BC150" s="176">
        <f>(AX150-AM150)/AM150</f>
        <v>-1</v>
      </c>
      <c r="BD150" s="176">
        <f>(AW150-AL150)/AL150</f>
        <v>-1</v>
      </c>
      <c r="BE150" s="203">
        <f>BH150 + ABS(BF150) + ABS(BG150)</f>
        <v>0</v>
      </c>
      <c r="BF150" s="203"/>
      <c r="BG150" s="203"/>
      <c r="BH150" s="203"/>
      <c r="BI150" s="176"/>
      <c r="BJ150" s="176"/>
      <c r="BK150" s="176"/>
      <c r="BL150" s="177" t="b">
        <v>0</v>
      </c>
      <c r="BM150" s="177" t="b">
        <v>0</v>
      </c>
      <c r="BN150" s="176" t="e">
        <f>(BI150-AZ150)/AZ150</f>
        <v>#DIV/0!</v>
      </c>
      <c r="BO150" s="176" t="e">
        <f>(BH150-AW150)/AW150</f>
        <v>#DIV/0!</v>
      </c>
      <c r="BP150" s="203">
        <f>BS150 + ABS(BQ150) + ABS(BR150)</f>
        <v>0</v>
      </c>
      <c r="BQ150" s="203"/>
      <c r="BR150" s="203"/>
      <c r="BS150" s="203"/>
      <c r="BT150" s="176"/>
      <c r="BU150" s="176"/>
      <c r="BV150" s="176"/>
      <c r="BW150" s="177" t="b">
        <v>0</v>
      </c>
      <c r="BX150" s="177" t="b">
        <v>0</v>
      </c>
      <c r="BY150" s="176" t="e">
        <f>(BT150-BI150)/BI150</f>
        <v>#DIV/0!</v>
      </c>
      <c r="BZ150" s="176" t="e">
        <f>(BS150-BH150)/BH150</f>
        <v>#DIV/0!</v>
      </c>
      <c r="CA150" s="203">
        <f>CD150 + ABS(CB150) + ABS(CC150)</f>
        <v>0</v>
      </c>
      <c r="CB150" s="203"/>
      <c r="CC150" s="203"/>
      <c r="CD150" s="203"/>
      <c r="CE150" s="176"/>
      <c r="CF150" s="176"/>
      <c r="CG150" s="176"/>
      <c r="CH150" s="177" t="b">
        <v>0</v>
      </c>
      <c r="CI150" s="177" t="b">
        <v>0</v>
      </c>
      <c r="CJ150" s="176" t="e">
        <f>(CE150-BV150)/BV150</f>
        <v>#DIV/0!</v>
      </c>
      <c r="CK150" s="176" t="e">
        <f>(CD150-BS150)/BS150</f>
        <v>#DIV/0!</v>
      </c>
      <c r="CL150" s="203">
        <f>CO150 + ABS(CM150) + ABS(CN150)</f>
        <v>0</v>
      </c>
      <c r="CM150" s="203"/>
      <c r="CN150" s="203"/>
      <c r="CO150" s="203"/>
      <c r="CP150" s="176"/>
      <c r="CQ150" s="176"/>
      <c r="CR150" s="176"/>
      <c r="CS150" s="177" t="b">
        <v>0</v>
      </c>
      <c r="CT150" s="177" t="b">
        <v>0</v>
      </c>
      <c r="CU150" s="176" t="e">
        <f>(CP150-CE150)/CE150</f>
        <v>#DIV/0!</v>
      </c>
      <c r="CV150" s="176" t="e">
        <f>(CO150-CD150)/CD150</f>
        <v>#DIV/0!</v>
      </c>
      <c r="CW150" s="203">
        <f>CZ150 + ABS(CX150) + ABS(CY150)</f>
        <v>0</v>
      </c>
      <c r="CX150" s="203"/>
      <c r="CY150" s="203"/>
      <c r="CZ150" s="203"/>
      <c r="DA150" s="176"/>
      <c r="DB150" s="176"/>
      <c r="DC150" s="176"/>
      <c r="DD150" s="177" t="b">
        <v>0</v>
      </c>
      <c r="DE150" s="177" t="b">
        <v>0</v>
      </c>
      <c r="DF150" s="176" t="e">
        <f>(DA150-CR150)/CR150</f>
        <v>#DIV/0!</v>
      </c>
      <c r="DG150" s="176" t="e">
        <f>(CZ150-CO150)/CO150</f>
        <v>#DIV/0!</v>
      </c>
      <c r="DH150" s="203">
        <f>DK150 + ABS(DI150) + ABS(DJ150)</f>
        <v>0</v>
      </c>
      <c r="DI150" s="203"/>
      <c r="DJ150" s="203"/>
      <c r="DK150" s="203"/>
      <c r="DL150" s="176"/>
      <c r="DM150" s="176"/>
      <c r="DN150" s="176"/>
      <c r="DO150" s="177" t="b">
        <v>0</v>
      </c>
      <c r="DP150" s="177" t="b">
        <v>0</v>
      </c>
      <c r="DQ150" s="176" t="e">
        <f>(DL150-DA150)/DA150</f>
        <v>#DIV/0!</v>
      </c>
      <c r="DR150" s="176" t="e">
        <f>(DK150-CZ150)/CZ150</f>
        <v>#DIV/0!</v>
      </c>
      <c r="DS150" s="203">
        <f>DV150 + ABS(DT150) + ABS(DU150)</f>
        <v>0</v>
      </c>
      <c r="DT150" s="203"/>
      <c r="DU150" s="203"/>
      <c r="DV150" s="203"/>
      <c r="DW150" s="176"/>
      <c r="DX150" s="176"/>
      <c r="DY150" s="176"/>
      <c r="DZ150" s="177" t="b">
        <v>0</v>
      </c>
      <c r="EA150" s="177" t="b">
        <v>0</v>
      </c>
      <c r="EB150" s="176" t="e">
        <f>(DW150-DN150)/DN150</f>
        <v>#DIV/0!</v>
      </c>
      <c r="EC150" s="176" t="e">
        <f>(DV150-DK150)/DK150</f>
        <v>#DIV/0!</v>
      </c>
      <c r="ED150" s="203">
        <f>EG150 + ABS(EE150) + ABS(EF150)</f>
        <v>0</v>
      </c>
      <c r="EE150" s="203"/>
      <c r="EF150" s="203"/>
      <c r="EG150" s="203"/>
      <c r="EH150" s="176"/>
      <c r="EI150" s="176"/>
      <c r="EJ150" s="176"/>
      <c r="EK150" s="177" t="b">
        <v>0</v>
      </c>
      <c r="EL150" s="177" t="b">
        <v>0</v>
      </c>
      <c r="EM150" s="176" t="e">
        <f>(EH150-DW150)/DW150</f>
        <v>#DIV/0!</v>
      </c>
      <c r="EN150" s="176" t="e">
        <f>(EG150-DV150)/DV150</f>
        <v>#DIV/0!</v>
      </c>
      <c r="EO150" s="203">
        <f>ER150 + ABS(EP150) + ABS(EQ150)</f>
        <v>0</v>
      </c>
      <c r="EP150" s="203"/>
      <c r="EQ150" s="203"/>
      <c r="ER150" s="203"/>
      <c r="ES150" s="176"/>
      <c r="ET150" s="176"/>
      <c r="EU150" s="176"/>
      <c r="EV150" s="177" t="b">
        <v>0</v>
      </c>
      <c r="EW150" s="177" t="b">
        <v>0</v>
      </c>
      <c r="EX150" s="176" t="e">
        <f>(ES150-EJ150)/EJ150</f>
        <v>#DIV/0!</v>
      </c>
      <c r="EY150" s="176" t="e">
        <f>(ER150-EG150)/EG150</f>
        <v>#DIV/0!</v>
      </c>
      <c r="EZ150" s="175"/>
      <c r="FA150" s="175"/>
      <c r="FB150" s="175"/>
      <c r="FC150" s="175"/>
      <c r="FD150" s="175"/>
      <c r="FE150" s="175"/>
      <c r="FF150" s="175"/>
      <c r="FG150" s="175"/>
      <c r="FH150" s="175"/>
      <c r="FI150" s="175"/>
      <c r="FJ150" s="175"/>
      <c r="FK150" s="175"/>
      <c r="FL150" s="175"/>
      <c r="FM150" s="175"/>
      <c r="FN150" s="175"/>
      <c r="FO150" s="175"/>
      <c r="FP150" s="175"/>
      <c r="FQ150" s="801"/>
      <c r="FR150" s="175"/>
      <c r="FS150" s="175"/>
      <c r="FT150" s="175"/>
      <c r="FU150" s="175"/>
      <c r="FV150" s="175"/>
      <c r="FW150" s="175"/>
      <c r="FX150" s="175"/>
      <c r="FY150" s="175"/>
      <c r="FZ150" s="175"/>
      <c r="GA150" s="175"/>
      <c r="GB150" s="175"/>
      <c r="GC150" s="175"/>
      <c r="GD150" s="175"/>
      <c r="GE150" s="175"/>
      <c r="GF150" s="175"/>
      <c r="GG150" s="175"/>
      <c r="GH150" s="175"/>
      <c r="GI150" s="175"/>
      <c r="GJ150" s="175"/>
      <c r="GK150" s="175"/>
      <c r="GL150" s="175"/>
      <c r="GM150" s="175"/>
      <c r="GN150" s="175"/>
      <c r="GO150" s="175"/>
      <c r="GP150" s="175"/>
      <c r="GQ150" s="175"/>
      <c r="GR150" s="175"/>
      <c r="GS150" s="175"/>
      <c r="GT150" s="175"/>
      <c r="GU150" s="175"/>
      <c r="GV150" s="175"/>
      <c r="GW150" s="175"/>
      <c r="GX150" s="175"/>
      <c r="GY150" s="175"/>
      <c r="GZ150" s="175"/>
      <c r="HA150" s="175"/>
      <c r="HB150" s="175"/>
      <c r="HC150" s="175"/>
      <c r="HD150" s="175"/>
      <c r="HE150" s="175"/>
      <c r="HF150" s="175"/>
      <c r="HG150" s="175"/>
      <c r="HH150" s="175"/>
      <c r="HI150" s="175"/>
      <c r="HJ150" s="175"/>
      <c r="HK150" s="175"/>
      <c r="HL150" s="175"/>
      <c r="HM150" s="175"/>
    </row>
    <row r="151" spans="1:221" ht="15">
      <c r="B151" s="175"/>
      <c r="C151" s="802" t="s">
        <v>565</v>
      </c>
      <c r="D151" s="154">
        <v>1450022</v>
      </c>
      <c r="E151" s="154">
        <v>128</v>
      </c>
      <c r="F151" s="154" t="s">
        <v>568</v>
      </c>
      <c r="G151" s="255" t="s">
        <v>569</v>
      </c>
      <c r="H151" s="171" t="s">
        <v>169</v>
      </c>
      <c r="I151" s="445" t="s">
        <v>170</v>
      </c>
      <c r="J151" s="154"/>
      <c r="K151" s="154"/>
      <c r="L151" s="154"/>
      <c r="M151" s="176"/>
      <c r="N151" s="418">
        <v>107</v>
      </c>
      <c r="O151" s="176"/>
      <c r="P151" s="203">
        <v>3</v>
      </c>
      <c r="Q151" s="203"/>
      <c r="R151" s="203">
        <v>59.46</v>
      </c>
      <c r="S151" s="176">
        <v>1</v>
      </c>
      <c r="T151" s="188" t="s">
        <v>171</v>
      </c>
      <c r="U151" s="176"/>
      <c r="V151" s="176"/>
      <c r="W151" s="176"/>
      <c r="X151" s="203">
        <f t="shared" si="12"/>
        <v>54.120000000000005</v>
      </c>
      <c r="Y151" s="203">
        <v>-2.6</v>
      </c>
      <c r="Z151" s="203">
        <v>0</v>
      </c>
      <c r="AA151" s="203">
        <v>51.52</v>
      </c>
      <c r="AB151" s="446">
        <v>0</v>
      </c>
      <c r="AC151" s="444" t="s">
        <v>172</v>
      </c>
      <c r="AD151" s="444" t="s">
        <v>173</v>
      </c>
      <c r="AE151" s="177" t="b">
        <v>1</v>
      </c>
      <c r="AF151" s="177" t="b">
        <v>1</v>
      </c>
      <c r="AG151" s="392">
        <f>(AB151-S151)/S151</f>
        <v>-1</v>
      </c>
      <c r="AH151" s="392">
        <f>(AA151-R151)/R151</f>
        <v>-0.1335351496804574</v>
      </c>
      <c r="AI151" s="203">
        <f t="shared" si="14"/>
        <v>58.6</v>
      </c>
      <c r="AJ151" s="368">
        <v>-2.81</v>
      </c>
      <c r="AK151" s="368">
        <v>0</v>
      </c>
      <c r="AL151" s="368">
        <v>55.79</v>
      </c>
      <c r="AM151" s="1068">
        <v>0</v>
      </c>
      <c r="AN151" s="172">
        <v>46122</v>
      </c>
      <c r="AO151" s="171" t="s">
        <v>174</v>
      </c>
      <c r="AP151" s="861" t="b">
        <v>1</v>
      </c>
      <c r="AQ151" s="861" t="b">
        <v>1</v>
      </c>
      <c r="AR151" s="392" t="e">
        <f t="shared" si="13"/>
        <v>#DIV/0!</v>
      </c>
      <c r="AS151" s="392">
        <f>(AL151-AA151)/AA151</f>
        <v>8.288043478260862E-2</v>
      </c>
      <c r="AT151" s="203">
        <f t="shared" si="15"/>
        <v>0</v>
      </c>
      <c r="AU151" s="203"/>
      <c r="AV151" s="203"/>
      <c r="AW151" s="203"/>
      <c r="AX151" s="176"/>
      <c r="AY151" s="176"/>
      <c r="AZ151" s="176"/>
      <c r="BA151" s="177" t="b">
        <v>0</v>
      </c>
      <c r="BB151" s="177" t="b">
        <v>0</v>
      </c>
      <c r="BC151" s="176" t="e">
        <f>(AX151-AM151)/AM151</f>
        <v>#DIV/0!</v>
      </c>
      <c r="BD151" s="176">
        <f>(AW151-AL151)/AL151</f>
        <v>-1</v>
      </c>
      <c r="BE151" s="203">
        <f>BH151 + ABS(BF151) + ABS(BG151)</f>
        <v>0</v>
      </c>
      <c r="BF151" s="203"/>
      <c r="BG151" s="203"/>
      <c r="BH151" s="203"/>
      <c r="BI151" s="176"/>
      <c r="BJ151" s="176"/>
      <c r="BK151" s="176"/>
      <c r="BL151" s="177" t="b">
        <v>0</v>
      </c>
      <c r="BM151" s="177" t="b">
        <v>0</v>
      </c>
      <c r="BN151" s="176" t="e">
        <f>(BI151-AZ151)/AZ151</f>
        <v>#DIV/0!</v>
      </c>
      <c r="BO151" s="176" t="e">
        <f>(BH151-AW151)/AW151</f>
        <v>#DIV/0!</v>
      </c>
      <c r="BP151" s="203">
        <f>BS151 + ABS(BQ151) + ABS(BR151)</f>
        <v>0</v>
      </c>
      <c r="BQ151" s="203"/>
      <c r="BR151" s="203"/>
      <c r="BS151" s="203"/>
      <c r="BT151" s="176"/>
      <c r="BU151" s="176"/>
      <c r="BV151" s="176"/>
      <c r="BW151" s="177" t="b">
        <v>0</v>
      </c>
      <c r="BX151" s="177" t="b">
        <v>0</v>
      </c>
      <c r="BY151" s="176" t="e">
        <f>(BT151-BI151)/BI151</f>
        <v>#DIV/0!</v>
      </c>
      <c r="BZ151" s="176" t="e">
        <f>(BS151-BH151)/BH151</f>
        <v>#DIV/0!</v>
      </c>
      <c r="CA151" s="203">
        <f>CD151 + ABS(CB151) + ABS(CC151)</f>
        <v>0</v>
      </c>
      <c r="CB151" s="203"/>
      <c r="CC151" s="203"/>
      <c r="CD151" s="203"/>
      <c r="CE151" s="176"/>
      <c r="CF151" s="176"/>
      <c r="CG151" s="176"/>
      <c r="CH151" s="177" t="b">
        <v>0</v>
      </c>
      <c r="CI151" s="177" t="b">
        <v>0</v>
      </c>
      <c r="CJ151" s="176" t="e">
        <f>(CE151-BV151)/BV151</f>
        <v>#DIV/0!</v>
      </c>
      <c r="CK151" s="176" t="e">
        <f>(CD151-BS151)/BS151</f>
        <v>#DIV/0!</v>
      </c>
      <c r="CL151" s="203">
        <f>CO151 + ABS(CM151) + ABS(CN151)</f>
        <v>0</v>
      </c>
      <c r="CM151" s="203"/>
      <c r="CN151" s="203"/>
      <c r="CO151" s="203"/>
      <c r="CP151" s="176"/>
      <c r="CQ151" s="176"/>
      <c r="CR151" s="176"/>
      <c r="CS151" s="177" t="b">
        <v>0</v>
      </c>
      <c r="CT151" s="177" t="b">
        <v>0</v>
      </c>
      <c r="CU151" s="176" t="e">
        <f>(CP151-CE151)/CE151</f>
        <v>#DIV/0!</v>
      </c>
      <c r="CV151" s="176" t="e">
        <f>(CO151-CD151)/CD151</f>
        <v>#DIV/0!</v>
      </c>
      <c r="CW151" s="203">
        <f>CZ151 + ABS(CX151) + ABS(CY151)</f>
        <v>0</v>
      </c>
      <c r="CX151" s="203"/>
      <c r="CY151" s="203"/>
      <c r="CZ151" s="203"/>
      <c r="DA151" s="176"/>
      <c r="DB151" s="176"/>
      <c r="DC151" s="176"/>
      <c r="DD151" s="177" t="b">
        <v>0</v>
      </c>
      <c r="DE151" s="177" t="b">
        <v>0</v>
      </c>
      <c r="DF151" s="176" t="e">
        <f>(DA151-CR151)/CR151</f>
        <v>#DIV/0!</v>
      </c>
      <c r="DG151" s="176" t="e">
        <f>(CZ151-CO151)/CO151</f>
        <v>#DIV/0!</v>
      </c>
      <c r="DH151" s="203">
        <f>DK151 + ABS(DI151) + ABS(DJ151)</f>
        <v>0</v>
      </c>
      <c r="DI151" s="203"/>
      <c r="DJ151" s="203"/>
      <c r="DK151" s="203"/>
      <c r="DL151" s="176"/>
      <c r="DM151" s="176"/>
      <c r="DN151" s="176"/>
      <c r="DO151" s="177" t="b">
        <v>0</v>
      </c>
      <c r="DP151" s="177" t="b">
        <v>0</v>
      </c>
      <c r="DQ151" s="176" t="e">
        <f>(DL151-DA151)/DA151</f>
        <v>#DIV/0!</v>
      </c>
      <c r="DR151" s="176" t="e">
        <f>(DK151-CZ151)/CZ151</f>
        <v>#DIV/0!</v>
      </c>
      <c r="DS151" s="203">
        <f>DV151 + ABS(DT151) + ABS(DU151)</f>
        <v>0</v>
      </c>
      <c r="DT151" s="203"/>
      <c r="DU151" s="203"/>
      <c r="DV151" s="203"/>
      <c r="DW151" s="176"/>
      <c r="DX151" s="176"/>
      <c r="DY151" s="176"/>
      <c r="DZ151" s="177" t="b">
        <v>0</v>
      </c>
      <c r="EA151" s="177" t="b">
        <v>0</v>
      </c>
      <c r="EB151" s="176" t="e">
        <f>(DW151-DN151)/DN151</f>
        <v>#DIV/0!</v>
      </c>
      <c r="EC151" s="176" t="e">
        <f>(DV151-DK151)/DK151</f>
        <v>#DIV/0!</v>
      </c>
      <c r="ED151" s="203">
        <f>EG151 + ABS(EE151) + ABS(EF151)</f>
        <v>0</v>
      </c>
      <c r="EE151" s="203"/>
      <c r="EF151" s="203"/>
      <c r="EG151" s="203"/>
      <c r="EH151" s="176"/>
      <c r="EI151" s="176"/>
      <c r="EJ151" s="176"/>
      <c r="EK151" s="177" t="b">
        <v>0</v>
      </c>
      <c r="EL151" s="177" t="b">
        <v>0</v>
      </c>
      <c r="EM151" s="176" t="e">
        <f>(EH151-DW151)/DW151</f>
        <v>#DIV/0!</v>
      </c>
      <c r="EN151" s="176" t="e">
        <f>(EG151-DV151)/DV151</f>
        <v>#DIV/0!</v>
      </c>
      <c r="EO151" s="203">
        <f>ER151 + ABS(EP151) + ABS(EQ151)</f>
        <v>0</v>
      </c>
      <c r="EP151" s="203"/>
      <c r="EQ151" s="203"/>
      <c r="ER151" s="203"/>
      <c r="ES151" s="176"/>
      <c r="ET151" s="176"/>
      <c r="EU151" s="176"/>
      <c r="EV151" s="177" t="b">
        <v>0</v>
      </c>
      <c r="EW151" s="177" t="b">
        <v>0</v>
      </c>
      <c r="EX151" s="176" t="e">
        <f>(ES151-EJ151)/EJ151</f>
        <v>#DIV/0!</v>
      </c>
      <c r="EY151" s="176" t="e">
        <f>(ER151-EG151)/EG151</f>
        <v>#DIV/0!</v>
      </c>
      <c r="EZ151" s="175"/>
      <c r="FA151" s="175"/>
      <c r="FB151" s="175"/>
      <c r="FC151" s="175"/>
      <c r="FD151" s="175"/>
      <c r="FE151" s="175"/>
      <c r="FF151" s="175"/>
      <c r="FG151" s="175"/>
      <c r="FH151" s="175"/>
      <c r="FI151" s="175"/>
      <c r="FJ151" s="175"/>
      <c r="FK151" s="175"/>
      <c r="FL151" s="175"/>
      <c r="FM151" s="175"/>
      <c r="FN151" s="175"/>
      <c r="FO151" s="175"/>
      <c r="FP151" s="175"/>
      <c r="FQ151" s="801"/>
      <c r="FR151" s="175"/>
      <c r="FS151" s="175"/>
      <c r="FT151" s="175"/>
      <c r="FU151" s="175"/>
      <c r="FV151" s="175"/>
      <c r="FW151" s="175"/>
      <c r="FX151" s="175"/>
      <c r="FY151" s="175"/>
      <c r="FZ151" s="175"/>
      <c r="GA151" s="175"/>
      <c r="GB151" s="175"/>
      <c r="GC151" s="175"/>
      <c r="GD151" s="175"/>
      <c r="GE151" s="175"/>
      <c r="GF151" s="175"/>
      <c r="GG151" s="175"/>
      <c r="GH151" s="175"/>
      <c r="GI151" s="175"/>
      <c r="GJ151" s="175"/>
      <c r="GK151" s="175"/>
      <c r="GL151" s="175"/>
      <c r="GM151" s="175"/>
      <c r="GN151" s="175"/>
      <c r="GO151" s="175"/>
      <c r="GP151" s="175"/>
      <c r="GQ151" s="175"/>
      <c r="GR151" s="175"/>
      <c r="GS151" s="175"/>
      <c r="GT151" s="175"/>
      <c r="GU151" s="175"/>
      <c r="GV151" s="175"/>
      <c r="GW151" s="175"/>
      <c r="GX151" s="175"/>
      <c r="GY151" s="175"/>
      <c r="GZ151" s="175"/>
      <c r="HA151" s="175"/>
      <c r="HB151" s="175"/>
      <c r="HC151" s="175"/>
      <c r="HD151" s="175"/>
      <c r="HE151" s="175"/>
      <c r="HF151" s="175"/>
      <c r="HG151" s="175"/>
      <c r="HH151" s="175"/>
      <c r="HI151" s="175"/>
      <c r="HJ151" s="175"/>
      <c r="HK151" s="175"/>
      <c r="HL151" s="175"/>
      <c r="HM151" s="175"/>
    </row>
    <row r="152" spans="1:221" ht="15">
      <c r="B152" s="175"/>
      <c r="C152" s="800" t="s">
        <v>570</v>
      </c>
      <c r="D152" s="357">
        <v>1450022</v>
      </c>
      <c r="E152" s="357">
        <v>192</v>
      </c>
      <c r="F152" s="357" t="s">
        <v>571</v>
      </c>
      <c r="G152" s="426" t="s">
        <v>572</v>
      </c>
      <c r="H152" s="148" t="s">
        <v>169</v>
      </c>
      <c r="I152" s="448" t="s">
        <v>170</v>
      </c>
      <c r="J152" s="357"/>
      <c r="K152" s="357"/>
      <c r="L152" s="357"/>
      <c r="M152" s="358"/>
      <c r="N152" s="359">
        <v>107</v>
      </c>
      <c r="O152" s="358"/>
      <c r="P152" s="402">
        <v>1491.32</v>
      </c>
      <c r="Q152" s="402"/>
      <c r="R152" s="402">
        <v>29577.759999999998</v>
      </c>
      <c r="S152" s="358">
        <v>1066</v>
      </c>
      <c r="T152" s="188" t="s">
        <v>171</v>
      </c>
      <c r="U152" s="358"/>
      <c r="V152" s="358"/>
      <c r="W152" s="358"/>
      <c r="X152" s="402">
        <f t="shared" si="12"/>
        <v>35395.54</v>
      </c>
      <c r="Y152" s="402">
        <v>-1698.99</v>
      </c>
      <c r="Z152" s="402">
        <v>0</v>
      </c>
      <c r="AA152" s="402">
        <v>33696.550000000003</v>
      </c>
      <c r="AB152" s="450">
        <v>1209</v>
      </c>
      <c r="AC152" s="426" t="s">
        <v>172</v>
      </c>
      <c r="AD152" s="426" t="s">
        <v>173</v>
      </c>
      <c r="AE152" s="164" t="b">
        <v>1</v>
      </c>
      <c r="AF152" s="164" t="b">
        <v>1</v>
      </c>
      <c r="AG152" s="409">
        <f>(AB152-S152)/S152</f>
        <v>0.13414634146341464</v>
      </c>
      <c r="AH152" s="409">
        <f>(AA152-R152)/R152</f>
        <v>0.13925293869447872</v>
      </c>
      <c r="AI152" s="402">
        <f t="shared" si="14"/>
        <v>26382.420000000002</v>
      </c>
      <c r="AJ152" s="364">
        <v>-1266.3599999999999</v>
      </c>
      <c r="AK152" s="364">
        <v>0</v>
      </c>
      <c r="AL152" s="364">
        <v>25116.06</v>
      </c>
      <c r="AM152" s="1069">
        <v>870</v>
      </c>
      <c r="AN152" s="407">
        <v>46122</v>
      </c>
      <c r="AO152" s="148" t="s">
        <v>174</v>
      </c>
      <c r="AP152" s="860" t="b">
        <v>1</v>
      </c>
      <c r="AQ152" s="860" t="b">
        <v>1</v>
      </c>
      <c r="AR152" s="409">
        <f t="shared" si="13"/>
        <v>-0.28039702233250619</v>
      </c>
      <c r="AS152" s="409">
        <f>(AL152-AA152)/AA152</f>
        <v>-0.25464001507572737</v>
      </c>
      <c r="AT152" s="402">
        <f t="shared" si="15"/>
        <v>0</v>
      </c>
      <c r="AU152" s="402"/>
      <c r="AV152" s="402"/>
      <c r="AW152" s="402"/>
      <c r="AX152" s="358"/>
      <c r="AY152" s="358"/>
      <c r="AZ152" s="358"/>
      <c r="BA152" s="164" t="b">
        <v>0</v>
      </c>
      <c r="BB152" s="164" t="b">
        <v>0</v>
      </c>
      <c r="BC152" s="358">
        <f>(AX152-AM152)/AM152</f>
        <v>-1</v>
      </c>
      <c r="BD152" s="358">
        <f>(AW152-AL152)/AL152</f>
        <v>-1</v>
      </c>
      <c r="BE152" s="402">
        <f>BH152 + ABS(BF152) + ABS(BG152)</f>
        <v>0</v>
      </c>
      <c r="BF152" s="402"/>
      <c r="BG152" s="402"/>
      <c r="BH152" s="402"/>
      <c r="BI152" s="358"/>
      <c r="BJ152" s="358"/>
      <c r="BK152" s="358"/>
      <c r="BL152" s="164" t="b">
        <v>0</v>
      </c>
      <c r="BM152" s="164" t="b">
        <v>0</v>
      </c>
      <c r="BN152" s="358" t="e">
        <f>(BI152-AZ152)/AZ152</f>
        <v>#DIV/0!</v>
      </c>
      <c r="BO152" s="358" t="e">
        <f>(BH152-AW152)/AW152</f>
        <v>#DIV/0!</v>
      </c>
      <c r="BP152" s="402">
        <f>BS152 + ABS(BQ152) + ABS(BR152)</f>
        <v>0</v>
      </c>
      <c r="BQ152" s="402"/>
      <c r="BR152" s="402"/>
      <c r="BS152" s="402"/>
      <c r="BT152" s="358"/>
      <c r="BU152" s="358"/>
      <c r="BV152" s="358"/>
      <c r="BW152" s="164" t="b">
        <v>0</v>
      </c>
      <c r="BX152" s="164" t="b">
        <v>0</v>
      </c>
      <c r="BY152" s="358" t="e">
        <f>(BT152-BI152)/BI152</f>
        <v>#DIV/0!</v>
      </c>
      <c r="BZ152" s="358" t="e">
        <f>(BS152-BH152)/BH152</f>
        <v>#DIV/0!</v>
      </c>
      <c r="CA152" s="402">
        <f>CD152 + ABS(CB152) + ABS(CC152)</f>
        <v>0</v>
      </c>
      <c r="CB152" s="402"/>
      <c r="CC152" s="402"/>
      <c r="CD152" s="402"/>
      <c r="CE152" s="358"/>
      <c r="CF152" s="358"/>
      <c r="CG152" s="358"/>
      <c r="CH152" s="164" t="b">
        <v>0</v>
      </c>
      <c r="CI152" s="164" t="b">
        <v>0</v>
      </c>
      <c r="CJ152" s="358" t="e">
        <f>(CE152-BV152)/BV152</f>
        <v>#DIV/0!</v>
      </c>
      <c r="CK152" s="358" t="e">
        <f>(CD152-BS152)/BS152</f>
        <v>#DIV/0!</v>
      </c>
      <c r="CL152" s="402">
        <f>CO152 + ABS(CM152) + ABS(CN152)</f>
        <v>0</v>
      </c>
      <c r="CM152" s="402"/>
      <c r="CN152" s="402"/>
      <c r="CO152" s="402"/>
      <c r="CP152" s="358"/>
      <c r="CQ152" s="358"/>
      <c r="CR152" s="358"/>
      <c r="CS152" s="164" t="b">
        <v>0</v>
      </c>
      <c r="CT152" s="164" t="b">
        <v>0</v>
      </c>
      <c r="CU152" s="358" t="e">
        <f>(CP152-CE152)/CE152</f>
        <v>#DIV/0!</v>
      </c>
      <c r="CV152" s="358" t="e">
        <f>(CO152-CD152)/CD152</f>
        <v>#DIV/0!</v>
      </c>
      <c r="CW152" s="402">
        <f>CZ152 + ABS(CX152) + ABS(CY152)</f>
        <v>0</v>
      </c>
      <c r="CX152" s="402"/>
      <c r="CY152" s="402"/>
      <c r="CZ152" s="402"/>
      <c r="DA152" s="358"/>
      <c r="DB152" s="358"/>
      <c r="DC152" s="358"/>
      <c r="DD152" s="164" t="b">
        <v>0</v>
      </c>
      <c r="DE152" s="164" t="b">
        <v>0</v>
      </c>
      <c r="DF152" s="358" t="e">
        <f>(DA152-CR152)/CR152</f>
        <v>#DIV/0!</v>
      </c>
      <c r="DG152" s="358" t="e">
        <f>(CZ152-CO152)/CO152</f>
        <v>#DIV/0!</v>
      </c>
      <c r="DH152" s="402">
        <f>DK152 + ABS(DI152) + ABS(DJ152)</f>
        <v>0</v>
      </c>
      <c r="DI152" s="402"/>
      <c r="DJ152" s="402"/>
      <c r="DK152" s="402"/>
      <c r="DL152" s="358"/>
      <c r="DM152" s="358"/>
      <c r="DN152" s="358"/>
      <c r="DO152" s="164" t="b">
        <v>0</v>
      </c>
      <c r="DP152" s="164" t="b">
        <v>0</v>
      </c>
      <c r="DQ152" s="358" t="e">
        <f>(DL152-DA152)/DA152</f>
        <v>#DIV/0!</v>
      </c>
      <c r="DR152" s="358" t="e">
        <f>(DK152-CZ152)/CZ152</f>
        <v>#DIV/0!</v>
      </c>
      <c r="DS152" s="402">
        <f>DV152 + ABS(DT152) + ABS(DU152)</f>
        <v>0</v>
      </c>
      <c r="DT152" s="402"/>
      <c r="DU152" s="402"/>
      <c r="DV152" s="402"/>
      <c r="DW152" s="358"/>
      <c r="DX152" s="358"/>
      <c r="DY152" s="358"/>
      <c r="DZ152" s="164" t="b">
        <v>0</v>
      </c>
      <c r="EA152" s="164" t="b">
        <v>0</v>
      </c>
      <c r="EB152" s="358" t="e">
        <f>(DW152-DN152)/DN152</f>
        <v>#DIV/0!</v>
      </c>
      <c r="EC152" s="358" t="e">
        <f>(DV152-DK152)/DK152</f>
        <v>#DIV/0!</v>
      </c>
      <c r="ED152" s="402">
        <f>EG152 + ABS(EE152) + ABS(EF152)</f>
        <v>0</v>
      </c>
      <c r="EE152" s="402"/>
      <c r="EF152" s="402"/>
      <c r="EG152" s="402"/>
      <c r="EH152" s="358"/>
      <c r="EI152" s="358"/>
      <c r="EJ152" s="358"/>
      <c r="EK152" s="164" t="b">
        <v>0</v>
      </c>
      <c r="EL152" s="164" t="b">
        <v>0</v>
      </c>
      <c r="EM152" s="358" t="e">
        <f>(EH152-DW152)/DW152</f>
        <v>#DIV/0!</v>
      </c>
      <c r="EN152" s="358" t="e">
        <f>(EG152-DV152)/DV152</f>
        <v>#DIV/0!</v>
      </c>
      <c r="EO152" s="402">
        <f>ER152 + ABS(EP152) + ABS(EQ152)</f>
        <v>0</v>
      </c>
      <c r="EP152" s="402"/>
      <c r="EQ152" s="402"/>
      <c r="ER152" s="402"/>
      <c r="ES152" s="358"/>
      <c r="ET152" s="358"/>
      <c r="EU152" s="358"/>
      <c r="EV152" s="164" t="b">
        <v>0</v>
      </c>
      <c r="EW152" s="164" t="b">
        <v>0</v>
      </c>
      <c r="EX152" s="358" t="e">
        <f>(ES152-EJ152)/EJ152</f>
        <v>#DIV/0!</v>
      </c>
      <c r="EY152" s="358" t="e">
        <f>(ER152-EG152)/EG152</f>
        <v>#DIV/0!</v>
      </c>
      <c r="EZ152" s="449"/>
      <c r="FA152" s="449"/>
      <c r="FB152" s="449"/>
      <c r="FC152" s="449"/>
      <c r="FD152" s="449"/>
      <c r="FE152" s="449"/>
      <c r="FF152" s="449"/>
      <c r="FG152" s="449"/>
      <c r="FH152" s="449"/>
      <c r="FI152" s="449"/>
      <c r="FJ152" s="449"/>
      <c r="FK152" s="449"/>
      <c r="FL152" s="449"/>
      <c r="FM152" s="449"/>
      <c r="FN152" s="449"/>
      <c r="FO152" s="449"/>
      <c r="FP152" s="175"/>
      <c r="FQ152" s="801"/>
      <c r="FR152" s="175"/>
      <c r="FS152" s="175"/>
      <c r="FT152" s="175"/>
      <c r="FU152" s="175"/>
      <c r="FV152" s="175"/>
      <c r="FW152" s="175"/>
      <c r="FX152" s="175"/>
      <c r="FY152" s="175"/>
      <c r="FZ152" s="175"/>
      <c r="GA152" s="175"/>
      <c r="GB152" s="175"/>
      <c r="GC152" s="175"/>
      <c r="GD152" s="175"/>
      <c r="GE152" s="175"/>
      <c r="GF152" s="175"/>
      <c r="GG152" s="175"/>
      <c r="GH152" s="175"/>
      <c r="GI152" s="175"/>
      <c r="GJ152" s="175"/>
      <c r="GK152" s="175"/>
      <c r="GL152" s="175"/>
      <c r="GM152" s="175"/>
      <c r="GN152" s="175"/>
      <c r="GO152" s="175"/>
      <c r="GP152" s="175"/>
      <c r="GQ152" s="175"/>
      <c r="GR152" s="175"/>
      <c r="GS152" s="175"/>
      <c r="GT152" s="175"/>
      <c r="GU152" s="175"/>
      <c r="GV152" s="175"/>
      <c r="GW152" s="175"/>
      <c r="GX152" s="175"/>
      <c r="GY152" s="175"/>
      <c r="GZ152" s="175"/>
      <c r="HA152" s="175"/>
      <c r="HB152" s="175"/>
      <c r="HC152" s="175"/>
      <c r="HD152" s="175"/>
      <c r="HE152" s="175"/>
      <c r="HF152" s="175"/>
      <c r="HG152" s="175"/>
      <c r="HH152" s="175"/>
      <c r="HI152" s="175"/>
      <c r="HJ152" s="175"/>
      <c r="HK152" s="175"/>
      <c r="HL152" s="175"/>
      <c r="HM152" s="175"/>
    </row>
    <row r="153" spans="1:221" ht="15">
      <c r="B153" s="175"/>
      <c r="C153" s="800" t="s">
        <v>570</v>
      </c>
      <c r="D153" s="357">
        <v>1450022</v>
      </c>
      <c r="E153" s="357">
        <v>192</v>
      </c>
      <c r="F153" s="357" t="s">
        <v>573</v>
      </c>
      <c r="G153" s="426" t="s">
        <v>574</v>
      </c>
      <c r="H153" s="148" t="s">
        <v>169</v>
      </c>
      <c r="I153" s="448" t="s">
        <v>170</v>
      </c>
      <c r="J153" s="357"/>
      <c r="K153" s="357"/>
      <c r="L153" s="357"/>
      <c r="M153" s="358"/>
      <c r="N153" s="361">
        <v>107</v>
      </c>
      <c r="O153" s="358"/>
      <c r="P153" s="402">
        <v>123.76</v>
      </c>
      <c r="Q153" s="402"/>
      <c r="R153" s="402">
        <v>2454.52</v>
      </c>
      <c r="S153" s="358">
        <v>111</v>
      </c>
      <c r="T153" s="188" t="s">
        <v>171</v>
      </c>
      <c r="U153" s="358"/>
      <c r="V153" s="358"/>
      <c r="W153" s="358"/>
      <c r="X153" s="402">
        <f t="shared" si="12"/>
        <v>2989.96</v>
      </c>
      <c r="Y153" s="402">
        <v>-143.52000000000001</v>
      </c>
      <c r="Z153" s="402">
        <v>0</v>
      </c>
      <c r="AA153" s="402">
        <v>2846.44</v>
      </c>
      <c r="AB153" s="450">
        <v>127</v>
      </c>
      <c r="AC153" s="173" t="s">
        <v>172</v>
      </c>
      <c r="AD153" s="173" t="s">
        <v>173</v>
      </c>
      <c r="AE153" s="164" t="b">
        <v>1</v>
      </c>
      <c r="AF153" s="164" t="b">
        <v>1</v>
      </c>
      <c r="AG153" s="409">
        <f>(AB153-S153)/S153</f>
        <v>0.14414414414414414</v>
      </c>
      <c r="AH153" s="409">
        <f>(AA153-R153)/R153</f>
        <v>0.15967276697684277</v>
      </c>
      <c r="AI153" s="402">
        <f t="shared" si="14"/>
        <v>147.11000000000001</v>
      </c>
      <c r="AJ153" s="364">
        <v>-7.06</v>
      </c>
      <c r="AK153" s="364">
        <v>0</v>
      </c>
      <c r="AL153" s="364">
        <v>140.05000000000001</v>
      </c>
      <c r="AM153" s="1069">
        <v>8</v>
      </c>
      <c r="AN153" s="407">
        <v>46122</v>
      </c>
      <c r="AO153" s="148" t="s">
        <v>174</v>
      </c>
      <c r="AP153" s="860" t="b">
        <v>1</v>
      </c>
      <c r="AQ153" s="860" t="b">
        <v>1</v>
      </c>
      <c r="AR153" s="409">
        <f t="shared" si="13"/>
        <v>-0.93700787401574803</v>
      </c>
      <c r="AS153" s="409">
        <f>(AL153-AA153)/AA153</f>
        <v>-0.95079819001981414</v>
      </c>
      <c r="AT153" s="402">
        <f t="shared" si="15"/>
        <v>0</v>
      </c>
      <c r="AU153" s="402"/>
      <c r="AV153" s="402"/>
      <c r="AW153" s="402"/>
      <c r="AX153" s="358"/>
      <c r="AY153" s="358"/>
      <c r="AZ153" s="358"/>
      <c r="BA153" s="164" t="b">
        <v>0</v>
      </c>
      <c r="BB153" s="164" t="b">
        <v>0</v>
      </c>
      <c r="BC153" s="358">
        <f>(AX153-AM153)/AM153</f>
        <v>-1</v>
      </c>
      <c r="BD153" s="358">
        <f>(AW153-AL153)/AL153</f>
        <v>-1</v>
      </c>
      <c r="BE153" s="402">
        <f>BH153 + ABS(BF153) + ABS(BG153)</f>
        <v>0</v>
      </c>
      <c r="BF153" s="402"/>
      <c r="BG153" s="402"/>
      <c r="BH153" s="402"/>
      <c r="BI153" s="358"/>
      <c r="BJ153" s="358"/>
      <c r="BK153" s="358"/>
      <c r="BL153" s="164" t="b">
        <v>0</v>
      </c>
      <c r="BM153" s="164" t="b">
        <v>0</v>
      </c>
      <c r="BN153" s="358" t="e">
        <f>(BI153-AZ153)/AZ153</f>
        <v>#DIV/0!</v>
      </c>
      <c r="BO153" s="358" t="e">
        <f>(BH153-AW153)/AW153</f>
        <v>#DIV/0!</v>
      </c>
      <c r="BP153" s="402">
        <f>BS153 + ABS(BQ153) + ABS(BR153)</f>
        <v>0</v>
      </c>
      <c r="BQ153" s="402"/>
      <c r="BR153" s="402"/>
      <c r="BS153" s="402"/>
      <c r="BT153" s="358"/>
      <c r="BU153" s="358"/>
      <c r="BV153" s="358"/>
      <c r="BW153" s="164" t="b">
        <v>0</v>
      </c>
      <c r="BX153" s="164" t="b">
        <v>0</v>
      </c>
      <c r="BY153" s="358" t="e">
        <f>(BT153-BI153)/BI153</f>
        <v>#DIV/0!</v>
      </c>
      <c r="BZ153" s="358" t="e">
        <f>(BS153-BH153)/BH153</f>
        <v>#DIV/0!</v>
      </c>
      <c r="CA153" s="402">
        <f>CD153 + ABS(CB153) + ABS(CC153)</f>
        <v>0</v>
      </c>
      <c r="CB153" s="402"/>
      <c r="CC153" s="402"/>
      <c r="CD153" s="402"/>
      <c r="CE153" s="358"/>
      <c r="CF153" s="358"/>
      <c r="CG153" s="358"/>
      <c r="CH153" s="164" t="b">
        <v>0</v>
      </c>
      <c r="CI153" s="164" t="b">
        <v>0</v>
      </c>
      <c r="CJ153" s="358" t="e">
        <f>(CE153-BV153)/BV153</f>
        <v>#DIV/0!</v>
      </c>
      <c r="CK153" s="358" t="e">
        <f>(CD153-BS153)/BS153</f>
        <v>#DIV/0!</v>
      </c>
      <c r="CL153" s="402">
        <f>CO153 + ABS(CM153) + ABS(CN153)</f>
        <v>0</v>
      </c>
      <c r="CM153" s="402"/>
      <c r="CN153" s="402"/>
      <c r="CO153" s="402"/>
      <c r="CP153" s="358"/>
      <c r="CQ153" s="358"/>
      <c r="CR153" s="358"/>
      <c r="CS153" s="164" t="b">
        <v>0</v>
      </c>
      <c r="CT153" s="164" t="b">
        <v>0</v>
      </c>
      <c r="CU153" s="358" t="e">
        <f>(CP153-CE153)/CE153</f>
        <v>#DIV/0!</v>
      </c>
      <c r="CV153" s="358" t="e">
        <f>(CO153-CD153)/CD153</f>
        <v>#DIV/0!</v>
      </c>
      <c r="CW153" s="402">
        <f>CZ153 + ABS(CX153) + ABS(CY153)</f>
        <v>0</v>
      </c>
      <c r="CX153" s="402"/>
      <c r="CY153" s="402"/>
      <c r="CZ153" s="402"/>
      <c r="DA153" s="358"/>
      <c r="DB153" s="358"/>
      <c r="DC153" s="358"/>
      <c r="DD153" s="164" t="b">
        <v>0</v>
      </c>
      <c r="DE153" s="164" t="b">
        <v>0</v>
      </c>
      <c r="DF153" s="358" t="e">
        <f>(DA153-CR153)/CR153</f>
        <v>#DIV/0!</v>
      </c>
      <c r="DG153" s="358" t="e">
        <f>(CZ153-CO153)/CO153</f>
        <v>#DIV/0!</v>
      </c>
      <c r="DH153" s="402">
        <f>DK153 + ABS(DI153) + ABS(DJ153)</f>
        <v>0</v>
      </c>
      <c r="DI153" s="402"/>
      <c r="DJ153" s="402"/>
      <c r="DK153" s="402"/>
      <c r="DL153" s="358"/>
      <c r="DM153" s="358"/>
      <c r="DN153" s="358"/>
      <c r="DO153" s="164" t="b">
        <v>0</v>
      </c>
      <c r="DP153" s="164" t="b">
        <v>0</v>
      </c>
      <c r="DQ153" s="358" t="e">
        <f>(DL153-DA153)/DA153</f>
        <v>#DIV/0!</v>
      </c>
      <c r="DR153" s="358" t="e">
        <f>(DK153-CZ153)/CZ153</f>
        <v>#DIV/0!</v>
      </c>
      <c r="DS153" s="402">
        <f>DV153 + ABS(DT153) + ABS(DU153)</f>
        <v>0</v>
      </c>
      <c r="DT153" s="402"/>
      <c r="DU153" s="402"/>
      <c r="DV153" s="402"/>
      <c r="DW153" s="358"/>
      <c r="DX153" s="358"/>
      <c r="DY153" s="358"/>
      <c r="DZ153" s="164" t="b">
        <v>0</v>
      </c>
      <c r="EA153" s="164" t="b">
        <v>0</v>
      </c>
      <c r="EB153" s="358" t="e">
        <f>(DW153-DN153)/DN153</f>
        <v>#DIV/0!</v>
      </c>
      <c r="EC153" s="358" t="e">
        <f>(DV153-DK153)/DK153</f>
        <v>#DIV/0!</v>
      </c>
      <c r="ED153" s="402">
        <f>EG153 + ABS(EE153) + ABS(EF153)</f>
        <v>0</v>
      </c>
      <c r="EE153" s="402"/>
      <c r="EF153" s="402"/>
      <c r="EG153" s="402"/>
      <c r="EH153" s="358"/>
      <c r="EI153" s="358"/>
      <c r="EJ153" s="358"/>
      <c r="EK153" s="164" t="b">
        <v>0</v>
      </c>
      <c r="EL153" s="164" t="b">
        <v>0</v>
      </c>
      <c r="EM153" s="358" t="e">
        <f>(EH153-DW153)/DW153</f>
        <v>#DIV/0!</v>
      </c>
      <c r="EN153" s="358" t="e">
        <f>(EG153-DV153)/DV153</f>
        <v>#DIV/0!</v>
      </c>
      <c r="EO153" s="402">
        <f>ER153 + ABS(EP153) + ABS(EQ153)</f>
        <v>0</v>
      </c>
      <c r="EP153" s="402"/>
      <c r="EQ153" s="402"/>
      <c r="ER153" s="402"/>
      <c r="ES153" s="358"/>
      <c r="ET153" s="358"/>
      <c r="EU153" s="358"/>
      <c r="EV153" s="164" t="b">
        <v>0</v>
      </c>
      <c r="EW153" s="164" t="b">
        <v>0</v>
      </c>
      <c r="EX153" s="358" t="e">
        <f>(ES153-EJ153)/EJ153</f>
        <v>#DIV/0!</v>
      </c>
      <c r="EY153" s="358" t="e">
        <f>(ER153-EG153)/EG153</f>
        <v>#DIV/0!</v>
      </c>
      <c r="EZ153" s="449"/>
      <c r="FA153" s="449"/>
      <c r="FB153" s="449"/>
      <c r="FC153" s="449"/>
      <c r="FD153" s="449"/>
      <c r="FE153" s="449"/>
      <c r="FF153" s="449"/>
      <c r="FG153" s="449"/>
      <c r="FH153" s="449"/>
      <c r="FI153" s="449"/>
      <c r="FJ153" s="449"/>
      <c r="FK153" s="449"/>
      <c r="FL153" s="449"/>
      <c r="FM153" s="449"/>
      <c r="FN153" s="449"/>
      <c r="FO153" s="449"/>
      <c r="FP153" s="175"/>
      <c r="FQ153" s="801"/>
      <c r="FR153" s="175"/>
      <c r="FS153" s="175"/>
      <c r="FT153" s="175"/>
      <c r="FU153" s="175"/>
      <c r="FV153" s="175"/>
      <c r="FW153" s="175"/>
      <c r="FX153" s="175"/>
      <c r="FY153" s="175"/>
      <c r="FZ153" s="175"/>
      <c r="GA153" s="175"/>
      <c r="GB153" s="175"/>
      <c r="GC153" s="175"/>
      <c r="GD153" s="175"/>
      <c r="GE153" s="175"/>
      <c r="GF153" s="175"/>
      <c r="GG153" s="175"/>
      <c r="GH153" s="175"/>
      <c r="GI153" s="175"/>
      <c r="GJ153" s="175"/>
      <c r="GK153" s="175"/>
      <c r="GL153" s="175"/>
      <c r="GM153" s="175"/>
      <c r="GN153" s="175"/>
      <c r="GO153" s="175"/>
      <c r="GP153" s="175"/>
      <c r="GQ153" s="175"/>
      <c r="GR153" s="175"/>
      <c r="GS153" s="175"/>
      <c r="GT153" s="175"/>
      <c r="GU153" s="175"/>
      <c r="GV153" s="175"/>
      <c r="GW153" s="175"/>
      <c r="GX153" s="175"/>
      <c r="GY153" s="175"/>
      <c r="GZ153" s="175"/>
      <c r="HA153" s="175"/>
      <c r="HB153" s="175"/>
      <c r="HC153" s="175"/>
      <c r="HD153" s="175"/>
      <c r="HE153" s="175"/>
      <c r="HF153" s="175"/>
      <c r="HG153" s="175"/>
      <c r="HH153" s="175"/>
      <c r="HI153" s="175"/>
      <c r="HJ153" s="175"/>
      <c r="HK153" s="175"/>
      <c r="HL153" s="175"/>
      <c r="HM153" s="175"/>
    </row>
    <row r="154" spans="1:221" ht="15">
      <c r="B154" s="175"/>
      <c r="C154" s="802" t="s">
        <v>575</v>
      </c>
      <c r="D154" s="154">
        <v>1450022</v>
      </c>
      <c r="E154" s="154">
        <v>336</v>
      </c>
      <c r="F154" s="154" t="s">
        <v>576</v>
      </c>
      <c r="G154" s="255" t="s">
        <v>577</v>
      </c>
      <c r="H154" s="171" t="s">
        <v>169</v>
      </c>
      <c r="I154" s="445" t="s">
        <v>170</v>
      </c>
      <c r="J154" s="154"/>
      <c r="K154" s="154"/>
      <c r="L154" s="154"/>
      <c r="M154" s="176"/>
      <c r="N154" s="193">
        <v>107</v>
      </c>
      <c r="O154" s="176"/>
      <c r="P154" s="203">
        <v>1842.67</v>
      </c>
      <c r="Q154" s="203"/>
      <c r="R154" s="203">
        <v>36546.339999999997</v>
      </c>
      <c r="S154" s="176">
        <v>2247</v>
      </c>
      <c r="T154" s="188" t="s">
        <v>171</v>
      </c>
      <c r="U154" s="176"/>
      <c r="V154" s="176"/>
      <c r="W154" s="176"/>
      <c r="X154" s="203">
        <f t="shared" si="12"/>
        <v>31364.66</v>
      </c>
      <c r="Y154" s="203">
        <v>-1505.5</v>
      </c>
      <c r="Z154" s="203">
        <v>0</v>
      </c>
      <c r="AA154" s="203">
        <v>29859.16</v>
      </c>
      <c r="AB154" s="446">
        <v>1843</v>
      </c>
      <c r="AC154" s="255" t="s">
        <v>172</v>
      </c>
      <c r="AD154" s="255" t="s">
        <v>173</v>
      </c>
      <c r="AE154" s="177" t="b">
        <v>1</v>
      </c>
      <c r="AF154" s="177" t="b">
        <v>1</v>
      </c>
      <c r="AG154" s="392">
        <f>(AB154-S154)/S154</f>
        <v>-0.17979528259902092</v>
      </c>
      <c r="AH154" s="392">
        <f>(AA154-R154)/R154</f>
        <v>-0.18297810396335165</v>
      </c>
      <c r="AI154" s="203">
        <f t="shared" si="14"/>
        <v>25323.109999999997</v>
      </c>
      <c r="AJ154" s="368">
        <v>-1215.51</v>
      </c>
      <c r="AK154" s="368">
        <v>0</v>
      </c>
      <c r="AL154" s="368">
        <v>24107.599999999999</v>
      </c>
      <c r="AM154" s="1068">
        <v>1427</v>
      </c>
      <c r="AN154" s="172">
        <v>46122</v>
      </c>
      <c r="AO154" s="171" t="s">
        <v>174</v>
      </c>
      <c r="AP154" s="861" t="b">
        <v>1</v>
      </c>
      <c r="AQ154" s="861" t="b">
        <v>1</v>
      </c>
      <c r="AR154" s="392">
        <f t="shared" si="13"/>
        <v>-0.22571893651654912</v>
      </c>
      <c r="AS154" s="392">
        <f>(AL154-AA154)/AA154</f>
        <v>-0.19262296729043957</v>
      </c>
      <c r="AT154" s="203">
        <f t="shared" si="15"/>
        <v>0</v>
      </c>
      <c r="AU154" s="203"/>
      <c r="AV154" s="203"/>
      <c r="AW154" s="203"/>
      <c r="AX154" s="176"/>
      <c r="AY154" s="176"/>
      <c r="AZ154" s="176"/>
      <c r="BA154" s="177" t="b">
        <v>0</v>
      </c>
      <c r="BB154" s="177" t="b">
        <v>0</v>
      </c>
      <c r="BC154" s="176">
        <f>(AX154-AM154)/AM154</f>
        <v>-1</v>
      </c>
      <c r="BD154" s="176">
        <f>(AW154-AL154)/AL154</f>
        <v>-1</v>
      </c>
      <c r="BE154" s="203">
        <f>BH154 + ABS(BF154) + ABS(BG154)</f>
        <v>0</v>
      </c>
      <c r="BF154" s="203"/>
      <c r="BG154" s="203"/>
      <c r="BH154" s="203"/>
      <c r="BI154" s="176"/>
      <c r="BJ154" s="176"/>
      <c r="BK154" s="176"/>
      <c r="BL154" s="177" t="b">
        <v>0</v>
      </c>
      <c r="BM154" s="177" t="b">
        <v>0</v>
      </c>
      <c r="BN154" s="176" t="e">
        <f>(BI154-AZ154)/AZ154</f>
        <v>#DIV/0!</v>
      </c>
      <c r="BO154" s="176" t="e">
        <f>(BH154-AW154)/AW154</f>
        <v>#DIV/0!</v>
      </c>
      <c r="BP154" s="203">
        <f>BS154 + ABS(BQ154) + ABS(BR154)</f>
        <v>0</v>
      </c>
      <c r="BQ154" s="203"/>
      <c r="BR154" s="203"/>
      <c r="BS154" s="203"/>
      <c r="BT154" s="176"/>
      <c r="BU154" s="176"/>
      <c r="BV154" s="176"/>
      <c r="BW154" s="177" t="b">
        <v>0</v>
      </c>
      <c r="BX154" s="177" t="b">
        <v>0</v>
      </c>
      <c r="BY154" s="176" t="e">
        <f>(BT154-BI154)/BI154</f>
        <v>#DIV/0!</v>
      </c>
      <c r="BZ154" s="176" t="e">
        <f>(BS154-BH154)/BH154</f>
        <v>#DIV/0!</v>
      </c>
      <c r="CA154" s="203">
        <f>CD154 + ABS(CB154) + ABS(CC154)</f>
        <v>0</v>
      </c>
      <c r="CB154" s="203"/>
      <c r="CC154" s="203"/>
      <c r="CD154" s="203"/>
      <c r="CE154" s="176"/>
      <c r="CF154" s="176"/>
      <c r="CG154" s="176"/>
      <c r="CH154" s="177" t="b">
        <v>0</v>
      </c>
      <c r="CI154" s="177" t="b">
        <v>0</v>
      </c>
      <c r="CJ154" s="176" t="e">
        <f>(CE154-BV154)/BV154</f>
        <v>#DIV/0!</v>
      </c>
      <c r="CK154" s="176" t="e">
        <f>(CD154-BS154)/BS154</f>
        <v>#DIV/0!</v>
      </c>
      <c r="CL154" s="203">
        <f>CO154 + ABS(CM154) + ABS(CN154)</f>
        <v>0</v>
      </c>
      <c r="CM154" s="203"/>
      <c r="CN154" s="203"/>
      <c r="CO154" s="203"/>
      <c r="CP154" s="176"/>
      <c r="CQ154" s="176"/>
      <c r="CR154" s="176"/>
      <c r="CS154" s="177" t="b">
        <v>0</v>
      </c>
      <c r="CT154" s="177" t="b">
        <v>0</v>
      </c>
      <c r="CU154" s="176" t="e">
        <f>(CP154-CE154)/CE154</f>
        <v>#DIV/0!</v>
      </c>
      <c r="CV154" s="176" t="e">
        <f>(CO154-CD154)/CD154</f>
        <v>#DIV/0!</v>
      </c>
      <c r="CW154" s="203">
        <f>CZ154 + ABS(CX154) + ABS(CY154)</f>
        <v>0</v>
      </c>
      <c r="CX154" s="203"/>
      <c r="CY154" s="203"/>
      <c r="CZ154" s="203"/>
      <c r="DA154" s="176"/>
      <c r="DB154" s="176"/>
      <c r="DC154" s="176"/>
      <c r="DD154" s="177" t="b">
        <v>0</v>
      </c>
      <c r="DE154" s="177" t="b">
        <v>0</v>
      </c>
      <c r="DF154" s="176" t="e">
        <f>(DA154-CR154)/CR154</f>
        <v>#DIV/0!</v>
      </c>
      <c r="DG154" s="176" t="e">
        <f>(CZ154-CO154)/CO154</f>
        <v>#DIV/0!</v>
      </c>
      <c r="DH154" s="203">
        <f>DK154 + ABS(DI154) + ABS(DJ154)</f>
        <v>0</v>
      </c>
      <c r="DI154" s="203"/>
      <c r="DJ154" s="203"/>
      <c r="DK154" s="203"/>
      <c r="DL154" s="176"/>
      <c r="DM154" s="176"/>
      <c r="DN154" s="176"/>
      <c r="DO154" s="177" t="b">
        <v>0</v>
      </c>
      <c r="DP154" s="177" t="b">
        <v>0</v>
      </c>
      <c r="DQ154" s="176" t="e">
        <f>(DL154-DA154)/DA154</f>
        <v>#DIV/0!</v>
      </c>
      <c r="DR154" s="176" t="e">
        <f>(DK154-CZ154)/CZ154</f>
        <v>#DIV/0!</v>
      </c>
      <c r="DS154" s="203">
        <f>DV154 + ABS(DT154) + ABS(DU154)</f>
        <v>0</v>
      </c>
      <c r="DT154" s="203"/>
      <c r="DU154" s="203"/>
      <c r="DV154" s="203"/>
      <c r="DW154" s="176"/>
      <c r="DX154" s="176"/>
      <c r="DY154" s="176"/>
      <c r="DZ154" s="177" t="b">
        <v>0</v>
      </c>
      <c r="EA154" s="177" t="b">
        <v>0</v>
      </c>
      <c r="EB154" s="176" t="e">
        <f>(DW154-DN154)/DN154</f>
        <v>#DIV/0!</v>
      </c>
      <c r="EC154" s="176" t="e">
        <f>(DV154-DK154)/DK154</f>
        <v>#DIV/0!</v>
      </c>
      <c r="ED154" s="203">
        <f>EG154 + ABS(EE154) + ABS(EF154)</f>
        <v>0</v>
      </c>
      <c r="EE154" s="203"/>
      <c r="EF154" s="203"/>
      <c r="EG154" s="203"/>
      <c r="EH154" s="176"/>
      <c r="EI154" s="176"/>
      <c r="EJ154" s="176"/>
      <c r="EK154" s="177" t="b">
        <v>0</v>
      </c>
      <c r="EL154" s="177" t="b">
        <v>0</v>
      </c>
      <c r="EM154" s="176" t="e">
        <f>(EH154-DW154)/DW154</f>
        <v>#DIV/0!</v>
      </c>
      <c r="EN154" s="176" t="e">
        <f>(EG154-DV154)/DV154</f>
        <v>#DIV/0!</v>
      </c>
      <c r="EO154" s="203">
        <f>ER154 + ABS(EP154) + ABS(EQ154)</f>
        <v>0</v>
      </c>
      <c r="EP154" s="203"/>
      <c r="EQ154" s="203"/>
      <c r="ER154" s="203"/>
      <c r="ES154" s="176"/>
      <c r="ET154" s="176"/>
      <c r="EU154" s="176"/>
      <c r="EV154" s="177" t="b">
        <v>0</v>
      </c>
      <c r="EW154" s="177" t="b">
        <v>0</v>
      </c>
      <c r="EX154" s="176" t="e">
        <f>(ES154-EJ154)/EJ154</f>
        <v>#DIV/0!</v>
      </c>
      <c r="EY154" s="176" t="e">
        <f>(ER154-EG154)/EG154</f>
        <v>#DIV/0!</v>
      </c>
      <c r="EZ154" s="175"/>
      <c r="FA154" s="175"/>
      <c r="FB154" s="175"/>
      <c r="FC154" s="175"/>
      <c r="FD154" s="175"/>
      <c r="FE154" s="175"/>
      <c r="FF154" s="175"/>
      <c r="FG154" s="175"/>
      <c r="FH154" s="175"/>
      <c r="FI154" s="175"/>
      <c r="FJ154" s="175"/>
      <c r="FK154" s="175"/>
      <c r="FL154" s="175"/>
      <c r="FM154" s="175"/>
      <c r="FN154" s="175"/>
      <c r="FO154" s="175"/>
      <c r="FP154" s="175"/>
      <c r="FQ154" s="801"/>
      <c r="FR154" s="175"/>
      <c r="FS154" s="175"/>
      <c r="FT154" s="175"/>
      <c r="FU154" s="175"/>
      <c r="FV154" s="175"/>
      <c r="FW154" s="175"/>
      <c r="FX154" s="175"/>
      <c r="FY154" s="175"/>
      <c r="FZ154" s="175"/>
      <c r="GA154" s="175"/>
      <c r="GB154" s="175"/>
      <c r="GC154" s="175"/>
      <c r="GD154" s="175"/>
      <c r="GE154" s="175"/>
      <c r="GF154" s="175"/>
      <c r="GG154" s="175"/>
      <c r="GH154" s="175"/>
      <c r="GI154" s="175"/>
      <c r="GJ154" s="175"/>
      <c r="GK154" s="175"/>
      <c r="GL154" s="175"/>
      <c r="GM154" s="175"/>
      <c r="GN154" s="175"/>
      <c r="GO154" s="175"/>
      <c r="GP154" s="175"/>
      <c r="GQ154" s="175"/>
      <c r="GR154" s="175"/>
      <c r="GS154" s="175"/>
      <c r="GT154" s="175"/>
      <c r="GU154" s="175"/>
      <c r="GV154" s="175"/>
      <c r="GW154" s="175"/>
      <c r="GX154" s="175"/>
      <c r="GY154" s="175"/>
      <c r="GZ154" s="175"/>
      <c r="HA154" s="175"/>
      <c r="HB154" s="175"/>
      <c r="HC154" s="175"/>
      <c r="HD154" s="175"/>
      <c r="HE154" s="175"/>
      <c r="HF154" s="175"/>
      <c r="HG154" s="175"/>
      <c r="HH154" s="175"/>
      <c r="HI154" s="175"/>
      <c r="HJ154" s="175"/>
      <c r="HK154" s="175"/>
      <c r="HL154" s="175"/>
      <c r="HM154" s="175"/>
    </row>
    <row r="155" spans="1:221" ht="15">
      <c r="B155" s="175"/>
      <c r="C155" s="800" t="s">
        <v>578</v>
      </c>
      <c r="D155" s="357">
        <v>1450022</v>
      </c>
      <c r="E155" s="357">
        <v>237</v>
      </c>
      <c r="F155" s="357" t="s">
        <v>579</v>
      </c>
      <c r="G155" s="426" t="s">
        <v>580</v>
      </c>
      <c r="H155" s="148" t="s">
        <v>169</v>
      </c>
      <c r="I155" s="448" t="s">
        <v>170</v>
      </c>
      <c r="J155" s="357"/>
      <c r="K155" s="357"/>
      <c r="L155" s="357"/>
      <c r="M155" s="358"/>
      <c r="N155" s="361">
        <v>107</v>
      </c>
      <c r="O155" s="358"/>
      <c r="P155" s="402">
        <v>945.27</v>
      </c>
      <c r="Q155" s="402"/>
      <c r="R155" s="402">
        <v>18747.93</v>
      </c>
      <c r="S155" s="358">
        <v>690</v>
      </c>
      <c r="T155" s="188" t="s">
        <v>171</v>
      </c>
      <c r="U155" s="358"/>
      <c r="V155" s="358"/>
      <c r="W155" s="358"/>
      <c r="X155" s="402">
        <f t="shared" si="12"/>
        <v>20147.030000000002</v>
      </c>
      <c r="Y155" s="402">
        <v>-967.06</v>
      </c>
      <c r="Z155" s="402">
        <v>0</v>
      </c>
      <c r="AA155" s="402">
        <v>19179.97</v>
      </c>
      <c r="AB155" s="450">
        <v>705</v>
      </c>
      <c r="AC155" s="173" t="s">
        <v>172</v>
      </c>
      <c r="AD155" s="173" t="s">
        <v>173</v>
      </c>
      <c r="AE155" s="164" t="b">
        <v>1</v>
      </c>
      <c r="AF155" s="164" t="b">
        <v>1</v>
      </c>
      <c r="AG155" s="409">
        <f>(AB155-S155)/S155</f>
        <v>2.1739130434782608E-2</v>
      </c>
      <c r="AH155" s="409">
        <f>(AA155-R155)/R155</f>
        <v>2.3044677465725596E-2</v>
      </c>
      <c r="AI155" s="402">
        <f t="shared" si="14"/>
        <v>17018.66</v>
      </c>
      <c r="AJ155" s="364">
        <v>-816.9</v>
      </c>
      <c r="AK155" s="364">
        <v>0</v>
      </c>
      <c r="AL155" s="364">
        <v>16201.76</v>
      </c>
      <c r="AM155" s="1069">
        <v>591</v>
      </c>
      <c r="AN155" s="407">
        <v>46122</v>
      </c>
      <c r="AO155" s="148" t="s">
        <v>174</v>
      </c>
      <c r="AP155" s="860" t="b">
        <v>1</v>
      </c>
      <c r="AQ155" s="860" t="b">
        <v>1</v>
      </c>
      <c r="AR155" s="409">
        <f t="shared" si="13"/>
        <v>-0.16170212765957448</v>
      </c>
      <c r="AS155" s="409">
        <f>(AL155-AA155)/AA155</f>
        <v>-0.15527709375979215</v>
      </c>
      <c r="AT155" s="402">
        <f t="shared" si="15"/>
        <v>0</v>
      </c>
      <c r="AU155" s="402"/>
      <c r="AV155" s="402"/>
      <c r="AW155" s="402"/>
      <c r="AX155" s="358"/>
      <c r="AY155" s="358"/>
      <c r="AZ155" s="358"/>
      <c r="BA155" s="164" t="b">
        <v>0</v>
      </c>
      <c r="BB155" s="164" t="b">
        <v>0</v>
      </c>
      <c r="BC155" s="358">
        <f>(AX155-AM155)/AM155</f>
        <v>-1</v>
      </c>
      <c r="BD155" s="358">
        <f>(AW155-AL155)/AL155</f>
        <v>-1</v>
      </c>
      <c r="BE155" s="402">
        <f>BH155 + ABS(BF155) + ABS(BG155)</f>
        <v>0</v>
      </c>
      <c r="BF155" s="402"/>
      <c r="BG155" s="402"/>
      <c r="BH155" s="402"/>
      <c r="BI155" s="358"/>
      <c r="BJ155" s="358"/>
      <c r="BK155" s="358"/>
      <c r="BL155" s="164" t="b">
        <v>0</v>
      </c>
      <c r="BM155" s="164" t="b">
        <v>0</v>
      </c>
      <c r="BN155" s="358" t="e">
        <f>(BI155-AZ155)/AZ155</f>
        <v>#DIV/0!</v>
      </c>
      <c r="BO155" s="358" t="e">
        <f>(BH155-AW155)/AW155</f>
        <v>#DIV/0!</v>
      </c>
      <c r="BP155" s="402">
        <f>BS155 + ABS(BQ155) + ABS(BR155)</f>
        <v>0</v>
      </c>
      <c r="BQ155" s="402"/>
      <c r="BR155" s="402"/>
      <c r="BS155" s="402"/>
      <c r="BT155" s="358"/>
      <c r="BU155" s="358"/>
      <c r="BV155" s="358"/>
      <c r="BW155" s="164" t="b">
        <v>0</v>
      </c>
      <c r="BX155" s="164" t="b">
        <v>0</v>
      </c>
      <c r="BY155" s="358" t="e">
        <f>(BT155-BI155)/BI155</f>
        <v>#DIV/0!</v>
      </c>
      <c r="BZ155" s="358" t="e">
        <f>(BS155-BH155)/BH155</f>
        <v>#DIV/0!</v>
      </c>
      <c r="CA155" s="402">
        <f>CD155 + ABS(CB155) + ABS(CC155)</f>
        <v>0</v>
      </c>
      <c r="CB155" s="402"/>
      <c r="CC155" s="402"/>
      <c r="CD155" s="402"/>
      <c r="CE155" s="358"/>
      <c r="CF155" s="358"/>
      <c r="CG155" s="358"/>
      <c r="CH155" s="164" t="b">
        <v>0</v>
      </c>
      <c r="CI155" s="164" t="b">
        <v>0</v>
      </c>
      <c r="CJ155" s="358" t="e">
        <f>(CE155-BV155)/BV155</f>
        <v>#DIV/0!</v>
      </c>
      <c r="CK155" s="358" t="e">
        <f>(CD155-BS155)/BS155</f>
        <v>#DIV/0!</v>
      </c>
      <c r="CL155" s="402">
        <f>CO155 + ABS(CM155) + ABS(CN155)</f>
        <v>0</v>
      </c>
      <c r="CM155" s="402"/>
      <c r="CN155" s="402"/>
      <c r="CO155" s="402"/>
      <c r="CP155" s="358"/>
      <c r="CQ155" s="358"/>
      <c r="CR155" s="358"/>
      <c r="CS155" s="164" t="b">
        <v>0</v>
      </c>
      <c r="CT155" s="164" t="b">
        <v>0</v>
      </c>
      <c r="CU155" s="358" t="e">
        <f>(CP155-CE155)/CE155</f>
        <v>#DIV/0!</v>
      </c>
      <c r="CV155" s="358" t="e">
        <f>(CO155-CD155)/CD155</f>
        <v>#DIV/0!</v>
      </c>
      <c r="CW155" s="402">
        <f>CZ155 + ABS(CX155) + ABS(CY155)</f>
        <v>0</v>
      </c>
      <c r="CX155" s="402"/>
      <c r="CY155" s="402"/>
      <c r="CZ155" s="402"/>
      <c r="DA155" s="358"/>
      <c r="DB155" s="358"/>
      <c r="DC155" s="358"/>
      <c r="DD155" s="164" t="b">
        <v>0</v>
      </c>
      <c r="DE155" s="164" t="b">
        <v>0</v>
      </c>
      <c r="DF155" s="358" t="e">
        <f>(DA155-CR155)/CR155</f>
        <v>#DIV/0!</v>
      </c>
      <c r="DG155" s="358" t="e">
        <f>(CZ155-CO155)/CO155</f>
        <v>#DIV/0!</v>
      </c>
      <c r="DH155" s="402">
        <f>DK155 + ABS(DI155) + ABS(DJ155)</f>
        <v>0</v>
      </c>
      <c r="DI155" s="402"/>
      <c r="DJ155" s="402"/>
      <c r="DK155" s="402"/>
      <c r="DL155" s="358"/>
      <c r="DM155" s="358"/>
      <c r="DN155" s="358"/>
      <c r="DO155" s="164" t="b">
        <v>0</v>
      </c>
      <c r="DP155" s="164" t="b">
        <v>0</v>
      </c>
      <c r="DQ155" s="358" t="e">
        <f>(DL155-DA155)/DA155</f>
        <v>#DIV/0!</v>
      </c>
      <c r="DR155" s="358" t="e">
        <f>(DK155-CZ155)/CZ155</f>
        <v>#DIV/0!</v>
      </c>
      <c r="DS155" s="402">
        <f>DV155 + ABS(DT155) + ABS(DU155)</f>
        <v>0</v>
      </c>
      <c r="DT155" s="402"/>
      <c r="DU155" s="402"/>
      <c r="DV155" s="402"/>
      <c r="DW155" s="358"/>
      <c r="DX155" s="358"/>
      <c r="DY155" s="358"/>
      <c r="DZ155" s="164" t="b">
        <v>0</v>
      </c>
      <c r="EA155" s="164" t="b">
        <v>0</v>
      </c>
      <c r="EB155" s="358" t="e">
        <f>(DW155-DN155)/DN155</f>
        <v>#DIV/0!</v>
      </c>
      <c r="EC155" s="358" t="e">
        <f>(DV155-DK155)/DK155</f>
        <v>#DIV/0!</v>
      </c>
      <c r="ED155" s="402">
        <f>EG155 + ABS(EE155) + ABS(EF155)</f>
        <v>0</v>
      </c>
      <c r="EE155" s="402"/>
      <c r="EF155" s="402"/>
      <c r="EG155" s="402"/>
      <c r="EH155" s="358"/>
      <c r="EI155" s="358"/>
      <c r="EJ155" s="358"/>
      <c r="EK155" s="164" t="b">
        <v>0</v>
      </c>
      <c r="EL155" s="164" t="b">
        <v>0</v>
      </c>
      <c r="EM155" s="358" t="e">
        <f>(EH155-DW155)/DW155</f>
        <v>#DIV/0!</v>
      </c>
      <c r="EN155" s="358" t="e">
        <f>(EG155-DV155)/DV155</f>
        <v>#DIV/0!</v>
      </c>
      <c r="EO155" s="402">
        <f>ER155 + ABS(EP155) + ABS(EQ155)</f>
        <v>0</v>
      </c>
      <c r="EP155" s="402"/>
      <c r="EQ155" s="402"/>
      <c r="ER155" s="402"/>
      <c r="ES155" s="358"/>
      <c r="ET155" s="358"/>
      <c r="EU155" s="358"/>
      <c r="EV155" s="164" t="b">
        <v>0</v>
      </c>
      <c r="EW155" s="164" t="b">
        <v>0</v>
      </c>
      <c r="EX155" s="358" t="e">
        <f>(ES155-EJ155)/EJ155</f>
        <v>#DIV/0!</v>
      </c>
      <c r="EY155" s="358" t="e">
        <f>(ER155-EG155)/EG155</f>
        <v>#DIV/0!</v>
      </c>
      <c r="EZ155" s="449"/>
      <c r="FA155" s="449"/>
      <c r="FB155" s="449"/>
      <c r="FC155" s="449"/>
      <c r="FD155" s="449"/>
      <c r="FE155" s="449"/>
      <c r="FF155" s="449"/>
      <c r="FG155" s="449"/>
      <c r="FH155" s="449"/>
      <c r="FI155" s="449"/>
      <c r="FJ155" s="449"/>
      <c r="FK155" s="449"/>
      <c r="FL155" s="449"/>
      <c r="FM155" s="449"/>
      <c r="FN155" s="175"/>
      <c r="FO155" s="175"/>
      <c r="FP155" s="175"/>
      <c r="FQ155" s="801"/>
      <c r="FR155" s="175"/>
      <c r="FS155" s="175"/>
      <c r="FT155" s="175"/>
      <c r="FU155" s="175"/>
      <c r="FV155" s="175"/>
      <c r="FW155" s="175"/>
      <c r="FX155" s="175"/>
      <c r="FY155" s="175"/>
      <c r="FZ155" s="175"/>
      <c r="GA155" s="175"/>
      <c r="GB155" s="175"/>
      <c r="GC155" s="175"/>
      <c r="GD155" s="175"/>
      <c r="GE155" s="175"/>
      <c r="GF155" s="175"/>
      <c r="GG155" s="175"/>
      <c r="GH155" s="175"/>
      <c r="GI155" s="175"/>
      <c r="GJ155" s="175"/>
      <c r="GK155" s="175"/>
      <c r="GL155" s="175"/>
      <c r="GM155" s="175"/>
      <c r="GN155" s="175"/>
      <c r="GO155" s="175"/>
      <c r="GP155" s="175"/>
      <c r="GQ155" s="175"/>
      <c r="GR155" s="175"/>
      <c r="GS155" s="175"/>
      <c r="GT155" s="175"/>
      <c r="GU155" s="175"/>
      <c r="GV155" s="175"/>
      <c r="GW155" s="175"/>
      <c r="GX155" s="175"/>
      <c r="GY155" s="175"/>
      <c r="GZ155" s="175"/>
      <c r="HA155" s="175"/>
      <c r="HB155" s="175"/>
      <c r="HC155" s="175"/>
      <c r="HD155" s="175"/>
      <c r="HE155" s="175"/>
      <c r="HF155" s="175"/>
      <c r="HG155" s="175"/>
      <c r="HH155" s="175"/>
      <c r="HI155" s="175"/>
      <c r="HJ155" s="175"/>
      <c r="HK155" s="175"/>
      <c r="HL155" s="175"/>
      <c r="HM155" s="175"/>
    </row>
    <row r="156" spans="1:221" ht="15">
      <c r="B156" s="175"/>
      <c r="C156" s="802" t="s">
        <v>581</v>
      </c>
      <c r="D156" s="154">
        <v>1450022</v>
      </c>
      <c r="E156" s="154">
        <v>227</v>
      </c>
      <c r="F156" s="154" t="s">
        <v>582</v>
      </c>
      <c r="G156" s="255" t="s">
        <v>583</v>
      </c>
      <c r="H156" s="171" t="s">
        <v>169</v>
      </c>
      <c r="I156" s="445" t="s">
        <v>170</v>
      </c>
      <c r="J156" s="154"/>
      <c r="K156" s="154"/>
      <c r="L156" s="154"/>
      <c r="M156" s="176"/>
      <c r="N156" s="193">
        <v>107</v>
      </c>
      <c r="O156" s="176"/>
      <c r="P156" s="203">
        <v>541.54999999999995</v>
      </c>
      <c r="Q156" s="203"/>
      <c r="R156" s="203">
        <v>10740.76</v>
      </c>
      <c r="S156" s="176">
        <v>412</v>
      </c>
      <c r="T156" s="188" t="s">
        <v>171</v>
      </c>
      <c r="U156" s="176"/>
      <c r="V156" s="176"/>
      <c r="W156" s="176"/>
      <c r="X156" s="203">
        <f t="shared" si="12"/>
        <v>15003.68</v>
      </c>
      <c r="Y156" s="203">
        <v>-720.18</v>
      </c>
      <c r="Z156" s="203">
        <v>0</v>
      </c>
      <c r="AA156" s="203">
        <v>14283.5</v>
      </c>
      <c r="AB156" s="446">
        <v>535</v>
      </c>
      <c r="AC156" s="255" t="s">
        <v>172</v>
      </c>
      <c r="AD156" s="255" t="s">
        <v>173</v>
      </c>
      <c r="AE156" s="177" t="b">
        <v>1</v>
      </c>
      <c r="AF156" s="177" t="b">
        <v>1</v>
      </c>
      <c r="AG156" s="392">
        <f>(AB156-S156)/S156</f>
        <v>0.29854368932038833</v>
      </c>
      <c r="AH156" s="392">
        <f>(AA156-R156)/R156</f>
        <v>0.32984071890629713</v>
      </c>
      <c r="AI156" s="203">
        <f t="shared" si="14"/>
        <v>16974.03</v>
      </c>
      <c r="AJ156" s="368">
        <v>-814.75</v>
      </c>
      <c r="AK156" s="368">
        <v>0</v>
      </c>
      <c r="AL156" s="368">
        <v>16159.28</v>
      </c>
      <c r="AM156" s="1068">
        <v>587</v>
      </c>
      <c r="AN156" s="172">
        <v>46122</v>
      </c>
      <c r="AO156" s="171" t="s">
        <v>174</v>
      </c>
      <c r="AP156" s="861" t="b">
        <v>1</v>
      </c>
      <c r="AQ156" s="861" t="b">
        <v>1</v>
      </c>
      <c r="AR156" s="392">
        <f t="shared" si="13"/>
        <v>9.719626168224299E-2</v>
      </c>
      <c r="AS156" s="392">
        <f>(AL156-AA156)/AA156</f>
        <v>0.13132495536808209</v>
      </c>
      <c r="AT156" s="203">
        <f t="shared" si="15"/>
        <v>0</v>
      </c>
      <c r="AU156" s="203"/>
      <c r="AV156" s="203"/>
      <c r="AW156" s="203"/>
      <c r="AX156" s="176"/>
      <c r="AY156" s="176"/>
      <c r="AZ156" s="176"/>
      <c r="BA156" s="177" t="b">
        <v>0</v>
      </c>
      <c r="BB156" s="177" t="b">
        <v>0</v>
      </c>
      <c r="BC156" s="176">
        <f>(AX156-AM156)/AM156</f>
        <v>-1</v>
      </c>
      <c r="BD156" s="176">
        <f>(AW156-AL156)/AL156</f>
        <v>-1</v>
      </c>
      <c r="BE156" s="203">
        <f>BH156 + ABS(BF156) + ABS(BG156)</f>
        <v>0</v>
      </c>
      <c r="BF156" s="203"/>
      <c r="BG156" s="203"/>
      <c r="BH156" s="203"/>
      <c r="BI156" s="176"/>
      <c r="BJ156" s="176"/>
      <c r="BK156" s="176"/>
      <c r="BL156" s="177" t="b">
        <v>0</v>
      </c>
      <c r="BM156" s="177" t="b">
        <v>0</v>
      </c>
      <c r="BN156" s="176" t="e">
        <f>(BI156-AZ156)/AZ156</f>
        <v>#DIV/0!</v>
      </c>
      <c r="BO156" s="176" t="e">
        <f>(BH156-AW156)/AW156</f>
        <v>#DIV/0!</v>
      </c>
      <c r="BP156" s="203">
        <f>BS156 + ABS(BQ156) + ABS(BR156)</f>
        <v>0</v>
      </c>
      <c r="BQ156" s="203"/>
      <c r="BR156" s="203"/>
      <c r="BS156" s="203"/>
      <c r="BT156" s="176"/>
      <c r="BU156" s="176"/>
      <c r="BV156" s="176"/>
      <c r="BW156" s="177" t="b">
        <v>0</v>
      </c>
      <c r="BX156" s="177" t="b">
        <v>0</v>
      </c>
      <c r="BY156" s="176" t="e">
        <f>(BT156-BI156)/BI156</f>
        <v>#DIV/0!</v>
      </c>
      <c r="BZ156" s="176" t="e">
        <f>(BS156-BH156)/BH156</f>
        <v>#DIV/0!</v>
      </c>
      <c r="CA156" s="203">
        <f>CD156 + ABS(CB156) + ABS(CC156)</f>
        <v>0</v>
      </c>
      <c r="CB156" s="203"/>
      <c r="CC156" s="203"/>
      <c r="CD156" s="203"/>
      <c r="CE156" s="176"/>
      <c r="CF156" s="176"/>
      <c r="CG156" s="176"/>
      <c r="CH156" s="177" t="b">
        <v>0</v>
      </c>
      <c r="CI156" s="177" t="b">
        <v>0</v>
      </c>
      <c r="CJ156" s="176" t="e">
        <f>(CE156-BV156)/BV156</f>
        <v>#DIV/0!</v>
      </c>
      <c r="CK156" s="176" t="e">
        <f>(CD156-BS156)/BS156</f>
        <v>#DIV/0!</v>
      </c>
      <c r="CL156" s="203">
        <f>CO156 + ABS(CM156) + ABS(CN156)</f>
        <v>0</v>
      </c>
      <c r="CM156" s="203"/>
      <c r="CN156" s="203"/>
      <c r="CO156" s="203"/>
      <c r="CP156" s="176"/>
      <c r="CQ156" s="176"/>
      <c r="CR156" s="176"/>
      <c r="CS156" s="177" t="b">
        <v>0</v>
      </c>
      <c r="CT156" s="177" t="b">
        <v>0</v>
      </c>
      <c r="CU156" s="176" t="e">
        <f>(CP156-CE156)/CE156</f>
        <v>#DIV/0!</v>
      </c>
      <c r="CV156" s="176" t="e">
        <f>(CO156-CD156)/CD156</f>
        <v>#DIV/0!</v>
      </c>
      <c r="CW156" s="203">
        <f>CZ156 + ABS(CX156) + ABS(CY156)</f>
        <v>0</v>
      </c>
      <c r="CX156" s="203"/>
      <c r="CY156" s="203"/>
      <c r="CZ156" s="203"/>
      <c r="DA156" s="176"/>
      <c r="DB156" s="176"/>
      <c r="DC156" s="176"/>
      <c r="DD156" s="177" t="b">
        <v>0</v>
      </c>
      <c r="DE156" s="177" t="b">
        <v>0</v>
      </c>
      <c r="DF156" s="176" t="e">
        <f>(DA156-CR156)/CR156</f>
        <v>#DIV/0!</v>
      </c>
      <c r="DG156" s="176" t="e">
        <f>(CZ156-CO156)/CO156</f>
        <v>#DIV/0!</v>
      </c>
      <c r="DH156" s="203">
        <f>DK156 + ABS(DI156) + ABS(DJ156)</f>
        <v>0</v>
      </c>
      <c r="DI156" s="203"/>
      <c r="DJ156" s="203"/>
      <c r="DK156" s="203"/>
      <c r="DL156" s="176"/>
      <c r="DM156" s="176"/>
      <c r="DN156" s="176"/>
      <c r="DO156" s="177" t="b">
        <v>0</v>
      </c>
      <c r="DP156" s="177" t="b">
        <v>0</v>
      </c>
      <c r="DQ156" s="176" t="e">
        <f>(DL156-DA156)/DA156</f>
        <v>#DIV/0!</v>
      </c>
      <c r="DR156" s="176" t="e">
        <f>(DK156-CZ156)/CZ156</f>
        <v>#DIV/0!</v>
      </c>
      <c r="DS156" s="203">
        <f>DV156 + ABS(DT156) + ABS(DU156)</f>
        <v>0</v>
      </c>
      <c r="DT156" s="203"/>
      <c r="DU156" s="203"/>
      <c r="DV156" s="203"/>
      <c r="DW156" s="176"/>
      <c r="DX156" s="176"/>
      <c r="DY156" s="176"/>
      <c r="DZ156" s="177" t="b">
        <v>0</v>
      </c>
      <c r="EA156" s="177" t="b">
        <v>0</v>
      </c>
      <c r="EB156" s="176" t="e">
        <f>(DW156-DN156)/DN156</f>
        <v>#DIV/0!</v>
      </c>
      <c r="EC156" s="176" t="e">
        <f>(DV156-DK156)/DK156</f>
        <v>#DIV/0!</v>
      </c>
      <c r="ED156" s="203">
        <f>EG156 + ABS(EE156) + ABS(EF156)</f>
        <v>0</v>
      </c>
      <c r="EE156" s="203"/>
      <c r="EF156" s="203"/>
      <c r="EG156" s="203"/>
      <c r="EH156" s="176"/>
      <c r="EI156" s="176"/>
      <c r="EJ156" s="176"/>
      <c r="EK156" s="177" t="b">
        <v>0</v>
      </c>
      <c r="EL156" s="177" t="b">
        <v>0</v>
      </c>
      <c r="EM156" s="176" t="e">
        <f>(EH156-DW156)/DW156</f>
        <v>#DIV/0!</v>
      </c>
      <c r="EN156" s="176" t="e">
        <f>(EG156-DV156)/DV156</f>
        <v>#DIV/0!</v>
      </c>
      <c r="EO156" s="203">
        <f>ER156 + ABS(EP156) + ABS(EQ156)</f>
        <v>0</v>
      </c>
      <c r="EP156" s="203"/>
      <c r="EQ156" s="203"/>
      <c r="ER156" s="203"/>
      <c r="ES156" s="176"/>
      <c r="ET156" s="176"/>
      <c r="EU156" s="176"/>
      <c r="EV156" s="177" t="b">
        <v>0</v>
      </c>
      <c r="EW156" s="177" t="b">
        <v>0</v>
      </c>
      <c r="EX156" s="176" t="e">
        <f>(ES156-EJ156)/EJ156</f>
        <v>#DIV/0!</v>
      </c>
      <c r="EY156" s="176" t="e">
        <f>(ER156-EG156)/EG156</f>
        <v>#DIV/0!</v>
      </c>
      <c r="EZ156" s="175"/>
      <c r="FA156" s="175"/>
      <c r="FB156" s="175"/>
      <c r="FC156" s="175"/>
      <c r="FD156" s="175"/>
      <c r="FE156" s="175"/>
      <c r="FF156" s="175"/>
      <c r="FG156" s="175"/>
      <c r="FH156" s="175"/>
      <c r="FI156" s="175"/>
      <c r="FJ156" s="175"/>
      <c r="FK156" s="175"/>
      <c r="FL156" s="175"/>
      <c r="FM156" s="175"/>
      <c r="FN156" s="175"/>
      <c r="FO156" s="175"/>
      <c r="FP156" s="175"/>
      <c r="FQ156" s="801"/>
      <c r="FR156" s="175"/>
      <c r="FS156" s="175"/>
      <c r="FT156" s="175"/>
      <c r="FU156" s="175"/>
      <c r="FV156" s="175"/>
      <c r="FW156" s="175"/>
      <c r="FX156" s="175"/>
      <c r="FY156" s="175"/>
      <c r="FZ156" s="175"/>
      <c r="GA156" s="175"/>
      <c r="GB156" s="175"/>
      <c r="GC156" s="175"/>
      <c r="GD156" s="175"/>
      <c r="GE156" s="175"/>
      <c r="GF156" s="175"/>
      <c r="GG156" s="175"/>
      <c r="GH156" s="175"/>
      <c r="GI156" s="175"/>
      <c r="GJ156" s="175"/>
      <c r="GK156" s="175"/>
      <c r="GL156" s="175"/>
      <c r="GM156" s="175"/>
      <c r="GN156" s="175"/>
      <c r="GO156" s="175"/>
      <c r="GP156" s="175"/>
      <c r="GQ156" s="175"/>
      <c r="GR156" s="175"/>
      <c r="GS156" s="175"/>
      <c r="GT156" s="175"/>
      <c r="GU156" s="175"/>
      <c r="GV156" s="175"/>
      <c r="GW156" s="175"/>
      <c r="GX156" s="175"/>
      <c r="GY156" s="175"/>
      <c r="GZ156" s="175"/>
      <c r="HA156" s="175"/>
      <c r="HB156" s="175"/>
      <c r="HC156" s="175"/>
      <c r="HD156" s="175"/>
      <c r="HE156" s="175"/>
      <c r="HF156" s="175"/>
      <c r="HG156" s="175"/>
      <c r="HH156" s="175"/>
      <c r="HI156" s="175"/>
      <c r="HJ156" s="175"/>
      <c r="HK156" s="175"/>
      <c r="HL156" s="175"/>
      <c r="HM156" s="175"/>
    </row>
    <row r="157" spans="1:221" s="353" customFormat="1" ht="15">
      <c r="A157" s="184"/>
      <c r="B157" s="175"/>
      <c r="C157" s="802" t="s">
        <v>581</v>
      </c>
      <c r="D157" s="154">
        <v>1450022</v>
      </c>
      <c r="E157" s="154">
        <v>227</v>
      </c>
      <c r="F157" s="154" t="s">
        <v>584</v>
      </c>
      <c r="G157" s="255" t="s">
        <v>585</v>
      </c>
      <c r="H157" s="171" t="s">
        <v>169</v>
      </c>
      <c r="I157" s="445" t="s">
        <v>170</v>
      </c>
      <c r="J157" s="154"/>
      <c r="K157" s="154"/>
      <c r="L157" s="154"/>
      <c r="M157" s="176"/>
      <c r="N157" s="418">
        <v>107</v>
      </c>
      <c r="O157" s="176"/>
      <c r="P157" s="203">
        <v>704.2</v>
      </c>
      <c r="Q157" s="203"/>
      <c r="R157" s="203">
        <v>13966.67</v>
      </c>
      <c r="S157" s="176">
        <v>524</v>
      </c>
      <c r="T157" s="188" t="s">
        <v>171</v>
      </c>
      <c r="U157" s="176"/>
      <c r="V157" s="176"/>
      <c r="W157" s="176"/>
      <c r="X157" s="203">
        <f t="shared" si="12"/>
        <v>15245.71</v>
      </c>
      <c r="Y157" s="203">
        <v>-731.79</v>
      </c>
      <c r="Z157" s="203">
        <v>0</v>
      </c>
      <c r="AA157" s="203">
        <v>14513.92</v>
      </c>
      <c r="AB157" s="446">
        <v>543</v>
      </c>
      <c r="AC157" s="444" t="s">
        <v>172</v>
      </c>
      <c r="AD157" s="444" t="s">
        <v>173</v>
      </c>
      <c r="AE157" s="177" t="b">
        <v>1</v>
      </c>
      <c r="AF157" s="177" t="b">
        <v>1</v>
      </c>
      <c r="AG157" s="392">
        <f>(AB157-S157)/S157</f>
        <v>3.6259541984732822E-2</v>
      </c>
      <c r="AH157" s="392">
        <f>(AA157-R157)/R157</f>
        <v>3.9182568214184199E-2</v>
      </c>
      <c r="AI157" s="203">
        <f t="shared" si="14"/>
        <v>11244.05</v>
      </c>
      <c r="AJ157" s="368">
        <v>-539.71</v>
      </c>
      <c r="AK157" s="368">
        <v>0</v>
      </c>
      <c r="AL157" s="368">
        <v>10704.34</v>
      </c>
      <c r="AM157" s="1068">
        <v>402</v>
      </c>
      <c r="AN157" s="172">
        <v>46122</v>
      </c>
      <c r="AO157" s="171" t="s">
        <v>174</v>
      </c>
      <c r="AP157" s="861" t="b">
        <v>1</v>
      </c>
      <c r="AQ157" s="861" t="b">
        <v>1</v>
      </c>
      <c r="AR157" s="392">
        <f t="shared" si="13"/>
        <v>-0.25966850828729282</v>
      </c>
      <c r="AS157" s="392">
        <f>(AL157-AA157)/AA157</f>
        <v>-0.26247767660287502</v>
      </c>
      <c r="AT157" s="203">
        <f t="shared" si="15"/>
        <v>0</v>
      </c>
      <c r="AU157" s="203"/>
      <c r="AV157" s="203"/>
      <c r="AW157" s="203"/>
      <c r="AX157" s="176"/>
      <c r="AY157" s="176"/>
      <c r="AZ157" s="176"/>
      <c r="BA157" s="177" t="b">
        <v>0</v>
      </c>
      <c r="BB157" s="177" t="b">
        <v>0</v>
      </c>
      <c r="BC157" s="176">
        <f>(AX157-AM157)/AM157</f>
        <v>-1</v>
      </c>
      <c r="BD157" s="176">
        <f>(AW157-AL157)/AL157</f>
        <v>-1</v>
      </c>
      <c r="BE157" s="203">
        <f>BH157 + ABS(BF157) + ABS(BG157)</f>
        <v>0</v>
      </c>
      <c r="BF157" s="203"/>
      <c r="BG157" s="203"/>
      <c r="BH157" s="203"/>
      <c r="BI157" s="176"/>
      <c r="BJ157" s="176"/>
      <c r="BK157" s="176"/>
      <c r="BL157" s="177" t="b">
        <v>0</v>
      </c>
      <c r="BM157" s="177" t="b">
        <v>0</v>
      </c>
      <c r="BN157" s="176" t="e">
        <f>(BI157-AZ157)/AZ157</f>
        <v>#DIV/0!</v>
      </c>
      <c r="BO157" s="176" t="e">
        <f>(BH157-AW157)/AW157</f>
        <v>#DIV/0!</v>
      </c>
      <c r="BP157" s="203">
        <f>BS157 + ABS(BQ157) + ABS(BR157)</f>
        <v>0</v>
      </c>
      <c r="BQ157" s="203"/>
      <c r="BR157" s="203"/>
      <c r="BS157" s="203"/>
      <c r="BT157" s="176"/>
      <c r="BU157" s="176"/>
      <c r="BV157" s="176"/>
      <c r="BW157" s="177" t="b">
        <v>0</v>
      </c>
      <c r="BX157" s="177" t="b">
        <v>0</v>
      </c>
      <c r="BY157" s="176" t="e">
        <f>(BT157-BI157)/BI157</f>
        <v>#DIV/0!</v>
      </c>
      <c r="BZ157" s="176" t="e">
        <f>(BS157-BH157)/BH157</f>
        <v>#DIV/0!</v>
      </c>
      <c r="CA157" s="203">
        <f>CD157 + ABS(CB157) + ABS(CC157)</f>
        <v>0</v>
      </c>
      <c r="CB157" s="203"/>
      <c r="CC157" s="203"/>
      <c r="CD157" s="203"/>
      <c r="CE157" s="176"/>
      <c r="CF157" s="176"/>
      <c r="CG157" s="176"/>
      <c r="CH157" s="177" t="b">
        <v>0</v>
      </c>
      <c r="CI157" s="177" t="b">
        <v>0</v>
      </c>
      <c r="CJ157" s="176" t="e">
        <f>(CE157-BV157)/BV157</f>
        <v>#DIV/0!</v>
      </c>
      <c r="CK157" s="176" t="e">
        <f>(CD157-BS157)/BS157</f>
        <v>#DIV/0!</v>
      </c>
      <c r="CL157" s="203">
        <f>CO157 + ABS(CM157) + ABS(CN157)</f>
        <v>0</v>
      </c>
      <c r="CM157" s="203"/>
      <c r="CN157" s="203"/>
      <c r="CO157" s="203"/>
      <c r="CP157" s="176"/>
      <c r="CQ157" s="176"/>
      <c r="CR157" s="176"/>
      <c r="CS157" s="177" t="b">
        <v>0</v>
      </c>
      <c r="CT157" s="177" t="b">
        <v>0</v>
      </c>
      <c r="CU157" s="176" t="e">
        <f>(CP157-CE157)/CE157</f>
        <v>#DIV/0!</v>
      </c>
      <c r="CV157" s="176" t="e">
        <f>(CO157-CD157)/CD157</f>
        <v>#DIV/0!</v>
      </c>
      <c r="CW157" s="203">
        <f>CZ157 + ABS(CX157) + ABS(CY157)</f>
        <v>0</v>
      </c>
      <c r="CX157" s="203"/>
      <c r="CY157" s="203"/>
      <c r="CZ157" s="203"/>
      <c r="DA157" s="176"/>
      <c r="DB157" s="176"/>
      <c r="DC157" s="176"/>
      <c r="DD157" s="177" t="b">
        <v>0</v>
      </c>
      <c r="DE157" s="177" t="b">
        <v>0</v>
      </c>
      <c r="DF157" s="176" t="e">
        <f>(DA157-CR157)/CR157</f>
        <v>#DIV/0!</v>
      </c>
      <c r="DG157" s="176" t="e">
        <f>(CZ157-CO157)/CO157</f>
        <v>#DIV/0!</v>
      </c>
      <c r="DH157" s="203">
        <f>DK157 + ABS(DI157) + ABS(DJ157)</f>
        <v>0</v>
      </c>
      <c r="DI157" s="203"/>
      <c r="DJ157" s="203"/>
      <c r="DK157" s="203"/>
      <c r="DL157" s="176"/>
      <c r="DM157" s="176"/>
      <c r="DN157" s="176"/>
      <c r="DO157" s="177" t="b">
        <v>0</v>
      </c>
      <c r="DP157" s="177" t="b">
        <v>0</v>
      </c>
      <c r="DQ157" s="176" t="e">
        <f>(DL157-DA157)/DA157</f>
        <v>#DIV/0!</v>
      </c>
      <c r="DR157" s="176" t="e">
        <f>(DK157-CZ157)/CZ157</f>
        <v>#DIV/0!</v>
      </c>
      <c r="DS157" s="203">
        <f>DV157 + ABS(DT157) + ABS(DU157)</f>
        <v>0</v>
      </c>
      <c r="DT157" s="203"/>
      <c r="DU157" s="203"/>
      <c r="DV157" s="203"/>
      <c r="DW157" s="176"/>
      <c r="DX157" s="176"/>
      <c r="DY157" s="176"/>
      <c r="DZ157" s="177" t="b">
        <v>0</v>
      </c>
      <c r="EA157" s="177" t="b">
        <v>0</v>
      </c>
      <c r="EB157" s="176" t="e">
        <f>(DW157-DN157)/DN157</f>
        <v>#DIV/0!</v>
      </c>
      <c r="EC157" s="176" t="e">
        <f>(DV157-DK157)/DK157</f>
        <v>#DIV/0!</v>
      </c>
      <c r="ED157" s="203">
        <f>EG157 + ABS(EE157) + ABS(EF157)</f>
        <v>0</v>
      </c>
      <c r="EE157" s="203"/>
      <c r="EF157" s="203"/>
      <c r="EG157" s="203"/>
      <c r="EH157" s="176"/>
      <c r="EI157" s="176"/>
      <c r="EJ157" s="176"/>
      <c r="EK157" s="177" t="b">
        <v>0</v>
      </c>
      <c r="EL157" s="177" t="b">
        <v>0</v>
      </c>
      <c r="EM157" s="176" t="e">
        <f>(EH157-DW157)/DW157</f>
        <v>#DIV/0!</v>
      </c>
      <c r="EN157" s="176" t="e">
        <f>(EG157-DV157)/DV157</f>
        <v>#DIV/0!</v>
      </c>
      <c r="EO157" s="203">
        <f>ER157 + ABS(EP157) + ABS(EQ157)</f>
        <v>0</v>
      </c>
      <c r="EP157" s="203"/>
      <c r="EQ157" s="203"/>
      <c r="ER157" s="203"/>
      <c r="ES157" s="176"/>
      <c r="ET157" s="176"/>
      <c r="EU157" s="176"/>
      <c r="EV157" s="177" t="b">
        <v>0</v>
      </c>
      <c r="EW157" s="177" t="b">
        <v>0</v>
      </c>
      <c r="EX157" s="176" t="e">
        <f>(ES157-EJ157)/EJ157</f>
        <v>#DIV/0!</v>
      </c>
      <c r="EY157" s="176" t="e">
        <f>(ER157-EG157)/EG157</f>
        <v>#DIV/0!</v>
      </c>
      <c r="EZ157" s="175"/>
      <c r="FA157" s="175"/>
      <c r="FB157" s="175"/>
      <c r="FC157" s="175"/>
      <c r="FD157" s="175"/>
      <c r="FE157" s="175"/>
      <c r="FF157" s="175"/>
      <c r="FG157" s="175"/>
      <c r="FH157" s="175"/>
      <c r="FI157" s="175"/>
      <c r="FJ157" s="175"/>
      <c r="FK157" s="175"/>
      <c r="FL157" s="175"/>
      <c r="FM157" s="175"/>
      <c r="FN157" s="175"/>
      <c r="FO157" s="175"/>
      <c r="FP157" s="175"/>
      <c r="FQ157" s="801"/>
      <c r="FR157" s="175"/>
      <c r="FS157" s="175"/>
      <c r="FT157" s="175"/>
      <c r="FU157" s="175"/>
      <c r="FV157" s="175"/>
      <c r="FW157" s="175"/>
      <c r="FX157" s="175"/>
      <c r="FY157" s="175"/>
      <c r="FZ157" s="175"/>
      <c r="GA157" s="175"/>
      <c r="GB157" s="175"/>
      <c r="GC157" s="175"/>
      <c r="GD157" s="175"/>
      <c r="GE157" s="175"/>
      <c r="GF157" s="175"/>
      <c r="GG157" s="175"/>
      <c r="GH157" s="175"/>
      <c r="GI157" s="175"/>
      <c r="GJ157" s="175"/>
      <c r="GK157" s="175"/>
      <c r="GL157" s="175"/>
      <c r="GM157" s="175"/>
      <c r="GN157" s="175"/>
      <c r="GO157" s="175"/>
      <c r="GP157" s="175"/>
      <c r="GQ157" s="175"/>
      <c r="GR157" s="175"/>
      <c r="GS157" s="175"/>
      <c r="GT157" s="175"/>
      <c r="GU157" s="175"/>
      <c r="GV157" s="175"/>
      <c r="GW157" s="175"/>
      <c r="GX157" s="175"/>
      <c r="GY157" s="175"/>
      <c r="GZ157" s="175"/>
      <c r="HA157" s="175"/>
      <c r="HB157" s="175"/>
      <c r="HC157" s="175"/>
      <c r="HD157" s="175"/>
      <c r="HE157" s="175"/>
      <c r="HF157" s="175"/>
      <c r="HG157" s="175"/>
      <c r="HH157" s="175"/>
      <c r="HI157" s="175"/>
      <c r="HJ157" s="175"/>
      <c r="HK157" s="175"/>
      <c r="HL157" s="175"/>
      <c r="HM157" s="175"/>
    </row>
    <row r="158" spans="1:221" ht="15">
      <c r="B158" s="175"/>
      <c r="C158" s="800" t="s">
        <v>586</v>
      </c>
      <c r="D158" s="357">
        <v>1450022</v>
      </c>
      <c r="E158" s="357">
        <v>363</v>
      </c>
      <c r="F158" s="357" t="s">
        <v>587</v>
      </c>
      <c r="G158" s="426" t="s">
        <v>588</v>
      </c>
      <c r="H158" s="148" t="s">
        <v>169</v>
      </c>
      <c r="I158" s="448" t="s">
        <v>170</v>
      </c>
      <c r="J158" s="357"/>
      <c r="K158" s="357"/>
      <c r="L158" s="357"/>
      <c r="M158" s="358"/>
      <c r="N158" s="359">
        <v>107</v>
      </c>
      <c r="O158" s="358"/>
      <c r="P158" s="402">
        <v>6.4</v>
      </c>
      <c r="Q158" s="402"/>
      <c r="R158" s="402">
        <v>126.99</v>
      </c>
      <c r="S158" s="358">
        <v>8</v>
      </c>
      <c r="T158" s="188" t="s">
        <v>171</v>
      </c>
      <c r="U158" s="358"/>
      <c r="V158" s="358"/>
      <c r="W158" s="358"/>
      <c r="X158" s="402">
        <f t="shared" si="12"/>
        <v>108.35000000000001</v>
      </c>
      <c r="Y158" s="402">
        <v>-5.2</v>
      </c>
      <c r="Z158" s="402">
        <v>0</v>
      </c>
      <c r="AA158" s="402">
        <v>103.15</v>
      </c>
      <c r="AB158" s="357">
        <v>6</v>
      </c>
      <c r="AC158" s="426" t="s">
        <v>172</v>
      </c>
      <c r="AD158" s="426" t="s">
        <v>173</v>
      </c>
      <c r="AE158" s="164" t="b">
        <v>1</v>
      </c>
      <c r="AF158" s="164" t="b">
        <v>1</v>
      </c>
      <c r="AG158" s="409">
        <f>(AB158-S158)/S158</f>
        <v>-0.25</v>
      </c>
      <c r="AH158" s="409">
        <f>(AA158-R158)/R158</f>
        <v>-0.18773131742656896</v>
      </c>
      <c r="AI158" s="402">
        <f t="shared" si="14"/>
        <v>218.16</v>
      </c>
      <c r="AJ158" s="364">
        <v>-10.47</v>
      </c>
      <c r="AK158" s="364">
        <v>0</v>
      </c>
      <c r="AL158" s="364">
        <v>207.69</v>
      </c>
      <c r="AM158" s="1069">
        <v>13</v>
      </c>
      <c r="AN158" s="407">
        <v>46122</v>
      </c>
      <c r="AO158" s="148" t="s">
        <v>174</v>
      </c>
      <c r="AP158" s="860" t="b">
        <v>1</v>
      </c>
      <c r="AQ158" s="860" t="b">
        <v>1</v>
      </c>
      <c r="AR158" s="409">
        <f t="shared" si="13"/>
        <v>1.1666666666666667</v>
      </c>
      <c r="AS158" s="409">
        <f>(AL158-AA158)/AA158</f>
        <v>1.0134755210857973</v>
      </c>
      <c r="AT158" s="402">
        <f t="shared" si="15"/>
        <v>0</v>
      </c>
      <c r="AU158" s="402"/>
      <c r="AV158" s="402"/>
      <c r="AW158" s="402"/>
      <c r="AX158" s="358"/>
      <c r="AY158" s="358"/>
      <c r="AZ158" s="358"/>
      <c r="BA158" s="164" t="b">
        <v>0</v>
      </c>
      <c r="BB158" s="164" t="b">
        <v>0</v>
      </c>
      <c r="BC158" s="358">
        <f>(AX158-AM158)/AM158</f>
        <v>-1</v>
      </c>
      <c r="BD158" s="358">
        <f>(AW158-AL158)/AL158</f>
        <v>-1</v>
      </c>
      <c r="BE158" s="402">
        <f>BH158 + ABS(BF158) + ABS(BG158)</f>
        <v>0</v>
      </c>
      <c r="BF158" s="402"/>
      <c r="BG158" s="402"/>
      <c r="BH158" s="402"/>
      <c r="BI158" s="358"/>
      <c r="BJ158" s="358"/>
      <c r="BK158" s="358"/>
      <c r="BL158" s="164" t="b">
        <v>0</v>
      </c>
      <c r="BM158" s="164" t="b">
        <v>0</v>
      </c>
      <c r="BN158" s="358" t="e">
        <f>(BI158-AZ158)/AZ158</f>
        <v>#DIV/0!</v>
      </c>
      <c r="BO158" s="358" t="e">
        <f>(BH158-AW158)/AW158</f>
        <v>#DIV/0!</v>
      </c>
      <c r="BP158" s="402">
        <f>BS158 + ABS(BQ158) + ABS(BR158)</f>
        <v>0</v>
      </c>
      <c r="BQ158" s="402"/>
      <c r="BR158" s="402"/>
      <c r="BS158" s="402"/>
      <c r="BT158" s="358"/>
      <c r="BU158" s="358"/>
      <c r="BV158" s="358"/>
      <c r="BW158" s="164" t="b">
        <v>0</v>
      </c>
      <c r="BX158" s="164" t="b">
        <v>0</v>
      </c>
      <c r="BY158" s="358" t="e">
        <f>(BT158-BI158)/BI158</f>
        <v>#DIV/0!</v>
      </c>
      <c r="BZ158" s="358" t="e">
        <f>(BS158-BH158)/BH158</f>
        <v>#DIV/0!</v>
      </c>
      <c r="CA158" s="402">
        <f>CD158 + ABS(CB158) + ABS(CC158)</f>
        <v>0</v>
      </c>
      <c r="CB158" s="402"/>
      <c r="CC158" s="402"/>
      <c r="CD158" s="402"/>
      <c r="CE158" s="358"/>
      <c r="CF158" s="358"/>
      <c r="CG158" s="358"/>
      <c r="CH158" s="164" t="b">
        <v>0</v>
      </c>
      <c r="CI158" s="164" t="b">
        <v>0</v>
      </c>
      <c r="CJ158" s="358" t="e">
        <f>(CE158-BV158)/BV158</f>
        <v>#DIV/0!</v>
      </c>
      <c r="CK158" s="358" t="e">
        <f>(CD158-BS158)/BS158</f>
        <v>#DIV/0!</v>
      </c>
      <c r="CL158" s="402">
        <f>CO158 + ABS(CM158) + ABS(CN158)</f>
        <v>0</v>
      </c>
      <c r="CM158" s="402"/>
      <c r="CN158" s="402"/>
      <c r="CO158" s="402"/>
      <c r="CP158" s="358"/>
      <c r="CQ158" s="358"/>
      <c r="CR158" s="358"/>
      <c r="CS158" s="164" t="b">
        <v>0</v>
      </c>
      <c r="CT158" s="164" t="b">
        <v>0</v>
      </c>
      <c r="CU158" s="358" t="e">
        <f>(CP158-CE158)/CE158</f>
        <v>#DIV/0!</v>
      </c>
      <c r="CV158" s="358" t="e">
        <f>(CO158-CD158)/CD158</f>
        <v>#DIV/0!</v>
      </c>
      <c r="CW158" s="402">
        <f>CZ158 + ABS(CX158) + ABS(CY158)</f>
        <v>0</v>
      </c>
      <c r="CX158" s="402"/>
      <c r="CY158" s="402"/>
      <c r="CZ158" s="402"/>
      <c r="DA158" s="358"/>
      <c r="DB158" s="358"/>
      <c r="DC158" s="358"/>
      <c r="DD158" s="164" t="b">
        <v>0</v>
      </c>
      <c r="DE158" s="164" t="b">
        <v>0</v>
      </c>
      <c r="DF158" s="358" t="e">
        <f>(DA158-CR158)/CR158</f>
        <v>#DIV/0!</v>
      </c>
      <c r="DG158" s="358" t="e">
        <f>(CZ158-CO158)/CO158</f>
        <v>#DIV/0!</v>
      </c>
      <c r="DH158" s="402">
        <f>DK158 + ABS(DI158) + ABS(DJ158)</f>
        <v>0</v>
      </c>
      <c r="DI158" s="402"/>
      <c r="DJ158" s="402"/>
      <c r="DK158" s="402"/>
      <c r="DL158" s="358"/>
      <c r="DM158" s="358"/>
      <c r="DN158" s="358"/>
      <c r="DO158" s="164" t="b">
        <v>0</v>
      </c>
      <c r="DP158" s="164" t="b">
        <v>0</v>
      </c>
      <c r="DQ158" s="358" t="e">
        <f>(DL158-DA158)/DA158</f>
        <v>#DIV/0!</v>
      </c>
      <c r="DR158" s="358" t="e">
        <f>(DK158-CZ158)/CZ158</f>
        <v>#DIV/0!</v>
      </c>
      <c r="DS158" s="402">
        <f>DV158 + ABS(DT158) + ABS(DU158)</f>
        <v>0</v>
      </c>
      <c r="DT158" s="402"/>
      <c r="DU158" s="402"/>
      <c r="DV158" s="402"/>
      <c r="DW158" s="358"/>
      <c r="DX158" s="358"/>
      <c r="DY158" s="358"/>
      <c r="DZ158" s="164" t="b">
        <v>0</v>
      </c>
      <c r="EA158" s="164" t="b">
        <v>0</v>
      </c>
      <c r="EB158" s="358" t="e">
        <f>(DW158-DN158)/DN158</f>
        <v>#DIV/0!</v>
      </c>
      <c r="EC158" s="358" t="e">
        <f>(DV158-DK158)/DK158</f>
        <v>#DIV/0!</v>
      </c>
      <c r="ED158" s="402">
        <f>EG158 + ABS(EE158) + ABS(EF158)</f>
        <v>0</v>
      </c>
      <c r="EE158" s="402"/>
      <c r="EF158" s="402"/>
      <c r="EG158" s="402"/>
      <c r="EH158" s="358"/>
      <c r="EI158" s="358"/>
      <c r="EJ158" s="358"/>
      <c r="EK158" s="164" t="b">
        <v>0</v>
      </c>
      <c r="EL158" s="164" t="b">
        <v>0</v>
      </c>
      <c r="EM158" s="358" t="e">
        <f>(EH158-DW158)/DW158</f>
        <v>#DIV/0!</v>
      </c>
      <c r="EN158" s="358" t="e">
        <f>(EG158-DV158)/DV158</f>
        <v>#DIV/0!</v>
      </c>
      <c r="EO158" s="402">
        <f>ER158 + ABS(EP158) + ABS(EQ158)</f>
        <v>0</v>
      </c>
      <c r="EP158" s="402"/>
      <c r="EQ158" s="402"/>
      <c r="ER158" s="402"/>
      <c r="ES158" s="358"/>
      <c r="ET158" s="358"/>
      <c r="EU158" s="358"/>
      <c r="EV158" s="164" t="b">
        <v>0</v>
      </c>
      <c r="EW158" s="164" t="b">
        <v>0</v>
      </c>
      <c r="EX158" s="358" t="e">
        <f>(ES158-EJ158)/EJ158</f>
        <v>#DIV/0!</v>
      </c>
      <c r="EY158" s="358" t="e">
        <f>(ER158-EG158)/EG158</f>
        <v>#DIV/0!</v>
      </c>
      <c r="EZ158" s="449"/>
      <c r="FA158" s="449"/>
      <c r="FB158" s="449"/>
      <c r="FC158" s="449"/>
      <c r="FD158" s="449"/>
      <c r="FE158" s="449"/>
      <c r="FF158" s="449"/>
      <c r="FG158" s="449"/>
      <c r="FH158" s="449"/>
      <c r="FI158" s="449"/>
      <c r="FJ158" s="449"/>
      <c r="FK158" s="449"/>
      <c r="FL158" s="449"/>
      <c r="FM158" s="175"/>
      <c r="FN158" s="175"/>
      <c r="FO158" s="175"/>
      <c r="FP158" s="175"/>
      <c r="FQ158" s="801"/>
      <c r="FR158" s="175"/>
      <c r="FS158" s="175"/>
      <c r="FT158" s="175"/>
      <c r="FU158" s="175"/>
      <c r="FV158" s="175"/>
      <c r="FW158" s="175"/>
      <c r="FX158" s="175"/>
      <c r="FY158" s="175"/>
      <c r="FZ158" s="175"/>
      <c r="GA158" s="175"/>
      <c r="GB158" s="175"/>
      <c r="GC158" s="175"/>
      <c r="GD158" s="175"/>
      <c r="GE158" s="175"/>
      <c r="GF158" s="175"/>
      <c r="GG158" s="175"/>
      <c r="GH158" s="175"/>
      <c r="GI158" s="175"/>
      <c r="GJ158" s="175"/>
      <c r="GK158" s="175"/>
      <c r="GL158" s="175"/>
      <c r="GM158" s="175"/>
      <c r="GN158" s="175"/>
      <c r="GO158" s="175"/>
      <c r="GP158" s="175"/>
      <c r="GQ158" s="175"/>
      <c r="GR158" s="175"/>
      <c r="GS158" s="175"/>
      <c r="GT158" s="175"/>
      <c r="GU158" s="175"/>
      <c r="GV158" s="175"/>
      <c r="GW158" s="175"/>
      <c r="GX158" s="175"/>
      <c r="GY158" s="175"/>
      <c r="GZ158" s="175"/>
      <c r="HA158" s="175"/>
      <c r="HB158" s="175"/>
      <c r="HC158" s="175"/>
      <c r="HD158" s="175"/>
      <c r="HE158" s="175"/>
      <c r="HF158" s="175"/>
      <c r="HG158" s="175"/>
      <c r="HH158" s="175"/>
      <c r="HI158" s="175"/>
      <c r="HJ158" s="175"/>
      <c r="HK158" s="175"/>
      <c r="HL158" s="175"/>
      <c r="HM158" s="175"/>
    </row>
    <row r="159" spans="1:221" ht="15">
      <c r="B159" s="175"/>
      <c r="C159" s="802" t="s">
        <v>589</v>
      </c>
      <c r="D159" s="154">
        <v>1450022</v>
      </c>
      <c r="E159" s="154">
        <v>324</v>
      </c>
      <c r="F159" s="154" t="s">
        <v>590</v>
      </c>
      <c r="G159" s="255" t="s">
        <v>591</v>
      </c>
      <c r="H159" s="171" t="s">
        <v>169</v>
      </c>
      <c r="I159" s="445" t="s">
        <v>170</v>
      </c>
      <c r="J159" s="154"/>
      <c r="K159" s="154"/>
      <c r="L159" s="154"/>
      <c r="M159" s="176"/>
      <c r="N159" s="418">
        <v>107</v>
      </c>
      <c r="O159" s="176"/>
      <c r="P159" s="203">
        <v>586.64</v>
      </c>
      <c r="Q159" s="203"/>
      <c r="R159" s="203">
        <v>11634.93</v>
      </c>
      <c r="S159" s="176">
        <v>742</v>
      </c>
      <c r="T159" s="188" t="s">
        <v>171</v>
      </c>
      <c r="U159" s="176"/>
      <c r="V159" s="176"/>
      <c r="W159" s="176"/>
      <c r="X159" s="203">
        <f t="shared" si="12"/>
        <v>12808.93</v>
      </c>
      <c r="Y159" s="203">
        <v>-614.83000000000004</v>
      </c>
      <c r="Z159" s="203">
        <v>0</v>
      </c>
      <c r="AA159" s="203">
        <v>12194.1</v>
      </c>
      <c r="AB159" s="154">
        <v>769</v>
      </c>
      <c r="AC159" s="444" t="s">
        <v>172</v>
      </c>
      <c r="AD159" s="444" t="s">
        <v>173</v>
      </c>
      <c r="AE159" s="177" t="b">
        <v>1</v>
      </c>
      <c r="AF159" s="177" t="b">
        <v>1</v>
      </c>
      <c r="AG159" s="392">
        <f>(AB159-S159)/S159</f>
        <v>3.638814016172507E-2</v>
      </c>
      <c r="AH159" s="392">
        <f>(AA159-R159)/R159</f>
        <v>4.8059592967039773E-2</v>
      </c>
      <c r="AI159" s="203">
        <f t="shared" si="14"/>
        <v>11331.5</v>
      </c>
      <c r="AJ159" s="368">
        <v>-543.91</v>
      </c>
      <c r="AK159" s="368">
        <v>0</v>
      </c>
      <c r="AL159" s="368">
        <v>10787.59</v>
      </c>
      <c r="AM159" s="1068">
        <v>660</v>
      </c>
      <c r="AN159" s="172">
        <v>46122</v>
      </c>
      <c r="AO159" s="171" t="s">
        <v>174</v>
      </c>
      <c r="AP159" s="861" t="b">
        <v>1</v>
      </c>
      <c r="AQ159" s="861" t="b">
        <v>1</v>
      </c>
      <c r="AR159" s="392">
        <f t="shared" si="13"/>
        <v>-0.14174252275682706</v>
      </c>
      <c r="AS159" s="392">
        <f>(AL159-AA159)/AA159</f>
        <v>-0.11534348578410872</v>
      </c>
      <c r="AT159" s="203">
        <f t="shared" si="15"/>
        <v>0</v>
      </c>
      <c r="AU159" s="203"/>
      <c r="AV159" s="203"/>
      <c r="AW159" s="203"/>
      <c r="AX159" s="176"/>
      <c r="AY159" s="176"/>
      <c r="AZ159" s="176"/>
      <c r="BA159" s="177" t="b">
        <v>0</v>
      </c>
      <c r="BB159" s="177" t="b">
        <v>0</v>
      </c>
      <c r="BC159" s="176">
        <f>(AX159-AM159)/AM159</f>
        <v>-1</v>
      </c>
      <c r="BD159" s="176">
        <f>(AW159-AL159)/AL159</f>
        <v>-1</v>
      </c>
      <c r="BE159" s="203">
        <f>BH159 + ABS(BF159) + ABS(BG159)</f>
        <v>0</v>
      </c>
      <c r="BF159" s="203"/>
      <c r="BG159" s="203"/>
      <c r="BH159" s="203"/>
      <c r="BI159" s="176"/>
      <c r="BJ159" s="176"/>
      <c r="BK159" s="176"/>
      <c r="BL159" s="177" t="b">
        <v>0</v>
      </c>
      <c r="BM159" s="177" t="b">
        <v>0</v>
      </c>
      <c r="BN159" s="176" t="e">
        <f>(BI159-AZ159)/AZ159</f>
        <v>#DIV/0!</v>
      </c>
      <c r="BO159" s="176" t="e">
        <f>(BH159-AW159)/AW159</f>
        <v>#DIV/0!</v>
      </c>
      <c r="BP159" s="203">
        <f>BS159 + ABS(BQ159) + ABS(BR159)</f>
        <v>0</v>
      </c>
      <c r="BQ159" s="203"/>
      <c r="BR159" s="203"/>
      <c r="BS159" s="203"/>
      <c r="BT159" s="176"/>
      <c r="BU159" s="176"/>
      <c r="BV159" s="176"/>
      <c r="BW159" s="177" t="b">
        <v>0</v>
      </c>
      <c r="BX159" s="177" t="b">
        <v>0</v>
      </c>
      <c r="BY159" s="176" t="e">
        <f>(BT159-BI159)/BI159</f>
        <v>#DIV/0!</v>
      </c>
      <c r="BZ159" s="176" t="e">
        <f>(BS159-BH159)/BH159</f>
        <v>#DIV/0!</v>
      </c>
      <c r="CA159" s="203">
        <f>CD159 + ABS(CB159) + ABS(CC159)</f>
        <v>0</v>
      </c>
      <c r="CB159" s="203"/>
      <c r="CC159" s="203"/>
      <c r="CD159" s="203"/>
      <c r="CE159" s="176"/>
      <c r="CF159" s="176"/>
      <c r="CG159" s="176"/>
      <c r="CH159" s="177" t="b">
        <v>0</v>
      </c>
      <c r="CI159" s="177" t="b">
        <v>0</v>
      </c>
      <c r="CJ159" s="176" t="e">
        <f>(CE159-BV159)/BV159</f>
        <v>#DIV/0!</v>
      </c>
      <c r="CK159" s="176" t="e">
        <f>(CD159-BS159)/BS159</f>
        <v>#DIV/0!</v>
      </c>
      <c r="CL159" s="203">
        <f>CO159 + ABS(CM159) + ABS(CN159)</f>
        <v>0</v>
      </c>
      <c r="CM159" s="203"/>
      <c r="CN159" s="203"/>
      <c r="CO159" s="203"/>
      <c r="CP159" s="176"/>
      <c r="CQ159" s="176"/>
      <c r="CR159" s="176"/>
      <c r="CS159" s="177" t="b">
        <v>0</v>
      </c>
      <c r="CT159" s="177" t="b">
        <v>0</v>
      </c>
      <c r="CU159" s="176" t="e">
        <f>(CP159-CE159)/CE159</f>
        <v>#DIV/0!</v>
      </c>
      <c r="CV159" s="176" t="e">
        <f>(CO159-CD159)/CD159</f>
        <v>#DIV/0!</v>
      </c>
      <c r="CW159" s="203">
        <f>CZ159 + ABS(CX159) + ABS(CY159)</f>
        <v>0</v>
      </c>
      <c r="CX159" s="203"/>
      <c r="CY159" s="203"/>
      <c r="CZ159" s="203"/>
      <c r="DA159" s="176"/>
      <c r="DB159" s="176"/>
      <c r="DC159" s="176"/>
      <c r="DD159" s="177" t="b">
        <v>0</v>
      </c>
      <c r="DE159" s="177" t="b">
        <v>0</v>
      </c>
      <c r="DF159" s="176" t="e">
        <f>(DA159-CR159)/CR159</f>
        <v>#DIV/0!</v>
      </c>
      <c r="DG159" s="176" t="e">
        <f>(CZ159-CO159)/CO159</f>
        <v>#DIV/0!</v>
      </c>
      <c r="DH159" s="203">
        <f>DK159 + ABS(DI159) + ABS(DJ159)</f>
        <v>0</v>
      </c>
      <c r="DI159" s="203"/>
      <c r="DJ159" s="203"/>
      <c r="DK159" s="203"/>
      <c r="DL159" s="176"/>
      <c r="DM159" s="176"/>
      <c r="DN159" s="176"/>
      <c r="DO159" s="177" t="b">
        <v>0</v>
      </c>
      <c r="DP159" s="177" t="b">
        <v>0</v>
      </c>
      <c r="DQ159" s="176" t="e">
        <f>(DL159-DA159)/DA159</f>
        <v>#DIV/0!</v>
      </c>
      <c r="DR159" s="176" t="e">
        <f>(DK159-CZ159)/CZ159</f>
        <v>#DIV/0!</v>
      </c>
      <c r="DS159" s="203">
        <f>DV159 + ABS(DT159) + ABS(DU159)</f>
        <v>0</v>
      </c>
      <c r="DT159" s="203"/>
      <c r="DU159" s="203"/>
      <c r="DV159" s="203"/>
      <c r="DW159" s="176"/>
      <c r="DX159" s="176"/>
      <c r="DY159" s="176"/>
      <c r="DZ159" s="177" t="b">
        <v>0</v>
      </c>
      <c r="EA159" s="177" t="b">
        <v>0</v>
      </c>
      <c r="EB159" s="176" t="e">
        <f>(DW159-DN159)/DN159</f>
        <v>#DIV/0!</v>
      </c>
      <c r="EC159" s="176" t="e">
        <f>(DV159-DK159)/DK159</f>
        <v>#DIV/0!</v>
      </c>
      <c r="ED159" s="203">
        <f>EG159 + ABS(EE159) + ABS(EF159)</f>
        <v>0</v>
      </c>
      <c r="EE159" s="203"/>
      <c r="EF159" s="203"/>
      <c r="EG159" s="203"/>
      <c r="EH159" s="176"/>
      <c r="EI159" s="176"/>
      <c r="EJ159" s="176"/>
      <c r="EK159" s="177" t="b">
        <v>0</v>
      </c>
      <c r="EL159" s="177" t="b">
        <v>0</v>
      </c>
      <c r="EM159" s="176" t="e">
        <f>(EH159-DW159)/DW159</f>
        <v>#DIV/0!</v>
      </c>
      <c r="EN159" s="176" t="e">
        <f>(EG159-DV159)/DV159</f>
        <v>#DIV/0!</v>
      </c>
      <c r="EO159" s="203">
        <f>ER159 + ABS(EP159) + ABS(EQ159)</f>
        <v>0</v>
      </c>
      <c r="EP159" s="203"/>
      <c r="EQ159" s="203"/>
      <c r="ER159" s="203"/>
      <c r="ES159" s="176"/>
      <c r="ET159" s="176"/>
      <c r="EU159" s="176"/>
      <c r="EV159" s="177" t="b">
        <v>0</v>
      </c>
      <c r="EW159" s="177" t="b">
        <v>0</v>
      </c>
      <c r="EX159" s="176" t="e">
        <f>(ES159-EJ159)/EJ159</f>
        <v>#DIV/0!</v>
      </c>
      <c r="EY159" s="176" t="e">
        <f>(ER159-EG159)/EG159</f>
        <v>#DIV/0!</v>
      </c>
      <c r="EZ159" s="175"/>
      <c r="FA159" s="175"/>
      <c r="FB159" s="175"/>
      <c r="FC159" s="175"/>
      <c r="FD159" s="175"/>
      <c r="FE159" s="175"/>
      <c r="FF159" s="175"/>
      <c r="FG159" s="175"/>
      <c r="FH159" s="175"/>
      <c r="FI159" s="175"/>
      <c r="FJ159" s="175"/>
      <c r="FK159" s="175"/>
      <c r="FL159" s="175"/>
      <c r="FM159" s="175"/>
      <c r="FN159" s="175"/>
      <c r="FO159" s="175"/>
      <c r="FP159" s="175"/>
      <c r="FQ159" s="801"/>
      <c r="FR159" s="175"/>
      <c r="FS159" s="175"/>
      <c r="FT159" s="175"/>
      <c r="FU159" s="175"/>
      <c r="FV159" s="175"/>
      <c r="FW159" s="175"/>
      <c r="FX159" s="175"/>
      <c r="FY159" s="175"/>
      <c r="FZ159" s="175"/>
      <c r="GA159" s="175"/>
      <c r="GB159" s="175"/>
      <c r="GC159" s="175"/>
      <c r="GD159" s="175"/>
      <c r="GE159" s="175"/>
      <c r="GF159" s="175"/>
      <c r="GG159" s="175"/>
      <c r="GH159" s="175"/>
      <c r="GI159" s="175"/>
      <c r="GJ159" s="175"/>
      <c r="GK159" s="175"/>
      <c r="GL159" s="175"/>
      <c r="GM159" s="175"/>
      <c r="GN159" s="175"/>
      <c r="GO159" s="175"/>
      <c r="GP159" s="175"/>
      <c r="GQ159" s="175"/>
      <c r="GR159" s="175"/>
      <c r="GS159" s="175"/>
      <c r="GT159" s="175"/>
      <c r="GU159" s="175"/>
      <c r="GV159" s="175"/>
      <c r="GW159" s="175"/>
      <c r="GX159" s="175"/>
      <c r="GY159" s="175"/>
      <c r="GZ159" s="175"/>
      <c r="HA159" s="175"/>
      <c r="HB159" s="175"/>
      <c r="HC159" s="175"/>
      <c r="HD159" s="175"/>
      <c r="HE159" s="175"/>
      <c r="HF159" s="175"/>
      <c r="HG159" s="175"/>
      <c r="HH159" s="175"/>
      <c r="HI159" s="175"/>
      <c r="HJ159" s="175"/>
      <c r="HK159" s="175"/>
      <c r="HL159" s="175"/>
      <c r="HM159" s="175"/>
    </row>
    <row r="160" spans="1:221" ht="15">
      <c r="B160" s="175"/>
      <c r="C160" s="800" t="s">
        <v>592</v>
      </c>
      <c r="D160" s="357">
        <v>1450022</v>
      </c>
      <c r="E160" s="357">
        <v>72</v>
      </c>
      <c r="F160" s="357" t="s">
        <v>593</v>
      </c>
      <c r="G160" s="426" t="s">
        <v>594</v>
      </c>
      <c r="H160" s="148" t="s">
        <v>169</v>
      </c>
      <c r="I160" s="448" t="s">
        <v>170</v>
      </c>
      <c r="J160" s="357"/>
      <c r="K160" s="357"/>
      <c r="L160" s="357"/>
      <c r="M160" s="358"/>
      <c r="N160" s="359">
        <v>107</v>
      </c>
      <c r="O160" s="358"/>
      <c r="P160" s="402">
        <v>12413.41</v>
      </c>
      <c r="Q160" s="402"/>
      <c r="R160" s="402">
        <v>246199.34</v>
      </c>
      <c r="S160" s="358">
        <v>14913</v>
      </c>
      <c r="T160" s="188" t="s">
        <v>171</v>
      </c>
      <c r="U160" s="358"/>
      <c r="V160" s="358"/>
      <c r="W160" s="358"/>
      <c r="X160" s="402">
        <f t="shared" si="12"/>
        <v>301384.76999999996</v>
      </c>
      <c r="Y160" s="402">
        <v>-14466.47</v>
      </c>
      <c r="Z160" s="402">
        <v>0</v>
      </c>
      <c r="AA160" s="402">
        <v>286918.3</v>
      </c>
      <c r="AB160" s="450">
        <v>17373</v>
      </c>
      <c r="AC160" s="426" t="s">
        <v>172</v>
      </c>
      <c r="AD160" s="426" t="s">
        <v>173</v>
      </c>
      <c r="AE160" s="164" t="b">
        <v>1</v>
      </c>
      <c r="AF160" s="164" t="b">
        <v>1</v>
      </c>
      <c r="AG160" s="409">
        <f>(AB160-S160)/S160</f>
        <v>0.16495674914504124</v>
      </c>
      <c r="AH160" s="409">
        <f>(AA160-R160)/R160</f>
        <v>0.16539020778853425</v>
      </c>
      <c r="AI160" s="402">
        <f t="shared" si="14"/>
        <v>308044.95999999996</v>
      </c>
      <c r="AJ160" s="364">
        <v>-14786.16</v>
      </c>
      <c r="AK160" s="364">
        <v>0</v>
      </c>
      <c r="AL160" s="364">
        <v>293258.8</v>
      </c>
      <c r="AM160" s="1069">
        <v>17425</v>
      </c>
      <c r="AN160" s="407">
        <v>46122</v>
      </c>
      <c r="AO160" s="148" t="s">
        <v>174</v>
      </c>
      <c r="AP160" s="860" t="b">
        <v>1</v>
      </c>
      <c r="AQ160" s="860" t="b">
        <v>1</v>
      </c>
      <c r="AR160" s="409">
        <f t="shared" si="13"/>
        <v>2.9931502906809415E-3</v>
      </c>
      <c r="AS160" s="409">
        <f>(AL160-AA160)/AA160</f>
        <v>2.2098625288104662E-2</v>
      </c>
      <c r="AT160" s="402">
        <f t="shared" si="15"/>
        <v>0</v>
      </c>
      <c r="AU160" s="402"/>
      <c r="AV160" s="402"/>
      <c r="AW160" s="402"/>
      <c r="AX160" s="358"/>
      <c r="AY160" s="358"/>
      <c r="AZ160" s="358"/>
      <c r="BA160" s="164" t="b">
        <v>0</v>
      </c>
      <c r="BB160" s="164" t="b">
        <v>0</v>
      </c>
      <c r="BC160" s="358">
        <f>(AX160-AM160)/AM160</f>
        <v>-1</v>
      </c>
      <c r="BD160" s="358">
        <f>(AW160-AL160)/AL160</f>
        <v>-1</v>
      </c>
      <c r="BE160" s="402">
        <f>BH160 + ABS(BF160) + ABS(BG160)</f>
        <v>0</v>
      </c>
      <c r="BF160" s="402"/>
      <c r="BG160" s="402"/>
      <c r="BH160" s="402"/>
      <c r="BI160" s="358"/>
      <c r="BJ160" s="358"/>
      <c r="BK160" s="358"/>
      <c r="BL160" s="164" t="b">
        <v>0</v>
      </c>
      <c r="BM160" s="164" t="b">
        <v>0</v>
      </c>
      <c r="BN160" s="358" t="e">
        <f>(BI160-AZ160)/AZ160</f>
        <v>#DIV/0!</v>
      </c>
      <c r="BO160" s="358" t="e">
        <f>(BH160-AW160)/AW160</f>
        <v>#DIV/0!</v>
      </c>
      <c r="BP160" s="402">
        <f>BS160 + ABS(BQ160) + ABS(BR160)</f>
        <v>0</v>
      </c>
      <c r="BQ160" s="402"/>
      <c r="BR160" s="402"/>
      <c r="BS160" s="402"/>
      <c r="BT160" s="358"/>
      <c r="BU160" s="358"/>
      <c r="BV160" s="358"/>
      <c r="BW160" s="164" t="b">
        <v>0</v>
      </c>
      <c r="BX160" s="164" t="b">
        <v>0</v>
      </c>
      <c r="BY160" s="358" t="e">
        <f>(BT160-BI160)/BI160</f>
        <v>#DIV/0!</v>
      </c>
      <c r="BZ160" s="358" t="e">
        <f>(BS160-BH160)/BH160</f>
        <v>#DIV/0!</v>
      </c>
      <c r="CA160" s="402">
        <f>CD160 + ABS(CB160) + ABS(CC160)</f>
        <v>0</v>
      </c>
      <c r="CB160" s="402"/>
      <c r="CC160" s="402"/>
      <c r="CD160" s="402"/>
      <c r="CE160" s="358"/>
      <c r="CF160" s="358"/>
      <c r="CG160" s="358"/>
      <c r="CH160" s="164" t="b">
        <v>0</v>
      </c>
      <c r="CI160" s="164" t="b">
        <v>0</v>
      </c>
      <c r="CJ160" s="358" t="e">
        <f>(CE160-BV160)/BV160</f>
        <v>#DIV/0!</v>
      </c>
      <c r="CK160" s="358" t="e">
        <f>(CD160-BS160)/BS160</f>
        <v>#DIV/0!</v>
      </c>
      <c r="CL160" s="402">
        <f>CO160 + ABS(CM160) + ABS(CN160)</f>
        <v>0</v>
      </c>
      <c r="CM160" s="402"/>
      <c r="CN160" s="402"/>
      <c r="CO160" s="402"/>
      <c r="CP160" s="358"/>
      <c r="CQ160" s="358"/>
      <c r="CR160" s="358"/>
      <c r="CS160" s="164" t="b">
        <v>0</v>
      </c>
      <c r="CT160" s="164" t="b">
        <v>0</v>
      </c>
      <c r="CU160" s="358" t="e">
        <f>(CP160-CE160)/CE160</f>
        <v>#DIV/0!</v>
      </c>
      <c r="CV160" s="358" t="e">
        <f>(CO160-CD160)/CD160</f>
        <v>#DIV/0!</v>
      </c>
      <c r="CW160" s="402">
        <f>CZ160 + ABS(CX160) + ABS(CY160)</f>
        <v>0</v>
      </c>
      <c r="CX160" s="402"/>
      <c r="CY160" s="402"/>
      <c r="CZ160" s="402"/>
      <c r="DA160" s="358"/>
      <c r="DB160" s="358"/>
      <c r="DC160" s="358"/>
      <c r="DD160" s="164" t="b">
        <v>0</v>
      </c>
      <c r="DE160" s="164" t="b">
        <v>0</v>
      </c>
      <c r="DF160" s="358" t="e">
        <f>(DA160-CR160)/CR160</f>
        <v>#DIV/0!</v>
      </c>
      <c r="DG160" s="358" t="e">
        <f>(CZ160-CO160)/CO160</f>
        <v>#DIV/0!</v>
      </c>
      <c r="DH160" s="402">
        <f>DK160 + ABS(DI160) + ABS(DJ160)</f>
        <v>0</v>
      </c>
      <c r="DI160" s="402"/>
      <c r="DJ160" s="402"/>
      <c r="DK160" s="402"/>
      <c r="DL160" s="358"/>
      <c r="DM160" s="358"/>
      <c r="DN160" s="358"/>
      <c r="DO160" s="164" t="b">
        <v>0</v>
      </c>
      <c r="DP160" s="164" t="b">
        <v>0</v>
      </c>
      <c r="DQ160" s="358" t="e">
        <f>(DL160-DA160)/DA160</f>
        <v>#DIV/0!</v>
      </c>
      <c r="DR160" s="358" t="e">
        <f>(DK160-CZ160)/CZ160</f>
        <v>#DIV/0!</v>
      </c>
      <c r="DS160" s="402">
        <f>DV160 + ABS(DT160) + ABS(DU160)</f>
        <v>0</v>
      </c>
      <c r="DT160" s="402"/>
      <c r="DU160" s="402"/>
      <c r="DV160" s="402"/>
      <c r="DW160" s="358"/>
      <c r="DX160" s="358"/>
      <c r="DY160" s="358"/>
      <c r="DZ160" s="164" t="b">
        <v>0</v>
      </c>
      <c r="EA160" s="164" t="b">
        <v>0</v>
      </c>
      <c r="EB160" s="358" t="e">
        <f>(DW160-DN160)/DN160</f>
        <v>#DIV/0!</v>
      </c>
      <c r="EC160" s="358" t="e">
        <f>(DV160-DK160)/DK160</f>
        <v>#DIV/0!</v>
      </c>
      <c r="ED160" s="402">
        <f>EG160 + ABS(EE160) + ABS(EF160)</f>
        <v>0</v>
      </c>
      <c r="EE160" s="402"/>
      <c r="EF160" s="402"/>
      <c r="EG160" s="402"/>
      <c r="EH160" s="358"/>
      <c r="EI160" s="358"/>
      <c r="EJ160" s="358"/>
      <c r="EK160" s="164" t="b">
        <v>0</v>
      </c>
      <c r="EL160" s="164" t="b">
        <v>0</v>
      </c>
      <c r="EM160" s="358" t="e">
        <f>(EH160-DW160)/DW160</f>
        <v>#DIV/0!</v>
      </c>
      <c r="EN160" s="358" t="e">
        <f>(EG160-DV160)/DV160</f>
        <v>#DIV/0!</v>
      </c>
      <c r="EO160" s="402">
        <f>ER160 + ABS(EP160) + ABS(EQ160)</f>
        <v>0</v>
      </c>
      <c r="EP160" s="402"/>
      <c r="EQ160" s="402"/>
      <c r="ER160" s="402"/>
      <c r="ES160" s="358"/>
      <c r="ET160" s="358"/>
      <c r="EU160" s="358"/>
      <c r="EV160" s="164" t="b">
        <v>0</v>
      </c>
      <c r="EW160" s="164" t="b">
        <v>0</v>
      </c>
      <c r="EX160" s="358" t="e">
        <f>(ES160-EJ160)/EJ160</f>
        <v>#DIV/0!</v>
      </c>
      <c r="EY160" s="358" t="e">
        <f>(ER160-EG160)/EG160</f>
        <v>#DIV/0!</v>
      </c>
      <c r="EZ160" s="449"/>
      <c r="FA160" s="449"/>
      <c r="FB160" s="449"/>
      <c r="FC160" s="449"/>
      <c r="FD160" s="449"/>
      <c r="FE160" s="449"/>
      <c r="FF160" s="449"/>
      <c r="FG160" s="449"/>
      <c r="FH160" s="449"/>
      <c r="FI160" s="449"/>
      <c r="FJ160" s="449"/>
      <c r="FK160" s="449"/>
      <c r="FL160" s="449"/>
      <c r="FM160" s="449"/>
      <c r="FN160" s="175"/>
      <c r="FO160" s="175"/>
      <c r="FP160" s="175"/>
      <c r="FQ160" s="801"/>
      <c r="FR160" s="175"/>
      <c r="FS160" s="175"/>
      <c r="FT160" s="175"/>
      <c r="FU160" s="175"/>
      <c r="FV160" s="175"/>
      <c r="FW160" s="175"/>
      <c r="FX160" s="175"/>
      <c r="FY160" s="175"/>
      <c r="FZ160" s="175"/>
      <c r="GA160" s="175"/>
      <c r="GB160" s="175"/>
      <c r="GC160" s="175"/>
      <c r="GD160" s="175"/>
      <c r="GE160" s="175"/>
      <c r="GF160" s="175"/>
      <c r="GG160" s="175"/>
      <c r="GH160" s="175"/>
      <c r="GI160" s="175"/>
      <c r="GJ160" s="175"/>
      <c r="GK160" s="175"/>
      <c r="GL160" s="175"/>
      <c r="GM160" s="175"/>
      <c r="GN160" s="175"/>
      <c r="GO160" s="175"/>
      <c r="GP160" s="175"/>
      <c r="GQ160" s="175"/>
      <c r="GR160" s="175"/>
      <c r="GS160" s="175"/>
      <c r="GT160" s="175"/>
      <c r="GU160" s="175"/>
      <c r="GV160" s="175"/>
      <c r="GW160" s="175"/>
      <c r="GX160" s="175"/>
      <c r="GY160" s="175"/>
      <c r="GZ160" s="175"/>
      <c r="HA160" s="175"/>
      <c r="HB160" s="175"/>
      <c r="HC160" s="175"/>
      <c r="HD160" s="175"/>
      <c r="HE160" s="175"/>
      <c r="HF160" s="175"/>
      <c r="HG160" s="175"/>
      <c r="HH160" s="175"/>
      <c r="HI160" s="175"/>
      <c r="HJ160" s="175"/>
      <c r="HK160" s="175"/>
      <c r="HL160" s="175"/>
      <c r="HM160" s="175"/>
    </row>
    <row r="161" spans="2:221" ht="15">
      <c r="B161" s="175"/>
      <c r="C161" s="800" t="s">
        <v>595</v>
      </c>
      <c r="D161" s="357">
        <v>1450022</v>
      </c>
      <c r="E161" s="357">
        <v>133</v>
      </c>
      <c r="F161" s="357" t="s">
        <v>596</v>
      </c>
      <c r="G161" s="426" t="s">
        <v>597</v>
      </c>
      <c r="H161" s="148" t="s">
        <v>169</v>
      </c>
      <c r="I161" s="448" t="s">
        <v>170</v>
      </c>
      <c r="J161" s="357"/>
      <c r="K161" s="357"/>
      <c r="L161" s="357"/>
      <c r="M161" s="358"/>
      <c r="N161" s="361">
        <v>107</v>
      </c>
      <c r="O161" s="358"/>
      <c r="P161" s="402">
        <v>8198.7999999999993</v>
      </c>
      <c r="Q161" s="402"/>
      <c r="R161" s="402">
        <v>162609.60000000001</v>
      </c>
      <c r="S161" s="358">
        <v>9863</v>
      </c>
      <c r="T161" s="188" t="s">
        <v>171</v>
      </c>
      <c r="U161" s="358"/>
      <c r="V161" s="358"/>
      <c r="W161" s="358"/>
      <c r="X161" s="402">
        <f t="shared" si="12"/>
        <v>193046.37000000002</v>
      </c>
      <c r="Y161" s="402">
        <v>-9266.23</v>
      </c>
      <c r="Z161" s="402">
        <v>0</v>
      </c>
      <c r="AA161" s="402">
        <v>183780.14</v>
      </c>
      <c r="AB161" s="450">
        <v>11142</v>
      </c>
      <c r="AC161" s="173" t="s">
        <v>172</v>
      </c>
      <c r="AD161" s="173" t="s">
        <v>173</v>
      </c>
      <c r="AE161" s="164" t="b">
        <v>1</v>
      </c>
      <c r="AF161" s="164" t="b">
        <v>1</v>
      </c>
      <c r="AG161" s="409">
        <f>(AB161-S161)/S161</f>
        <v>0.12967656899523472</v>
      </c>
      <c r="AH161" s="409">
        <f>(AA161-R161)/R161</f>
        <v>0.1301924363629208</v>
      </c>
      <c r="AI161" s="402">
        <f t="shared" si="14"/>
        <v>196067.39</v>
      </c>
      <c r="AJ161" s="364">
        <v>-9411.23</v>
      </c>
      <c r="AK161" s="364">
        <v>0</v>
      </c>
      <c r="AL161" s="364">
        <v>186656.16</v>
      </c>
      <c r="AM161" s="1069">
        <v>11105</v>
      </c>
      <c r="AN161" s="407">
        <v>46122</v>
      </c>
      <c r="AO161" s="148" t="s">
        <v>174</v>
      </c>
      <c r="AP161" s="860" t="b">
        <v>1</v>
      </c>
      <c r="AQ161" s="860" t="b">
        <v>1</v>
      </c>
      <c r="AR161" s="409">
        <f t="shared" si="13"/>
        <v>-3.3207682642254531E-3</v>
      </c>
      <c r="AS161" s="409">
        <f>(AL161-AA161)/AA161</f>
        <v>1.5649242622189696E-2</v>
      </c>
      <c r="AT161" s="402">
        <f t="shared" si="15"/>
        <v>0</v>
      </c>
      <c r="AU161" s="402"/>
      <c r="AV161" s="402"/>
      <c r="AW161" s="402"/>
      <c r="AX161" s="358"/>
      <c r="AY161" s="358"/>
      <c r="AZ161" s="358"/>
      <c r="BA161" s="164" t="b">
        <v>0</v>
      </c>
      <c r="BB161" s="164" t="b">
        <v>0</v>
      </c>
      <c r="BC161" s="358">
        <f>(AX161-AM161)/AM161</f>
        <v>-1</v>
      </c>
      <c r="BD161" s="358">
        <f>(AW161-AL161)/AL161</f>
        <v>-1</v>
      </c>
      <c r="BE161" s="402">
        <f>BH161 + ABS(BF161) + ABS(BG161)</f>
        <v>0</v>
      </c>
      <c r="BF161" s="402"/>
      <c r="BG161" s="402"/>
      <c r="BH161" s="402"/>
      <c r="BI161" s="358"/>
      <c r="BJ161" s="358"/>
      <c r="BK161" s="358"/>
      <c r="BL161" s="164" t="b">
        <v>0</v>
      </c>
      <c r="BM161" s="164" t="b">
        <v>0</v>
      </c>
      <c r="BN161" s="358" t="e">
        <f>(BI161-AZ161)/AZ161</f>
        <v>#DIV/0!</v>
      </c>
      <c r="BO161" s="358" t="e">
        <f>(BH161-AW161)/AW161</f>
        <v>#DIV/0!</v>
      </c>
      <c r="BP161" s="402">
        <f>BS161 + ABS(BQ161) + ABS(BR161)</f>
        <v>0</v>
      </c>
      <c r="BQ161" s="402"/>
      <c r="BR161" s="402"/>
      <c r="BS161" s="402"/>
      <c r="BT161" s="358"/>
      <c r="BU161" s="358"/>
      <c r="BV161" s="358"/>
      <c r="BW161" s="164" t="b">
        <v>0</v>
      </c>
      <c r="BX161" s="164" t="b">
        <v>0</v>
      </c>
      <c r="BY161" s="358" t="e">
        <f>(BT161-BI161)/BI161</f>
        <v>#DIV/0!</v>
      </c>
      <c r="BZ161" s="358" t="e">
        <f>(BS161-BH161)/BH161</f>
        <v>#DIV/0!</v>
      </c>
      <c r="CA161" s="402">
        <f>CD161 + ABS(CB161) + ABS(CC161)</f>
        <v>0</v>
      </c>
      <c r="CB161" s="402"/>
      <c r="CC161" s="402"/>
      <c r="CD161" s="402"/>
      <c r="CE161" s="358"/>
      <c r="CF161" s="358"/>
      <c r="CG161" s="358"/>
      <c r="CH161" s="164" t="b">
        <v>0</v>
      </c>
      <c r="CI161" s="164" t="b">
        <v>0</v>
      </c>
      <c r="CJ161" s="358" t="e">
        <f>(CE161-BV161)/BV161</f>
        <v>#DIV/0!</v>
      </c>
      <c r="CK161" s="358" t="e">
        <f>(CD161-BS161)/BS161</f>
        <v>#DIV/0!</v>
      </c>
      <c r="CL161" s="402">
        <f>CO161 + ABS(CM161) + ABS(CN161)</f>
        <v>0</v>
      </c>
      <c r="CM161" s="402"/>
      <c r="CN161" s="402"/>
      <c r="CO161" s="402"/>
      <c r="CP161" s="358"/>
      <c r="CQ161" s="358"/>
      <c r="CR161" s="358"/>
      <c r="CS161" s="164" t="b">
        <v>0</v>
      </c>
      <c r="CT161" s="164" t="b">
        <v>0</v>
      </c>
      <c r="CU161" s="358" t="e">
        <f>(CP161-CE161)/CE161</f>
        <v>#DIV/0!</v>
      </c>
      <c r="CV161" s="358" t="e">
        <f>(CO161-CD161)/CD161</f>
        <v>#DIV/0!</v>
      </c>
      <c r="CW161" s="402">
        <f>CZ161 + ABS(CX161) + ABS(CY161)</f>
        <v>0</v>
      </c>
      <c r="CX161" s="402"/>
      <c r="CY161" s="402"/>
      <c r="CZ161" s="402"/>
      <c r="DA161" s="358"/>
      <c r="DB161" s="358"/>
      <c r="DC161" s="358"/>
      <c r="DD161" s="164" t="b">
        <v>0</v>
      </c>
      <c r="DE161" s="164" t="b">
        <v>0</v>
      </c>
      <c r="DF161" s="358" t="e">
        <f>(DA161-CR161)/CR161</f>
        <v>#DIV/0!</v>
      </c>
      <c r="DG161" s="358" t="e">
        <f>(CZ161-CO161)/CO161</f>
        <v>#DIV/0!</v>
      </c>
      <c r="DH161" s="402">
        <f>DK161 + ABS(DI161) + ABS(DJ161)</f>
        <v>0</v>
      </c>
      <c r="DI161" s="402"/>
      <c r="DJ161" s="402"/>
      <c r="DK161" s="402"/>
      <c r="DL161" s="358"/>
      <c r="DM161" s="358"/>
      <c r="DN161" s="358"/>
      <c r="DO161" s="164" t="b">
        <v>0</v>
      </c>
      <c r="DP161" s="164" t="b">
        <v>0</v>
      </c>
      <c r="DQ161" s="358" t="e">
        <f>(DL161-DA161)/DA161</f>
        <v>#DIV/0!</v>
      </c>
      <c r="DR161" s="358" t="e">
        <f>(DK161-CZ161)/CZ161</f>
        <v>#DIV/0!</v>
      </c>
      <c r="DS161" s="402">
        <f>DV161 + ABS(DT161) + ABS(DU161)</f>
        <v>0</v>
      </c>
      <c r="DT161" s="402"/>
      <c r="DU161" s="402"/>
      <c r="DV161" s="402"/>
      <c r="DW161" s="358"/>
      <c r="DX161" s="358"/>
      <c r="DY161" s="358"/>
      <c r="DZ161" s="164" t="b">
        <v>0</v>
      </c>
      <c r="EA161" s="164" t="b">
        <v>0</v>
      </c>
      <c r="EB161" s="358" t="e">
        <f>(DW161-DN161)/DN161</f>
        <v>#DIV/0!</v>
      </c>
      <c r="EC161" s="358" t="e">
        <f>(DV161-DK161)/DK161</f>
        <v>#DIV/0!</v>
      </c>
      <c r="ED161" s="402">
        <f>EG161 + ABS(EE161) + ABS(EF161)</f>
        <v>0</v>
      </c>
      <c r="EE161" s="402"/>
      <c r="EF161" s="402"/>
      <c r="EG161" s="402"/>
      <c r="EH161" s="358"/>
      <c r="EI161" s="358"/>
      <c r="EJ161" s="358"/>
      <c r="EK161" s="164" t="b">
        <v>0</v>
      </c>
      <c r="EL161" s="164" t="b">
        <v>0</v>
      </c>
      <c r="EM161" s="358" t="e">
        <f>(EH161-DW161)/DW161</f>
        <v>#DIV/0!</v>
      </c>
      <c r="EN161" s="358" t="e">
        <f>(EG161-DV161)/DV161</f>
        <v>#DIV/0!</v>
      </c>
      <c r="EO161" s="402">
        <f>ER161 + ABS(EP161) + ABS(EQ161)</f>
        <v>0</v>
      </c>
      <c r="EP161" s="402"/>
      <c r="EQ161" s="402"/>
      <c r="ER161" s="402"/>
      <c r="ES161" s="358"/>
      <c r="ET161" s="358"/>
      <c r="EU161" s="358"/>
      <c r="EV161" s="164" t="b">
        <v>0</v>
      </c>
      <c r="EW161" s="164" t="b">
        <v>0</v>
      </c>
      <c r="EX161" s="358" t="e">
        <f>(ES161-EJ161)/EJ161</f>
        <v>#DIV/0!</v>
      </c>
      <c r="EY161" s="358" t="e">
        <f>(ER161-EG161)/EG161</f>
        <v>#DIV/0!</v>
      </c>
      <c r="EZ161" s="449"/>
      <c r="FA161" s="449"/>
      <c r="FB161" s="449"/>
      <c r="FC161" s="449"/>
      <c r="FD161" s="449"/>
      <c r="FE161" s="449"/>
      <c r="FF161" s="449"/>
      <c r="FG161" s="449"/>
      <c r="FH161" s="449"/>
      <c r="FI161" s="449"/>
      <c r="FJ161" s="449"/>
      <c r="FK161" s="449"/>
      <c r="FL161" s="449"/>
      <c r="FM161" s="449"/>
      <c r="FN161" s="175"/>
      <c r="FO161" s="175"/>
      <c r="FP161" s="175"/>
      <c r="FQ161" s="801"/>
      <c r="FR161" s="175"/>
      <c r="FS161" s="175"/>
      <c r="FT161" s="175"/>
      <c r="FU161" s="175"/>
      <c r="FV161" s="175"/>
      <c r="FW161" s="175"/>
      <c r="FX161" s="175"/>
      <c r="FY161" s="175"/>
      <c r="FZ161" s="175"/>
      <c r="GA161" s="175"/>
      <c r="GB161" s="175"/>
      <c r="GC161" s="175"/>
      <c r="GD161" s="175"/>
      <c r="GE161" s="175"/>
      <c r="GF161" s="175"/>
      <c r="GG161" s="175"/>
      <c r="GH161" s="175"/>
      <c r="GI161" s="175"/>
      <c r="GJ161" s="175"/>
      <c r="GK161" s="175"/>
      <c r="GL161" s="175"/>
      <c r="GM161" s="175"/>
      <c r="GN161" s="175"/>
      <c r="GO161" s="175"/>
      <c r="GP161" s="175"/>
      <c r="GQ161" s="175"/>
      <c r="GR161" s="175"/>
      <c r="GS161" s="175"/>
      <c r="GT161" s="175"/>
      <c r="GU161" s="175"/>
      <c r="GV161" s="175"/>
      <c r="GW161" s="175"/>
      <c r="GX161" s="175"/>
      <c r="GY161" s="175"/>
      <c r="GZ161" s="175"/>
      <c r="HA161" s="175"/>
      <c r="HB161" s="175"/>
      <c r="HC161" s="175"/>
      <c r="HD161" s="175"/>
      <c r="HE161" s="175"/>
      <c r="HF161" s="175"/>
      <c r="HG161" s="175"/>
      <c r="HH161" s="175"/>
      <c r="HI161" s="175"/>
      <c r="HJ161" s="175"/>
      <c r="HK161" s="175"/>
      <c r="HL161" s="175"/>
      <c r="HM161" s="175"/>
    </row>
    <row r="162" spans="2:221" ht="15">
      <c r="B162" s="175"/>
      <c r="C162" s="802" t="s">
        <v>598</v>
      </c>
      <c r="D162" s="154">
        <v>1450022</v>
      </c>
      <c r="E162" s="154">
        <v>374</v>
      </c>
      <c r="F162" s="154" t="s">
        <v>599</v>
      </c>
      <c r="G162" s="255" t="s">
        <v>600</v>
      </c>
      <c r="H162" s="171" t="s">
        <v>169</v>
      </c>
      <c r="I162" s="445" t="s">
        <v>170</v>
      </c>
      <c r="J162" s="154"/>
      <c r="K162" s="154"/>
      <c r="L162" s="154"/>
      <c r="M162" s="176"/>
      <c r="N162" s="193">
        <v>107</v>
      </c>
      <c r="O162" s="176"/>
      <c r="P162" s="203">
        <v>3.4</v>
      </c>
      <c r="Q162" s="203"/>
      <c r="R162" s="203">
        <v>67.400000000000006</v>
      </c>
      <c r="S162" s="176">
        <v>2</v>
      </c>
      <c r="T162" s="188" t="s">
        <v>171</v>
      </c>
      <c r="U162" s="176"/>
      <c r="V162" s="176"/>
      <c r="W162" s="176"/>
      <c r="X162" s="203">
        <f t="shared" si="12"/>
        <v>70.800000000000011</v>
      </c>
      <c r="Y162" s="203">
        <v>-3.4</v>
      </c>
      <c r="Z162" s="203">
        <v>0</v>
      </c>
      <c r="AA162" s="203">
        <v>67.400000000000006</v>
      </c>
      <c r="AB162" s="446">
        <v>2</v>
      </c>
      <c r="AC162" s="444" t="s">
        <v>172</v>
      </c>
      <c r="AD162" s="444" t="s">
        <v>173</v>
      </c>
      <c r="AE162" s="177" t="b">
        <v>1</v>
      </c>
      <c r="AF162" s="177" t="b">
        <v>1</v>
      </c>
      <c r="AG162" s="392">
        <f>(AB162-S162)/S162</f>
        <v>0</v>
      </c>
      <c r="AH162" s="392">
        <f>(AA162-R162)/R162</f>
        <v>0</v>
      </c>
      <c r="AI162" s="203">
        <f t="shared" si="14"/>
        <v>87.23</v>
      </c>
      <c r="AJ162" s="368">
        <v>-4.1900000000000004</v>
      </c>
      <c r="AK162" s="368">
        <v>0</v>
      </c>
      <c r="AL162" s="368">
        <v>83.04</v>
      </c>
      <c r="AM162" s="1068">
        <v>3</v>
      </c>
      <c r="AN162" s="172">
        <v>46122</v>
      </c>
      <c r="AO162" s="171" t="s">
        <v>174</v>
      </c>
      <c r="AP162" s="861" t="b">
        <v>1</v>
      </c>
      <c r="AQ162" s="861" t="b">
        <v>1</v>
      </c>
      <c r="AR162" s="392">
        <f t="shared" si="13"/>
        <v>0.5</v>
      </c>
      <c r="AS162" s="392">
        <f>(AL162-AA162)/AA162</f>
        <v>0.23204747774480711</v>
      </c>
      <c r="AT162" s="203">
        <f t="shared" si="15"/>
        <v>0</v>
      </c>
      <c r="AU162" s="203"/>
      <c r="AV162" s="203"/>
      <c r="AW162" s="203"/>
      <c r="AX162" s="176"/>
      <c r="AY162" s="176"/>
      <c r="AZ162" s="176"/>
      <c r="BA162" s="177" t="b">
        <v>0</v>
      </c>
      <c r="BB162" s="177" t="b">
        <v>0</v>
      </c>
      <c r="BC162" s="176">
        <f>(AX162-AM162)/AM162</f>
        <v>-1</v>
      </c>
      <c r="BD162" s="176">
        <f>(AW162-AL162)/AL162</f>
        <v>-1</v>
      </c>
      <c r="BE162" s="203">
        <f>BH162 + ABS(BF162) + ABS(BG162)</f>
        <v>0</v>
      </c>
      <c r="BF162" s="203"/>
      <c r="BG162" s="203"/>
      <c r="BH162" s="203"/>
      <c r="BI162" s="176"/>
      <c r="BJ162" s="176"/>
      <c r="BK162" s="176"/>
      <c r="BL162" s="177" t="b">
        <v>0</v>
      </c>
      <c r="BM162" s="177" t="b">
        <v>0</v>
      </c>
      <c r="BN162" s="176" t="e">
        <f>(BI162-AZ162)/AZ162</f>
        <v>#DIV/0!</v>
      </c>
      <c r="BO162" s="176" t="e">
        <f>(BH162-AW162)/AW162</f>
        <v>#DIV/0!</v>
      </c>
      <c r="BP162" s="203">
        <f>BS162 + ABS(BQ162) + ABS(BR162)</f>
        <v>0</v>
      </c>
      <c r="BQ162" s="203"/>
      <c r="BR162" s="203"/>
      <c r="BS162" s="203"/>
      <c r="BT162" s="176"/>
      <c r="BU162" s="176"/>
      <c r="BV162" s="176"/>
      <c r="BW162" s="177" t="b">
        <v>0</v>
      </c>
      <c r="BX162" s="177" t="b">
        <v>0</v>
      </c>
      <c r="BY162" s="176" t="e">
        <f>(BT162-BI162)/BI162</f>
        <v>#DIV/0!</v>
      </c>
      <c r="BZ162" s="176" t="e">
        <f>(BS162-BH162)/BH162</f>
        <v>#DIV/0!</v>
      </c>
      <c r="CA162" s="203">
        <f>CD162 + ABS(CB162) + ABS(CC162)</f>
        <v>0</v>
      </c>
      <c r="CB162" s="203"/>
      <c r="CC162" s="203"/>
      <c r="CD162" s="203"/>
      <c r="CE162" s="176"/>
      <c r="CF162" s="176"/>
      <c r="CG162" s="176"/>
      <c r="CH162" s="177" t="b">
        <v>0</v>
      </c>
      <c r="CI162" s="177" t="b">
        <v>0</v>
      </c>
      <c r="CJ162" s="176" t="e">
        <f>(CE162-BV162)/BV162</f>
        <v>#DIV/0!</v>
      </c>
      <c r="CK162" s="176" t="e">
        <f>(CD162-BS162)/BS162</f>
        <v>#DIV/0!</v>
      </c>
      <c r="CL162" s="203">
        <f>CO162 + ABS(CM162) + ABS(CN162)</f>
        <v>0</v>
      </c>
      <c r="CM162" s="203"/>
      <c r="CN162" s="203"/>
      <c r="CO162" s="203"/>
      <c r="CP162" s="176"/>
      <c r="CQ162" s="176"/>
      <c r="CR162" s="176"/>
      <c r="CS162" s="177" t="b">
        <v>0</v>
      </c>
      <c r="CT162" s="177" t="b">
        <v>0</v>
      </c>
      <c r="CU162" s="176" t="e">
        <f>(CP162-CE162)/CE162</f>
        <v>#DIV/0!</v>
      </c>
      <c r="CV162" s="176" t="e">
        <f>(CO162-CD162)/CD162</f>
        <v>#DIV/0!</v>
      </c>
      <c r="CW162" s="203">
        <f>CZ162 + ABS(CX162) + ABS(CY162)</f>
        <v>0</v>
      </c>
      <c r="CX162" s="203"/>
      <c r="CY162" s="203"/>
      <c r="CZ162" s="203"/>
      <c r="DA162" s="176"/>
      <c r="DB162" s="176"/>
      <c r="DC162" s="176"/>
      <c r="DD162" s="177" t="b">
        <v>0</v>
      </c>
      <c r="DE162" s="177" t="b">
        <v>0</v>
      </c>
      <c r="DF162" s="176" t="e">
        <f>(DA162-CR162)/CR162</f>
        <v>#DIV/0!</v>
      </c>
      <c r="DG162" s="176" t="e">
        <f>(CZ162-CO162)/CO162</f>
        <v>#DIV/0!</v>
      </c>
      <c r="DH162" s="203">
        <f>DK162 + ABS(DI162) + ABS(DJ162)</f>
        <v>0</v>
      </c>
      <c r="DI162" s="203"/>
      <c r="DJ162" s="203"/>
      <c r="DK162" s="203"/>
      <c r="DL162" s="176"/>
      <c r="DM162" s="176"/>
      <c r="DN162" s="176"/>
      <c r="DO162" s="177" t="b">
        <v>0</v>
      </c>
      <c r="DP162" s="177" t="b">
        <v>0</v>
      </c>
      <c r="DQ162" s="176" t="e">
        <f>(DL162-DA162)/DA162</f>
        <v>#DIV/0!</v>
      </c>
      <c r="DR162" s="176" t="e">
        <f>(DK162-CZ162)/CZ162</f>
        <v>#DIV/0!</v>
      </c>
      <c r="DS162" s="203">
        <f>DV162 + ABS(DT162) + ABS(DU162)</f>
        <v>0</v>
      </c>
      <c r="DT162" s="203"/>
      <c r="DU162" s="203"/>
      <c r="DV162" s="203"/>
      <c r="DW162" s="176"/>
      <c r="DX162" s="176"/>
      <c r="DY162" s="176"/>
      <c r="DZ162" s="177" t="b">
        <v>0</v>
      </c>
      <c r="EA162" s="177" t="b">
        <v>0</v>
      </c>
      <c r="EB162" s="176" t="e">
        <f>(DW162-DN162)/DN162</f>
        <v>#DIV/0!</v>
      </c>
      <c r="EC162" s="176" t="e">
        <f>(DV162-DK162)/DK162</f>
        <v>#DIV/0!</v>
      </c>
      <c r="ED162" s="203">
        <f>EG162 + ABS(EE162) + ABS(EF162)</f>
        <v>0</v>
      </c>
      <c r="EE162" s="203"/>
      <c r="EF162" s="203"/>
      <c r="EG162" s="203"/>
      <c r="EH162" s="176"/>
      <c r="EI162" s="176"/>
      <c r="EJ162" s="176"/>
      <c r="EK162" s="177" t="b">
        <v>0</v>
      </c>
      <c r="EL162" s="177" t="b">
        <v>0</v>
      </c>
      <c r="EM162" s="176" t="e">
        <f>(EH162-DW162)/DW162</f>
        <v>#DIV/0!</v>
      </c>
      <c r="EN162" s="176" t="e">
        <f>(EG162-DV162)/DV162</f>
        <v>#DIV/0!</v>
      </c>
      <c r="EO162" s="203">
        <f>ER162 + ABS(EP162) + ABS(EQ162)</f>
        <v>0</v>
      </c>
      <c r="EP162" s="203"/>
      <c r="EQ162" s="203"/>
      <c r="ER162" s="203"/>
      <c r="ES162" s="176"/>
      <c r="ET162" s="176"/>
      <c r="EU162" s="176"/>
      <c r="EV162" s="177" t="b">
        <v>0</v>
      </c>
      <c r="EW162" s="177" t="b">
        <v>0</v>
      </c>
      <c r="EX162" s="176" t="e">
        <f>(ES162-EJ162)/EJ162</f>
        <v>#DIV/0!</v>
      </c>
      <c r="EY162" s="176" t="e">
        <f>(ER162-EG162)/EG162</f>
        <v>#DIV/0!</v>
      </c>
      <c r="EZ162" s="175"/>
      <c r="FA162" s="175"/>
      <c r="FB162" s="175"/>
      <c r="FC162" s="175"/>
      <c r="FD162" s="175"/>
      <c r="FE162" s="175"/>
      <c r="FF162" s="175"/>
      <c r="FG162" s="175"/>
      <c r="FH162" s="175"/>
      <c r="FI162" s="175"/>
      <c r="FJ162" s="175"/>
      <c r="FK162" s="175"/>
      <c r="FL162" s="175"/>
      <c r="FM162" s="175"/>
      <c r="FN162" s="175"/>
      <c r="FO162" s="175"/>
      <c r="FP162" s="175"/>
      <c r="FQ162" s="801"/>
      <c r="FR162" s="175"/>
      <c r="FS162" s="175"/>
      <c r="FT162" s="175"/>
      <c r="FU162" s="175"/>
      <c r="FV162" s="175"/>
      <c r="FW162" s="175"/>
      <c r="FX162" s="175"/>
      <c r="FY162" s="175"/>
      <c r="FZ162" s="175"/>
      <c r="GA162" s="175"/>
      <c r="GB162" s="175"/>
      <c r="GC162" s="175"/>
      <c r="GD162" s="175"/>
      <c r="GE162" s="175"/>
      <c r="GF162" s="175"/>
      <c r="GG162" s="175"/>
      <c r="GH162" s="175"/>
      <c r="GI162" s="175"/>
      <c r="GJ162" s="175"/>
      <c r="GK162" s="175"/>
      <c r="GL162" s="175"/>
      <c r="GM162" s="175"/>
      <c r="GN162" s="175"/>
      <c r="GO162" s="175"/>
      <c r="GP162" s="175"/>
      <c r="GQ162" s="175"/>
      <c r="GR162" s="175"/>
      <c r="GS162" s="175"/>
      <c r="GT162" s="175"/>
      <c r="GU162" s="175"/>
      <c r="GV162" s="175"/>
      <c r="GW162" s="175"/>
      <c r="GX162" s="175"/>
      <c r="GY162" s="175"/>
      <c r="GZ162" s="175"/>
      <c r="HA162" s="175"/>
      <c r="HB162" s="175"/>
      <c r="HC162" s="175"/>
      <c r="HD162" s="175"/>
      <c r="HE162" s="175"/>
      <c r="HF162" s="175"/>
      <c r="HG162" s="175"/>
      <c r="HH162" s="175"/>
      <c r="HI162" s="175"/>
      <c r="HJ162" s="175"/>
      <c r="HK162" s="175"/>
      <c r="HL162" s="175"/>
      <c r="HM162" s="175"/>
    </row>
    <row r="163" spans="2:221" ht="15">
      <c r="B163" s="175"/>
      <c r="C163" s="800" t="s">
        <v>601</v>
      </c>
      <c r="D163" s="357">
        <v>1450022</v>
      </c>
      <c r="E163" s="357">
        <v>105</v>
      </c>
      <c r="F163" s="357" t="s">
        <v>602</v>
      </c>
      <c r="G163" s="426" t="s">
        <v>603</v>
      </c>
      <c r="H163" s="148" t="s">
        <v>169</v>
      </c>
      <c r="I163" s="448" t="s">
        <v>170</v>
      </c>
      <c r="J163" s="357"/>
      <c r="K163" s="357"/>
      <c r="L163" s="357"/>
      <c r="M163" s="358"/>
      <c r="N163" s="361">
        <v>107</v>
      </c>
      <c r="O163" s="358"/>
      <c r="P163" s="402">
        <v>277.24</v>
      </c>
      <c r="Q163" s="402"/>
      <c r="R163" s="402">
        <v>5498.66</v>
      </c>
      <c r="S163" s="358">
        <v>230</v>
      </c>
      <c r="T163" s="188" t="s">
        <v>171</v>
      </c>
      <c r="U163" s="358"/>
      <c r="V163" s="358"/>
      <c r="W163" s="358"/>
      <c r="X163" s="402">
        <f t="shared" si="12"/>
        <v>6088.3899999999994</v>
      </c>
      <c r="Y163" s="402">
        <v>-292.24</v>
      </c>
      <c r="Z163" s="402">
        <v>0</v>
      </c>
      <c r="AA163" s="402">
        <v>5796.15</v>
      </c>
      <c r="AB163" s="450">
        <v>240</v>
      </c>
      <c r="AC163" s="173" t="s">
        <v>172</v>
      </c>
      <c r="AD163" s="173" t="s">
        <v>173</v>
      </c>
      <c r="AE163" s="164" t="b">
        <v>1</v>
      </c>
      <c r="AF163" s="164" t="b">
        <v>1</v>
      </c>
      <c r="AG163" s="409">
        <f>(AB163-S163)/S163</f>
        <v>4.3478260869565216E-2</v>
      </c>
      <c r="AH163" s="409">
        <f>(AA163-R163)/R163</f>
        <v>5.4102272189951693E-2</v>
      </c>
      <c r="AI163" s="402">
        <f t="shared" si="14"/>
        <v>3954.71</v>
      </c>
      <c r="AJ163" s="364">
        <v>-189.83</v>
      </c>
      <c r="AK163" s="364">
        <v>0</v>
      </c>
      <c r="AL163" s="364">
        <v>3764.88</v>
      </c>
      <c r="AM163" s="1069">
        <v>157</v>
      </c>
      <c r="AN163" s="407">
        <v>46122</v>
      </c>
      <c r="AO163" s="148" t="s">
        <v>174</v>
      </c>
      <c r="AP163" s="860" t="b">
        <v>1</v>
      </c>
      <c r="AQ163" s="860" t="b">
        <v>1</v>
      </c>
      <c r="AR163" s="409">
        <f t="shared" si="13"/>
        <v>-0.34583333333333333</v>
      </c>
      <c r="AS163" s="409">
        <f>(AL163-AA163)/AA163</f>
        <v>-0.35045159286767935</v>
      </c>
      <c r="AT163" s="402">
        <f t="shared" si="15"/>
        <v>0</v>
      </c>
      <c r="AU163" s="402"/>
      <c r="AV163" s="402"/>
      <c r="AW163" s="402"/>
      <c r="AX163" s="358"/>
      <c r="AY163" s="358"/>
      <c r="AZ163" s="358"/>
      <c r="BA163" s="164" t="b">
        <v>0</v>
      </c>
      <c r="BB163" s="164" t="b">
        <v>0</v>
      </c>
      <c r="BC163" s="358">
        <f>(AX163-AM163)/AM163</f>
        <v>-1</v>
      </c>
      <c r="BD163" s="358">
        <f>(AW163-AL163)/AL163</f>
        <v>-1</v>
      </c>
      <c r="BE163" s="402">
        <f>BH163 + ABS(BF163) + ABS(BG163)</f>
        <v>0</v>
      </c>
      <c r="BF163" s="402"/>
      <c r="BG163" s="402"/>
      <c r="BH163" s="402"/>
      <c r="BI163" s="358"/>
      <c r="BJ163" s="358"/>
      <c r="BK163" s="358"/>
      <c r="BL163" s="164" t="b">
        <v>0</v>
      </c>
      <c r="BM163" s="164" t="b">
        <v>0</v>
      </c>
      <c r="BN163" s="358" t="e">
        <f>(BI163-AZ163)/AZ163</f>
        <v>#DIV/0!</v>
      </c>
      <c r="BO163" s="358" t="e">
        <f>(BH163-AW163)/AW163</f>
        <v>#DIV/0!</v>
      </c>
      <c r="BP163" s="402">
        <f>BS163 + ABS(BQ163) + ABS(BR163)</f>
        <v>0</v>
      </c>
      <c r="BQ163" s="402"/>
      <c r="BR163" s="402"/>
      <c r="BS163" s="402"/>
      <c r="BT163" s="358"/>
      <c r="BU163" s="358"/>
      <c r="BV163" s="358"/>
      <c r="BW163" s="164" t="b">
        <v>0</v>
      </c>
      <c r="BX163" s="164" t="b">
        <v>0</v>
      </c>
      <c r="BY163" s="358" t="e">
        <f>(BT163-BI163)/BI163</f>
        <v>#DIV/0!</v>
      </c>
      <c r="BZ163" s="358" t="e">
        <f>(BS163-BH163)/BH163</f>
        <v>#DIV/0!</v>
      </c>
      <c r="CA163" s="402">
        <f>CD163 + ABS(CB163) + ABS(CC163)</f>
        <v>0</v>
      </c>
      <c r="CB163" s="402"/>
      <c r="CC163" s="402"/>
      <c r="CD163" s="402"/>
      <c r="CE163" s="358"/>
      <c r="CF163" s="358"/>
      <c r="CG163" s="358"/>
      <c r="CH163" s="164" t="b">
        <v>0</v>
      </c>
      <c r="CI163" s="164" t="b">
        <v>0</v>
      </c>
      <c r="CJ163" s="358" t="e">
        <f>(CE163-BV163)/BV163</f>
        <v>#DIV/0!</v>
      </c>
      <c r="CK163" s="358" t="e">
        <f>(CD163-BS163)/BS163</f>
        <v>#DIV/0!</v>
      </c>
      <c r="CL163" s="402">
        <f>CO163 + ABS(CM163) + ABS(CN163)</f>
        <v>0</v>
      </c>
      <c r="CM163" s="402"/>
      <c r="CN163" s="402"/>
      <c r="CO163" s="402"/>
      <c r="CP163" s="358"/>
      <c r="CQ163" s="358"/>
      <c r="CR163" s="358"/>
      <c r="CS163" s="164" t="b">
        <v>0</v>
      </c>
      <c r="CT163" s="164" t="b">
        <v>0</v>
      </c>
      <c r="CU163" s="358" t="e">
        <f>(CP163-CE163)/CE163</f>
        <v>#DIV/0!</v>
      </c>
      <c r="CV163" s="358" t="e">
        <f>(CO163-CD163)/CD163</f>
        <v>#DIV/0!</v>
      </c>
      <c r="CW163" s="402">
        <f>CZ163 + ABS(CX163) + ABS(CY163)</f>
        <v>0</v>
      </c>
      <c r="CX163" s="402"/>
      <c r="CY163" s="402"/>
      <c r="CZ163" s="402"/>
      <c r="DA163" s="358"/>
      <c r="DB163" s="358"/>
      <c r="DC163" s="358"/>
      <c r="DD163" s="164" t="b">
        <v>0</v>
      </c>
      <c r="DE163" s="164" t="b">
        <v>0</v>
      </c>
      <c r="DF163" s="358" t="e">
        <f>(DA163-CR163)/CR163</f>
        <v>#DIV/0!</v>
      </c>
      <c r="DG163" s="358" t="e">
        <f>(CZ163-CO163)/CO163</f>
        <v>#DIV/0!</v>
      </c>
      <c r="DH163" s="402">
        <f>DK163 + ABS(DI163) + ABS(DJ163)</f>
        <v>0</v>
      </c>
      <c r="DI163" s="402"/>
      <c r="DJ163" s="402"/>
      <c r="DK163" s="402"/>
      <c r="DL163" s="358"/>
      <c r="DM163" s="358"/>
      <c r="DN163" s="358"/>
      <c r="DO163" s="164" t="b">
        <v>0</v>
      </c>
      <c r="DP163" s="164" t="b">
        <v>0</v>
      </c>
      <c r="DQ163" s="358" t="e">
        <f>(DL163-DA163)/DA163</f>
        <v>#DIV/0!</v>
      </c>
      <c r="DR163" s="358" t="e">
        <f>(DK163-CZ163)/CZ163</f>
        <v>#DIV/0!</v>
      </c>
      <c r="DS163" s="402">
        <f>DV163 + ABS(DT163) + ABS(DU163)</f>
        <v>0</v>
      </c>
      <c r="DT163" s="402"/>
      <c r="DU163" s="402"/>
      <c r="DV163" s="402"/>
      <c r="DW163" s="358"/>
      <c r="DX163" s="358"/>
      <c r="DY163" s="358"/>
      <c r="DZ163" s="164" t="b">
        <v>0</v>
      </c>
      <c r="EA163" s="164" t="b">
        <v>0</v>
      </c>
      <c r="EB163" s="358" t="e">
        <f>(DW163-DN163)/DN163</f>
        <v>#DIV/0!</v>
      </c>
      <c r="EC163" s="358" t="e">
        <f>(DV163-DK163)/DK163</f>
        <v>#DIV/0!</v>
      </c>
      <c r="ED163" s="402">
        <f>EG163 + ABS(EE163) + ABS(EF163)</f>
        <v>0</v>
      </c>
      <c r="EE163" s="402"/>
      <c r="EF163" s="402"/>
      <c r="EG163" s="402"/>
      <c r="EH163" s="358"/>
      <c r="EI163" s="358"/>
      <c r="EJ163" s="358"/>
      <c r="EK163" s="164" t="b">
        <v>0</v>
      </c>
      <c r="EL163" s="164" t="b">
        <v>0</v>
      </c>
      <c r="EM163" s="358" t="e">
        <f>(EH163-DW163)/DW163</f>
        <v>#DIV/0!</v>
      </c>
      <c r="EN163" s="358" t="e">
        <f>(EG163-DV163)/DV163</f>
        <v>#DIV/0!</v>
      </c>
      <c r="EO163" s="402">
        <f>ER163 + ABS(EP163) + ABS(EQ163)</f>
        <v>0</v>
      </c>
      <c r="EP163" s="402"/>
      <c r="EQ163" s="402"/>
      <c r="ER163" s="402"/>
      <c r="ES163" s="358"/>
      <c r="ET163" s="358"/>
      <c r="EU163" s="358"/>
      <c r="EV163" s="164" t="b">
        <v>0</v>
      </c>
      <c r="EW163" s="164" t="b">
        <v>0</v>
      </c>
      <c r="EX163" s="358" t="e">
        <f>(ES163-EJ163)/EJ163</f>
        <v>#DIV/0!</v>
      </c>
      <c r="EY163" s="358" t="e">
        <f>(ER163-EG163)/EG163</f>
        <v>#DIV/0!</v>
      </c>
      <c r="EZ163" s="449"/>
      <c r="FA163" s="449"/>
      <c r="FB163" s="449"/>
      <c r="FC163" s="449"/>
      <c r="FD163" s="449"/>
      <c r="FE163" s="449"/>
      <c r="FF163" s="449"/>
      <c r="FG163" s="449"/>
      <c r="FH163" s="449"/>
      <c r="FI163" s="449"/>
      <c r="FJ163" s="449"/>
      <c r="FK163" s="449"/>
      <c r="FL163" s="449"/>
      <c r="FM163" s="175"/>
      <c r="FN163" s="175"/>
      <c r="FO163" s="175"/>
      <c r="FP163" s="175"/>
      <c r="FQ163" s="801"/>
      <c r="FR163" s="175"/>
      <c r="FS163" s="175"/>
      <c r="FT163" s="17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175"/>
      <c r="HL163" s="175"/>
      <c r="HM163" s="175"/>
    </row>
    <row r="164" spans="2:221" ht="15">
      <c r="B164" s="175"/>
      <c r="C164" s="800" t="s">
        <v>601</v>
      </c>
      <c r="D164" s="357">
        <v>1450022</v>
      </c>
      <c r="E164" s="357">
        <v>105</v>
      </c>
      <c r="F164" s="357" t="s">
        <v>604</v>
      </c>
      <c r="G164" s="426" t="s">
        <v>605</v>
      </c>
      <c r="H164" s="148" t="s">
        <v>169</v>
      </c>
      <c r="I164" s="448" t="s">
        <v>170</v>
      </c>
      <c r="J164" s="357"/>
      <c r="K164" s="357"/>
      <c r="L164" s="357"/>
      <c r="M164" s="358"/>
      <c r="N164" s="359">
        <v>107</v>
      </c>
      <c r="O164" s="358"/>
      <c r="P164" s="402">
        <v>2258.1</v>
      </c>
      <c r="Q164" s="402"/>
      <c r="R164" s="402">
        <v>44785.62</v>
      </c>
      <c r="S164" s="358">
        <v>1594</v>
      </c>
      <c r="T164" s="188" t="s">
        <v>171</v>
      </c>
      <c r="U164" s="358"/>
      <c r="V164" s="358"/>
      <c r="W164" s="358"/>
      <c r="X164" s="402">
        <f t="shared" si="12"/>
        <v>79967.179999999993</v>
      </c>
      <c r="Y164" s="402">
        <v>-3838.42</v>
      </c>
      <c r="Z164" s="402">
        <v>0</v>
      </c>
      <c r="AA164" s="402">
        <v>76128.759999999995</v>
      </c>
      <c r="AB164" s="450">
        <v>2678</v>
      </c>
      <c r="AC164" s="173" t="s">
        <v>172</v>
      </c>
      <c r="AD164" s="173" t="s">
        <v>173</v>
      </c>
      <c r="AE164" s="164" t="b">
        <v>1</v>
      </c>
      <c r="AF164" s="164" t="b">
        <v>1</v>
      </c>
      <c r="AG164" s="409">
        <f>(AB164-S164)/S164</f>
        <v>0.68005018820577168</v>
      </c>
      <c r="AH164" s="409">
        <f>(AA164-R164)/R164</f>
        <v>0.69984829952114069</v>
      </c>
      <c r="AI164" s="402">
        <f t="shared" si="14"/>
        <v>73011.42</v>
      </c>
      <c r="AJ164" s="364">
        <v>-3504.55</v>
      </c>
      <c r="AK164" s="364">
        <v>0</v>
      </c>
      <c r="AL164" s="364">
        <v>69506.87</v>
      </c>
      <c r="AM164" s="1069">
        <v>2339</v>
      </c>
      <c r="AN164" s="407">
        <v>46122</v>
      </c>
      <c r="AO164" s="148" t="s">
        <v>174</v>
      </c>
      <c r="AP164" s="860" t="b">
        <v>1</v>
      </c>
      <c r="AQ164" s="860" t="b">
        <v>1</v>
      </c>
      <c r="AR164" s="409">
        <f t="shared" si="13"/>
        <v>-0.12658700522778193</v>
      </c>
      <c r="AS164" s="409">
        <f>(AL164-AA164)/AA164</f>
        <v>-8.6982764463784779E-2</v>
      </c>
      <c r="AT164" s="402">
        <f t="shared" si="15"/>
        <v>0</v>
      </c>
      <c r="AU164" s="402"/>
      <c r="AV164" s="402"/>
      <c r="AW164" s="402"/>
      <c r="AX164" s="358"/>
      <c r="AY164" s="358"/>
      <c r="AZ164" s="358"/>
      <c r="BA164" s="164" t="b">
        <v>0</v>
      </c>
      <c r="BB164" s="164" t="b">
        <v>0</v>
      </c>
      <c r="BC164" s="358">
        <f>(AX164-AM164)/AM164</f>
        <v>-1</v>
      </c>
      <c r="BD164" s="358">
        <f>(AW164-AL164)/AL164</f>
        <v>-1</v>
      </c>
      <c r="BE164" s="402">
        <f>BH164 + ABS(BF164) + ABS(BG164)</f>
        <v>0</v>
      </c>
      <c r="BF164" s="402"/>
      <c r="BG164" s="402"/>
      <c r="BH164" s="402"/>
      <c r="BI164" s="358"/>
      <c r="BJ164" s="358"/>
      <c r="BK164" s="358"/>
      <c r="BL164" s="164" t="b">
        <v>0</v>
      </c>
      <c r="BM164" s="164" t="b">
        <v>0</v>
      </c>
      <c r="BN164" s="358" t="e">
        <f>(BI164-AZ164)/AZ164</f>
        <v>#DIV/0!</v>
      </c>
      <c r="BO164" s="358" t="e">
        <f>(BH164-AW164)/AW164</f>
        <v>#DIV/0!</v>
      </c>
      <c r="BP164" s="402">
        <f>BS164 + ABS(BQ164) + ABS(BR164)</f>
        <v>0</v>
      </c>
      <c r="BQ164" s="402"/>
      <c r="BR164" s="402"/>
      <c r="BS164" s="402"/>
      <c r="BT164" s="358"/>
      <c r="BU164" s="358"/>
      <c r="BV164" s="358"/>
      <c r="BW164" s="164" t="b">
        <v>0</v>
      </c>
      <c r="BX164" s="164" t="b">
        <v>0</v>
      </c>
      <c r="BY164" s="358" t="e">
        <f>(BT164-BI164)/BI164</f>
        <v>#DIV/0!</v>
      </c>
      <c r="BZ164" s="358" t="e">
        <f>(BS164-BH164)/BH164</f>
        <v>#DIV/0!</v>
      </c>
      <c r="CA164" s="402">
        <f>CD164 + ABS(CB164) + ABS(CC164)</f>
        <v>0</v>
      </c>
      <c r="CB164" s="402"/>
      <c r="CC164" s="402"/>
      <c r="CD164" s="402"/>
      <c r="CE164" s="358"/>
      <c r="CF164" s="358"/>
      <c r="CG164" s="358"/>
      <c r="CH164" s="164" t="b">
        <v>0</v>
      </c>
      <c r="CI164" s="164" t="b">
        <v>0</v>
      </c>
      <c r="CJ164" s="358" t="e">
        <f>(CE164-BV164)/BV164</f>
        <v>#DIV/0!</v>
      </c>
      <c r="CK164" s="358" t="e">
        <f>(CD164-BS164)/BS164</f>
        <v>#DIV/0!</v>
      </c>
      <c r="CL164" s="402">
        <f>CO164 + ABS(CM164) + ABS(CN164)</f>
        <v>0</v>
      </c>
      <c r="CM164" s="402"/>
      <c r="CN164" s="402"/>
      <c r="CO164" s="402"/>
      <c r="CP164" s="358"/>
      <c r="CQ164" s="358"/>
      <c r="CR164" s="358"/>
      <c r="CS164" s="164" t="b">
        <v>0</v>
      </c>
      <c r="CT164" s="164" t="b">
        <v>0</v>
      </c>
      <c r="CU164" s="358" t="e">
        <f>(CP164-CE164)/CE164</f>
        <v>#DIV/0!</v>
      </c>
      <c r="CV164" s="358" t="e">
        <f>(CO164-CD164)/CD164</f>
        <v>#DIV/0!</v>
      </c>
      <c r="CW164" s="402">
        <f>CZ164 + ABS(CX164) + ABS(CY164)</f>
        <v>0</v>
      </c>
      <c r="CX164" s="402"/>
      <c r="CY164" s="402"/>
      <c r="CZ164" s="402"/>
      <c r="DA164" s="358"/>
      <c r="DB164" s="358"/>
      <c r="DC164" s="358"/>
      <c r="DD164" s="164" t="b">
        <v>0</v>
      </c>
      <c r="DE164" s="164" t="b">
        <v>0</v>
      </c>
      <c r="DF164" s="358" t="e">
        <f>(DA164-CR164)/CR164</f>
        <v>#DIV/0!</v>
      </c>
      <c r="DG164" s="358" t="e">
        <f>(CZ164-CO164)/CO164</f>
        <v>#DIV/0!</v>
      </c>
      <c r="DH164" s="402">
        <f>DK164 + ABS(DI164) + ABS(DJ164)</f>
        <v>0</v>
      </c>
      <c r="DI164" s="402"/>
      <c r="DJ164" s="402"/>
      <c r="DK164" s="402"/>
      <c r="DL164" s="358"/>
      <c r="DM164" s="358"/>
      <c r="DN164" s="358"/>
      <c r="DO164" s="164" t="b">
        <v>0</v>
      </c>
      <c r="DP164" s="164" t="b">
        <v>0</v>
      </c>
      <c r="DQ164" s="358" t="e">
        <f>(DL164-DA164)/DA164</f>
        <v>#DIV/0!</v>
      </c>
      <c r="DR164" s="358" t="e">
        <f>(DK164-CZ164)/CZ164</f>
        <v>#DIV/0!</v>
      </c>
      <c r="DS164" s="402">
        <f>DV164 + ABS(DT164) + ABS(DU164)</f>
        <v>0</v>
      </c>
      <c r="DT164" s="402"/>
      <c r="DU164" s="402"/>
      <c r="DV164" s="402"/>
      <c r="DW164" s="358"/>
      <c r="DX164" s="358"/>
      <c r="DY164" s="358"/>
      <c r="DZ164" s="164" t="b">
        <v>0</v>
      </c>
      <c r="EA164" s="164" t="b">
        <v>0</v>
      </c>
      <c r="EB164" s="358" t="e">
        <f>(DW164-DN164)/DN164</f>
        <v>#DIV/0!</v>
      </c>
      <c r="EC164" s="358" t="e">
        <f>(DV164-DK164)/DK164</f>
        <v>#DIV/0!</v>
      </c>
      <c r="ED164" s="402">
        <f>EG164 + ABS(EE164) + ABS(EF164)</f>
        <v>0</v>
      </c>
      <c r="EE164" s="402"/>
      <c r="EF164" s="402"/>
      <c r="EG164" s="402"/>
      <c r="EH164" s="358"/>
      <c r="EI164" s="358"/>
      <c r="EJ164" s="358"/>
      <c r="EK164" s="164" t="b">
        <v>0</v>
      </c>
      <c r="EL164" s="164" t="b">
        <v>0</v>
      </c>
      <c r="EM164" s="358" t="e">
        <f>(EH164-DW164)/DW164</f>
        <v>#DIV/0!</v>
      </c>
      <c r="EN164" s="358" t="e">
        <f>(EG164-DV164)/DV164</f>
        <v>#DIV/0!</v>
      </c>
      <c r="EO164" s="402">
        <f>ER164 + ABS(EP164) + ABS(EQ164)</f>
        <v>0</v>
      </c>
      <c r="EP164" s="402"/>
      <c r="EQ164" s="402"/>
      <c r="ER164" s="402"/>
      <c r="ES164" s="358"/>
      <c r="ET164" s="358"/>
      <c r="EU164" s="358"/>
      <c r="EV164" s="164" t="b">
        <v>0</v>
      </c>
      <c r="EW164" s="164" t="b">
        <v>0</v>
      </c>
      <c r="EX164" s="358" t="e">
        <f>(ES164-EJ164)/EJ164</f>
        <v>#DIV/0!</v>
      </c>
      <c r="EY164" s="358" t="e">
        <f>(ER164-EG164)/EG164</f>
        <v>#DIV/0!</v>
      </c>
      <c r="EZ164" s="449"/>
      <c r="FA164" s="449"/>
      <c r="FB164" s="449"/>
      <c r="FC164" s="449"/>
      <c r="FD164" s="449"/>
      <c r="FE164" s="449"/>
      <c r="FF164" s="449"/>
      <c r="FG164" s="449"/>
      <c r="FH164" s="449"/>
      <c r="FI164" s="449"/>
      <c r="FJ164" s="449"/>
      <c r="FK164" s="449"/>
      <c r="FL164" s="449"/>
      <c r="FM164" s="175"/>
      <c r="FN164" s="175"/>
      <c r="FO164" s="175"/>
      <c r="FP164" s="175"/>
      <c r="FQ164" s="801"/>
      <c r="FR164" s="175"/>
      <c r="FS164" s="175"/>
      <c r="FT164" s="17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175"/>
      <c r="HL164" s="175"/>
      <c r="HM164" s="175"/>
    </row>
    <row r="165" spans="2:221" ht="15">
      <c r="B165" s="175"/>
      <c r="C165" s="800" t="s">
        <v>601</v>
      </c>
      <c r="D165" s="357">
        <v>1450022</v>
      </c>
      <c r="E165" s="357">
        <v>105</v>
      </c>
      <c r="F165" s="357" t="s">
        <v>606</v>
      </c>
      <c r="G165" s="426" t="s">
        <v>607</v>
      </c>
      <c r="H165" s="148" t="s">
        <v>169</v>
      </c>
      <c r="I165" s="448" t="s">
        <v>170</v>
      </c>
      <c r="J165" s="357"/>
      <c r="K165" s="357"/>
      <c r="L165" s="357"/>
      <c r="M165" s="358"/>
      <c r="N165" s="361">
        <v>107</v>
      </c>
      <c r="O165" s="358"/>
      <c r="P165" s="402">
        <v>1680.11</v>
      </c>
      <c r="Q165" s="402"/>
      <c r="R165" s="402">
        <v>33322.120000000003</v>
      </c>
      <c r="S165" s="358">
        <v>1196</v>
      </c>
      <c r="T165" s="188" t="s">
        <v>171</v>
      </c>
      <c r="U165" s="358"/>
      <c r="V165" s="358"/>
      <c r="W165" s="358"/>
      <c r="X165" s="402">
        <f t="shared" ref="X165:X182" si="16">AA165 + ABS(Y165) + ABS(Z165)</f>
        <v>28239.9</v>
      </c>
      <c r="Y165" s="402">
        <v>-1355.52</v>
      </c>
      <c r="Z165" s="402">
        <v>0</v>
      </c>
      <c r="AA165" s="402">
        <v>26884.38</v>
      </c>
      <c r="AB165" s="450">
        <v>971</v>
      </c>
      <c r="AC165" s="173" t="s">
        <v>172</v>
      </c>
      <c r="AD165" s="173" t="s">
        <v>173</v>
      </c>
      <c r="AE165" s="164" t="b">
        <v>1</v>
      </c>
      <c r="AF165" s="164" t="b">
        <v>1</v>
      </c>
      <c r="AG165" s="409">
        <f>(AB165-S165)/S165</f>
        <v>-0.18812709030100336</v>
      </c>
      <c r="AH165" s="409">
        <f>(AA165-R165)/R165</f>
        <v>-0.19319719153523249</v>
      </c>
      <c r="AI165" s="402">
        <f t="shared" si="14"/>
        <v>22605.119999999999</v>
      </c>
      <c r="AJ165" s="364">
        <v>-1085.05</v>
      </c>
      <c r="AK165" s="364">
        <v>0</v>
      </c>
      <c r="AL165" s="364">
        <v>21520.07</v>
      </c>
      <c r="AM165" s="1069">
        <v>751</v>
      </c>
      <c r="AN165" s="407">
        <v>46122</v>
      </c>
      <c r="AO165" s="148" t="s">
        <v>174</v>
      </c>
      <c r="AP165" s="860" t="b">
        <v>1</v>
      </c>
      <c r="AQ165" s="860" t="b">
        <v>1</v>
      </c>
      <c r="AR165" s="409">
        <f t="shared" ref="AR165:AR192" si="17">(AM165-AB165)/AB165</f>
        <v>-0.22657054582904224</v>
      </c>
      <c r="AS165" s="409">
        <f>(AL165-AA165)/AA165</f>
        <v>-0.19953259104357254</v>
      </c>
      <c r="AT165" s="402">
        <f t="shared" si="15"/>
        <v>0</v>
      </c>
      <c r="AU165" s="402"/>
      <c r="AV165" s="402"/>
      <c r="AW165" s="402"/>
      <c r="AX165" s="358"/>
      <c r="AY165" s="358"/>
      <c r="AZ165" s="358"/>
      <c r="BA165" s="164" t="b">
        <v>0</v>
      </c>
      <c r="BB165" s="164" t="b">
        <v>0</v>
      </c>
      <c r="BC165" s="358">
        <f>(AX165-AM165)/AM165</f>
        <v>-1</v>
      </c>
      <c r="BD165" s="358">
        <f>(AW165-AL165)/AL165</f>
        <v>-1</v>
      </c>
      <c r="BE165" s="402">
        <f>BH165 + ABS(BF165) + ABS(BG165)</f>
        <v>0</v>
      </c>
      <c r="BF165" s="402"/>
      <c r="BG165" s="402"/>
      <c r="BH165" s="402"/>
      <c r="BI165" s="358"/>
      <c r="BJ165" s="358"/>
      <c r="BK165" s="358"/>
      <c r="BL165" s="164" t="b">
        <v>0</v>
      </c>
      <c r="BM165" s="164" t="b">
        <v>0</v>
      </c>
      <c r="BN165" s="358" t="e">
        <f>(BI165-AZ165)/AZ165</f>
        <v>#DIV/0!</v>
      </c>
      <c r="BO165" s="358" t="e">
        <f>(BH165-AW165)/AW165</f>
        <v>#DIV/0!</v>
      </c>
      <c r="BP165" s="402">
        <f>BS165 + ABS(BQ165) + ABS(BR165)</f>
        <v>0</v>
      </c>
      <c r="BQ165" s="402"/>
      <c r="BR165" s="402"/>
      <c r="BS165" s="402"/>
      <c r="BT165" s="358"/>
      <c r="BU165" s="358"/>
      <c r="BV165" s="358"/>
      <c r="BW165" s="164" t="b">
        <v>0</v>
      </c>
      <c r="BX165" s="164" t="b">
        <v>0</v>
      </c>
      <c r="BY165" s="358" t="e">
        <f>(BT165-BI165)/BI165</f>
        <v>#DIV/0!</v>
      </c>
      <c r="BZ165" s="358" t="e">
        <f>(BS165-BH165)/BH165</f>
        <v>#DIV/0!</v>
      </c>
      <c r="CA165" s="402">
        <f>CD165 + ABS(CB165) + ABS(CC165)</f>
        <v>0</v>
      </c>
      <c r="CB165" s="402"/>
      <c r="CC165" s="402"/>
      <c r="CD165" s="402"/>
      <c r="CE165" s="358"/>
      <c r="CF165" s="358"/>
      <c r="CG165" s="358"/>
      <c r="CH165" s="164" t="b">
        <v>0</v>
      </c>
      <c r="CI165" s="164" t="b">
        <v>0</v>
      </c>
      <c r="CJ165" s="358" t="e">
        <f>(CE165-BV165)/BV165</f>
        <v>#DIV/0!</v>
      </c>
      <c r="CK165" s="358" t="e">
        <f>(CD165-BS165)/BS165</f>
        <v>#DIV/0!</v>
      </c>
      <c r="CL165" s="402">
        <f>CO165 + ABS(CM165) + ABS(CN165)</f>
        <v>0</v>
      </c>
      <c r="CM165" s="402"/>
      <c r="CN165" s="402"/>
      <c r="CO165" s="402"/>
      <c r="CP165" s="358"/>
      <c r="CQ165" s="358"/>
      <c r="CR165" s="358"/>
      <c r="CS165" s="164" t="b">
        <v>0</v>
      </c>
      <c r="CT165" s="164" t="b">
        <v>0</v>
      </c>
      <c r="CU165" s="358" t="e">
        <f>(CP165-CE165)/CE165</f>
        <v>#DIV/0!</v>
      </c>
      <c r="CV165" s="358" t="e">
        <f>(CO165-CD165)/CD165</f>
        <v>#DIV/0!</v>
      </c>
      <c r="CW165" s="402">
        <f>CZ165 + ABS(CX165) + ABS(CY165)</f>
        <v>0</v>
      </c>
      <c r="CX165" s="402"/>
      <c r="CY165" s="402"/>
      <c r="CZ165" s="402"/>
      <c r="DA165" s="358"/>
      <c r="DB165" s="358"/>
      <c r="DC165" s="358"/>
      <c r="DD165" s="164" t="b">
        <v>0</v>
      </c>
      <c r="DE165" s="164" t="b">
        <v>0</v>
      </c>
      <c r="DF165" s="358" t="e">
        <f>(DA165-CR165)/CR165</f>
        <v>#DIV/0!</v>
      </c>
      <c r="DG165" s="358" t="e">
        <f>(CZ165-CO165)/CO165</f>
        <v>#DIV/0!</v>
      </c>
      <c r="DH165" s="402">
        <f>DK165 + ABS(DI165) + ABS(DJ165)</f>
        <v>0</v>
      </c>
      <c r="DI165" s="402"/>
      <c r="DJ165" s="402"/>
      <c r="DK165" s="402"/>
      <c r="DL165" s="358"/>
      <c r="DM165" s="358"/>
      <c r="DN165" s="358"/>
      <c r="DO165" s="164" t="b">
        <v>0</v>
      </c>
      <c r="DP165" s="164" t="b">
        <v>0</v>
      </c>
      <c r="DQ165" s="358" t="e">
        <f>(DL165-DA165)/DA165</f>
        <v>#DIV/0!</v>
      </c>
      <c r="DR165" s="358" t="e">
        <f>(DK165-CZ165)/CZ165</f>
        <v>#DIV/0!</v>
      </c>
      <c r="DS165" s="402">
        <f>DV165 + ABS(DT165) + ABS(DU165)</f>
        <v>0</v>
      </c>
      <c r="DT165" s="402"/>
      <c r="DU165" s="402"/>
      <c r="DV165" s="402"/>
      <c r="DW165" s="358"/>
      <c r="DX165" s="358"/>
      <c r="DY165" s="358"/>
      <c r="DZ165" s="164" t="b">
        <v>0</v>
      </c>
      <c r="EA165" s="164" t="b">
        <v>0</v>
      </c>
      <c r="EB165" s="358" t="e">
        <f>(DW165-DN165)/DN165</f>
        <v>#DIV/0!</v>
      </c>
      <c r="EC165" s="358" t="e">
        <f>(DV165-DK165)/DK165</f>
        <v>#DIV/0!</v>
      </c>
      <c r="ED165" s="402">
        <f>EG165 + ABS(EE165) + ABS(EF165)</f>
        <v>0</v>
      </c>
      <c r="EE165" s="402"/>
      <c r="EF165" s="402"/>
      <c r="EG165" s="402"/>
      <c r="EH165" s="358"/>
      <c r="EI165" s="358"/>
      <c r="EJ165" s="358"/>
      <c r="EK165" s="164" t="b">
        <v>0</v>
      </c>
      <c r="EL165" s="164" t="b">
        <v>0</v>
      </c>
      <c r="EM165" s="358" t="e">
        <f>(EH165-DW165)/DW165</f>
        <v>#DIV/0!</v>
      </c>
      <c r="EN165" s="358" t="e">
        <f>(EG165-DV165)/DV165</f>
        <v>#DIV/0!</v>
      </c>
      <c r="EO165" s="402">
        <f>ER165 + ABS(EP165) + ABS(EQ165)</f>
        <v>0</v>
      </c>
      <c r="EP165" s="402"/>
      <c r="EQ165" s="402"/>
      <c r="ER165" s="402"/>
      <c r="ES165" s="358"/>
      <c r="ET165" s="358"/>
      <c r="EU165" s="358"/>
      <c r="EV165" s="164" t="b">
        <v>0</v>
      </c>
      <c r="EW165" s="164" t="b">
        <v>0</v>
      </c>
      <c r="EX165" s="358" t="e">
        <f>(ES165-EJ165)/EJ165</f>
        <v>#DIV/0!</v>
      </c>
      <c r="EY165" s="358" t="e">
        <f>(ER165-EG165)/EG165</f>
        <v>#DIV/0!</v>
      </c>
      <c r="EZ165" s="449"/>
      <c r="FA165" s="449"/>
      <c r="FB165" s="449"/>
      <c r="FC165" s="449"/>
      <c r="FD165" s="449"/>
      <c r="FE165" s="449"/>
      <c r="FF165" s="449"/>
      <c r="FG165" s="449"/>
      <c r="FH165" s="449"/>
      <c r="FI165" s="449"/>
      <c r="FJ165" s="449"/>
      <c r="FK165" s="449"/>
      <c r="FL165" s="449"/>
      <c r="FM165" s="175"/>
      <c r="FN165" s="175"/>
      <c r="FO165" s="175"/>
      <c r="FP165" s="175"/>
      <c r="FQ165" s="801"/>
      <c r="FR165" s="175"/>
      <c r="FS165" s="175"/>
      <c r="FT165" s="175"/>
      <c r="FU165" s="175"/>
      <c r="FV165" s="175"/>
      <c r="FW165" s="175"/>
      <c r="FX165" s="175"/>
      <c r="FY165" s="175"/>
      <c r="FZ165" s="175"/>
      <c r="GA165" s="175"/>
      <c r="GB165" s="175"/>
      <c r="GC165" s="175"/>
      <c r="GD165" s="175"/>
      <c r="GE165" s="175"/>
      <c r="GF165" s="175"/>
      <c r="GG165" s="175"/>
      <c r="GH165" s="175"/>
      <c r="GI165" s="175"/>
      <c r="GJ165" s="175"/>
      <c r="GK165" s="175"/>
      <c r="GL165" s="175"/>
      <c r="GM165" s="175"/>
      <c r="GN165" s="175"/>
      <c r="GO165" s="175"/>
      <c r="GP165" s="175"/>
      <c r="GQ165" s="175"/>
      <c r="GR165" s="175"/>
      <c r="GS165" s="175"/>
      <c r="GT165" s="175"/>
      <c r="GU165" s="175"/>
      <c r="GV165" s="175"/>
      <c r="GW165" s="175"/>
      <c r="GX165" s="175"/>
      <c r="GY165" s="175"/>
      <c r="GZ165" s="175"/>
      <c r="HA165" s="175"/>
      <c r="HB165" s="175"/>
      <c r="HC165" s="175"/>
      <c r="HD165" s="175"/>
      <c r="HE165" s="175"/>
      <c r="HF165" s="175"/>
      <c r="HG165" s="175"/>
      <c r="HH165" s="175"/>
      <c r="HI165" s="175"/>
      <c r="HJ165" s="175"/>
      <c r="HK165" s="175"/>
      <c r="HL165" s="175"/>
      <c r="HM165" s="175"/>
    </row>
    <row r="166" spans="2:221" ht="15">
      <c r="B166" s="175"/>
      <c r="C166" s="802" t="s">
        <v>608</v>
      </c>
      <c r="D166" s="154">
        <v>1450022</v>
      </c>
      <c r="E166" s="154">
        <v>352</v>
      </c>
      <c r="F166" s="154" t="s">
        <v>609</v>
      </c>
      <c r="G166" s="255" t="s">
        <v>610</v>
      </c>
      <c r="H166" s="171" t="s">
        <v>169</v>
      </c>
      <c r="I166" s="445" t="s">
        <v>170</v>
      </c>
      <c r="J166" s="154"/>
      <c r="K166" s="154"/>
      <c r="L166" s="154"/>
      <c r="M166" s="176"/>
      <c r="N166" s="193">
        <v>107</v>
      </c>
      <c r="O166" s="176"/>
      <c r="P166" s="203">
        <v>1189.25</v>
      </c>
      <c r="Q166" s="203"/>
      <c r="R166" s="203">
        <v>23586.79</v>
      </c>
      <c r="S166" s="176">
        <v>858</v>
      </c>
      <c r="T166" s="188" t="s">
        <v>171</v>
      </c>
      <c r="U166" s="176"/>
      <c r="V166" s="176"/>
      <c r="W166" s="176"/>
      <c r="X166" s="203">
        <f t="shared" si="16"/>
        <v>2261.75</v>
      </c>
      <c r="Y166" s="203">
        <v>-108.56</v>
      </c>
      <c r="Z166" s="203">
        <v>0</v>
      </c>
      <c r="AA166" s="203">
        <v>2153.19</v>
      </c>
      <c r="AB166" s="446">
        <v>98</v>
      </c>
      <c r="AC166" s="444" t="s">
        <v>172</v>
      </c>
      <c r="AD166" s="444" t="s">
        <v>173</v>
      </c>
      <c r="AE166" s="177" t="b">
        <v>1</v>
      </c>
      <c r="AF166" s="177" t="b">
        <v>1</v>
      </c>
      <c r="AG166" s="392">
        <f>(AB166-S166)/S166</f>
        <v>-0.88578088578088576</v>
      </c>
      <c r="AH166" s="392">
        <f>(AA166-R166)/R166</f>
        <v>-0.90871203754304852</v>
      </c>
      <c r="AI166" s="203">
        <f t="shared" si="14"/>
        <v>2119.39</v>
      </c>
      <c r="AJ166" s="368">
        <v>-101.73</v>
      </c>
      <c r="AK166" s="368">
        <v>0</v>
      </c>
      <c r="AL166" s="368">
        <v>2017.66</v>
      </c>
      <c r="AM166" s="1068">
        <v>89</v>
      </c>
      <c r="AN166" s="172">
        <v>46122</v>
      </c>
      <c r="AO166" s="171" t="s">
        <v>174</v>
      </c>
      <c r="AP166" s="861" t="b">
        <v>1</v>
      </c>
      <c r="AQ166" s="861" t="b">
        <v>1</v>
      </c>
      <c r="AR166" s="392">
        <f t="shared" si="17"/>
        <v>-9.1836734693877556E-2</v>
      </c>
      <c r="AS166" s="392">
        <f>(AL166-AA166)/AA166</f>
        <v>-6.294381824177149E-2</v>
      </c>
      <c r="AT166" s="203">
        <f t="shared" si="15"/>
        <v>0</v>
      </c>
      <c r="AU166" s="203"/>
      <c r="AV166" s="203"/>
      <c r="AW166" s="203"/>
      <c r="AX166" s="176"/>
      <c r="AY166" s="176"/>
      <c r="AZ166" s="176"/>
      <c r="BA166" s="177" t="b">
        <v>0</v>
      </c>
      <c r="BB166" s="177" t="b">
        <v>0</v>
      </c>
      <c r="BC166" s="176">
        <f>(AX166-AM166)/AM166</f>
        <v>-1</v>
      </c>
      <c r="BD166" s="176">
        <f>(AW166-AL166)/AL166</f>
        <v>-1</v>
      </c>
      <c r="BE166" s="203">
        <f>BH166 + ABS(BF166) + ABS(BG166)</f>
        <v>0</v>
      </c>
      <c r="BF166" s="203"/>
      <c r="BG166" s="203"/>
      <c r="BH166" s="203"/>
      <c r="BI166" s="176"/>
      <c r="BJ166" s="176"/>
      <c r="BK166" s="176"/>
      <c r="BL166" s="177" t="b">
        <v>0</v>
      </c>
      <c r="BM166" s="177" t="b">
        <v>0</v>
      </c>
      <c r="BN166" s="176" t="e">
        <f>(BI166-AZ166)/AZ166</f>
        <v>#DIV/0!</v>
      </c>
      <c r="BO166" s="176" t="e">
        <f>(BH166-AW166)/AW166</f>
        <v>#DIV/0!</v>
      </c>
      <c r="BP166" s="203">
        <f>BS166 + ABS(BQ166) + ABS(BR166)</f>
        <v>0</v>
      </c>
      <c r="BQ166" s="203"/>
      <c r="BR166" s="203"/>
      <c r="BS166" s="203"/>
      <c r="BT166" s="176"/>
      <c r="BU166" s="176"/>
      <c r="BV166" s="176"/>
      <c r="BW166" s="177" t="b">
        <v>0</v>
      </c>
      <c r="BX166" s="177" t="b">
        <v>0</v>
      </c>
      <c r="BY166" s="176" t="e">
        <f>(BT166-BI166)/BI166</f>
        <v>#DIV/0!</v>
      </c>
      <c r="BZ166" s="176" t="e">
        <f>(BS166-BH166)/BH166</f>
        <v>#DIV/0!</v>
      </c>
      <c r="CA166" s="203">
        <f>CD166 + ABS(CB166) + ABS(CC166)</f>
        <v>0</v>
      </c>
      <c r="CB166" s="203"/>
      <c r="CC166" s="203"/>
      <c r="CD166" s="203"/>
      <c r="CE166" s="176"/>
      <c r="CF166" s="176"/>
      <c r="CG166" s="176"/>
      <c r="CH166" s="177" t="b">
        <v>0</v>
      </c>
      <c r="CI166" s="177" t="b">
        <v>0</v>
      </c>
      <c r="CJ166" s="176" t="e">
        <f>(CE166-BV166)/BV166</f>
        <v>#DIV/0!</v>
      </c>
      <c r="CK166" s="176" t="e">
        <f>(CD166-BS166)/BS166</f>
        <v>#DIV/0!</v>
      </c>
      <c r="CL166" s="203">
        <f>CO166 + ABS(CM166) + ABS(CN166)</f>
        <v>0</v>
      </c>
      <c r="CM166" s="203"/>
      <c r="CN166" s="203"/>
      <c r="CO166" s="203"/>
      <c r="CP166" s="176"/>
      <c r="CQ166" s="176"/>
      <c r="CR166" s="176"/>
      <c r="CS166" s="177" t="b">
        <v>0</v>
      </c>
      <c r="CT166" s="177" t="b">
        <v>0</v>
      </c>
      <c r="CU166" s="176" t="e">
        <f>(CP166-CE166)/CE166</f>
        <v>#DIV/0!</v>
      </c>
      <c r="CV166" s="176" t="e">
        <f>(CO166-CD166)/CD166</f>
        <v>#DIV/0!</v>
      </c>
      <c r="CW166" s="203">
        <f>CZ166 + ABS(CX166) + ABS(CY166)</f>
        <v>0</v>
      </c>
      <c r="CX166" s="203"/>
      <c r="CY166" s="203"/>
      <c r="CZ166" s="203"/>
      <c r="DA166" s="176"/>
      <c r="DB166" s="176"/>
      <c r="DC166" s="176"/>
      <c r="DD166" s="177" t="b">
        <v>0</v>
      </c>
      <c r="DE166" s="177" t="b">
        <v>0</v>
      </c>
      <c r="DF166" s="176" t="e">
        <f>(DA166-CR166)/CR166</f>
        <v>#DIV/0!</v>
      </c>
      <c r="DG166" s="176" t="e">
        <f>(CZ166-CO166)/CO166</f>
        <v>#DIV/0!</v>
      </c>
      <c r="DH166" s="203">
        <f>DK166 + ABS(DI166) + ABS(DJ166)</f>
        <v>0</v>
      </c>
      <c r="DI166" s="203"/>
      <c r="DJ166" s="203"/>
      <c r="DK166" s="203"/>
      <c r="DL166" s="176"/>
      <c r="DM166" s="176"/>
      <c r="DN166" s="176"/>
      <c r="DO166" s="177" t="b">
        <v>0</v>
      </c>
      <c r="DP166" s="177" t="b">
        <v>0</v>
      </c>
      <c r="DQ166" s="176" t="e">
        <f>(DL166-DA166)/DA166</f>
        <v>#DIV/0!</v>
      </c>
      <c r="DR166" s="176" t="e">
        <f>(DK166-CZ166)/CZ166</f>
        <v>#DIV/0!</v>
      </c>
      <c r="DS166" s="203">
        <f>DV166 + ABS(DT166) + ABS(DU166)</f>
        <v>0</v>
      </c>
      <c r="DT166" s="203"/>
      <c r="DU166" s="203"/>
      <c r="DV166" s="203"/>
      <c r="DW166" s="176"/>
      <c r="DX166" s="176"/>
      <c r="DY166" s="176"/>
      <c r="DZ166" s="177" t="b">
        <v>0</v>
      </c>
      <c r="EA166" s="177" t="b">
        <v>0</v>
      </c>
      <c r="EB166" s="176" t="e">
        <f>(DW166-DN166)/DN166</f>
        <v>#DIV/0!</v>
      </c>
      <c r="EC166" s="176" t="e">
        <f>(DV166-DK166)/DK166</f>
        <v>#DIV/0!</v>
      </c>
      <c r="ED166" s="203">
        <f>EG166 + ABS(EE166) + ABS(EF166)</f>
        <v>0</v>
      </c>
      <c r="EE166" s="203"/>
      <c r="EF166" s="203"/>
      <c r="EG166" s="203"/>
      <c r="EH166" s="176"/>
      <c r="EI166" s="176"/>
      <c r="EJ166" s="176"/>
      <c r="EK166" s="177" t="b">
        <v>0</v>
      </c>
      <c r="EL166" s="177" t="b">
        <v>0</v>
      </c>
      <c r="EM166" s="176" t="e">
        <f>(EH166-DW166)/DW166</f>
        <v>#DIV/0!</v>
      </c>
      <c r="EN166" s="176" t="e">
        <f>(EG166-DV166)/DV166</f>
        <v>#DIV/0!</v>
      </c>
      <c r="EO166" s="203">
        <f>ER166 + ABS(EP166) + ABS(EQ166)</f>
        <v>0</v>
      </c>
      <c r="EP166" s="203"/>
      <c r="EQ166" s="203"/>
      <c r="ER166" s="203"/>
      <c r="ES166" s="176"/>
      <c r="ET166" s="176"/>
      <c r="EU166" s="176"/>
      <c r="EV166" s="177" t="b">
        <v>0</v>
      </c>
      <c r="EW166" s="177" t="b">
        <v>0</v>
      </c>
      <c r="EX166" s="176" t="e">
        <f>(ES166-EJ166)/EJ166</f>
        <v>#DIV/0!</v>
      </c>
      <c r="EY166" s="176" t="e">
        <f>(ER166-EG166)/EG166</f>
        <v>#DIV/0!</v>
      </c>
      <c r="EZ166" s="175"/>
      <c r="FA166" s="175"/>
      <c r="FB166" s="175"/>
      <c r="FC166" s="175"/>
      <c r="FD166" s="175"/>
      <c r="FE166" s="175"/>
      <c r="FF166" s="175"/>
      <c r="FG166" s="175"/>
      <c r="FH166" s="175"/>
      <c r="FI166" s="175"/>
      <c r="FJ166" s="175"/>
      <c r="FK166" s="175"/>
      <c r="FL166" s="175"/>
      <c r="FM166" s="175"/>
      <c r="FN166" s="175"/>
      <c r="FO166" s="175"/>
      <c r="FP166" s="175"/>
      <c r="FQ166" s="801"/>
      <c r="FR166" s="175"/>
      <c r="FS166" s="175"/>
      <c r="FT166" s="175"/>
      <c r="FU166" s="175"/>
      <c r="FV166" s="175"/>
      <c r="FW166" s="175"/>
      <c r="FX166" s="175"/>
      <c r="FY166" s="175"/>
      <c r="FZ166" s="175"/>
      <c r="GA166" s="175"/>
      <c r="GB166" s="175"/>
      <c r="GC166" s="175"/>
      <c r="GD166" s="175"/>
      <c r="GE166" s="175"/>
      <c r="GF166" s="175"/>
      <c r="GG166" s="175"/>
      <c r="GH166" s="175"/>
      <c r="GI166" s="175"/>
      <c r="GJ166" s="175"/>
      <c r="GK166" s="175"/>
      <c r="GL166" s="175"/>
      <c r="GM166" s="175"/>
      <c r="GN166" s="175"/>
      <c r="GO166" s="175"/>
      <c r="GP166" s="175"/>
      <c r="GQ166" s="175"/>
      <c r="GR166" s="175"/>
      <c r="GS166" s="175"/>
      <c r="GT166" s="175"/>
      <c r="GU166" s="175"/>
      <c r="GV166" s="175"/>
      <c r="GW166" s="175"/>
      <c r="GX166" s="175"/>
      <c r="GY166" s="175"/>
      <c r="GZ166" s="175"/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/>
      <c r="HK166" s="175"/>
      <c r="HL166" s="175"/>
      <c r="HM166" s="175"/>
    </row>
    <row r="167" spans="2:221" ht="15">
      <c r="B167" s="175"/>
      <c r="C167" s="800" t="s">
        <v>611</v>
      </c>
      <c r="D167" s="357">
        <v>1450022</v>
      </c>
      <c r="E167" s="357">
        <v>358</v>
      </c>
      <c r="F167" s="357" t="s">
        <v>612</v>
      </c>
      <c r="G167" s="426" t="s">
        <v>613</v>
      </c>
      <c r="H167" s="148" t="s">
        <v>169</v>
      </c>
      <c r="I167" s="448" t="s">
        <v>170</v>
      </c>
      <c r="J167" s="357"/>
      <c r="K167" s="357"/>
      <c r="L167" s="357"/>
      <c r="M167" s="358"/>
      <c r="N167" s="361">
        <v>107</v>
      </c>
      <c r="O167" s="358"/>
      <c r="P167" s="402">
        <v>730.34</v>
      </c>
      <c r="Q167" s="402"/>
      <c r="R167" s="402">
        <v>14485.12</v>
      </c>
      <c r="S167" s="358">
        <v>542</v>
      </c>
      <c r="T167" s="188" t="s">
        <v>171</v>
      </c>
      <c r="U167" s="358"/>
      <c r="V167" s="358"/>
      <c r="W167" s="358"/>
      <c r="X167" s="402">
        <f t="shared" si="16"/>
        <v>13339.65</v>
      </c>
      <c r="Y167" s="402">
        <v>-640.29999999999995</v>
      </c>
      <c r="Z167" s="402">
        <v>0</v>
      </c>
      <c r="AA167" s="402">
        <v>12699.35</v>
      </c>
      <c r="AB167" s="450">
        <v>480</v>
      </c>
      <c r="AC167" s="173" t="s">
        <v>172</v>
      </c>
      <c r="AD167" s="173" t="s">
        <v>173</v>
      </c>
      <c r="AE167" s="164" t="b">
        <v>1</v>
      </c>
      <c r="AF167" s="164" t="b">
        <v>1</v>
      </c>
      <c r="AG167" s="409">
        <f>(AB167-S167)/S167</f>
        <v>-0.11439114391143912</v>
      </c>
      <c r="AH167" s="409">
        <f>(AA167-R167)/R167</f>
        <v>-0.12328306565634253</v>
      </c>
      <c r="AI167" s="402">
        <f t="shared" si="14"/>
        <v>19022.64</v>
      </c>
      <c r="AJ167" s="364">
        <v>-913.09</v>
      </c>
      <c r="AK167" s="364">
        <v>0</v>
      </c>
      <c r="AL167" s="364">
        <v>18109.55</v>
      </c>
      <c r="AM167" s="1069">
        <v>656</v>
      </c>
      <c r="AN167" s="407">
        <v>46122</v>
      </c>
      <c r="AO167" s="148" t="s">
        <v>174</v>
      </c>
      <c r="AP167" s="860" t="b">
        <v>1</v>
      </c>
      <c r="AQ167" s="860" t="b">
        <v>1</v>
      </c>
      <c r="AR167" s="409">
        <f t="shared" si="17"/>
        <v>0.36666666666666664</v>
      </c>
      <c r="AS167" s="409">
        <f>(AL167-AA167)/AA167</f>
        <v>0.42602180426557257</v>
      </c>
      <c r="AT167" s="402">
        <f t="shared" si="15"/>
        <v>0</v>
      </c>
      <c r="AU167" s="402"/>
      <c r="AV167" s="402"/>
      <c r="AW167" s="402"/>
      <c r="AX167" s="358"/>
      <c r="AY167" s="358"/>
      <c r="AZ167" s="358"/>
      <c r="BA167" s="164" t="b">
        <v>0</v>
      </c>
      <c r="BB167" s="164" t="b">
        <v>0</v>
      </c>
      <c r="BC167" s="358">
        <f>(AX167-AM167)/AM167</f>
        <v>-1</v>
      </c>
      <c r="BD167" s="358">
        <f>(AW167-AL167)/AL167</f>
        <v>-1</v>
      </c>
      <c r="BE167" s="402">
        <f>BH167 + ABS(BF167) + ABS(BG167)</f>
        <v>0</v>
      </c>
      <c r="BF167" s="402"/>
      <c r="BG167" s="402"/>
      <c r="BH167" s="402"/>
      <c r="BI167" s="358"/>
      <c r="BJ167" s="358"/>
      <c r="BK167" s="358"/>
      <c r="BL167" s="164" t="b">
        <v>0</v>
      </c>
      <c r="BM167" s="164" t="b">
        <v>0</v>
      </c>
      <c r="BN167" s="358" t="e">
        <f>(BI167-AZ167)/AZ167</f>
        <v>#DIV/0!</v>
      </c>
      <c r="BO167" s="358" t="e">
        <f>(BH167-AW167)/AW167</f>
        <v>#DIV/0!</v>
      </c>
      <c r="BP167" s="402">
        <f>BS167 + ABS(BQ167) + ABS(BR167)</f>
        <v>0</v>
      </c>
      <c r="BQ167" s="402"/>
      <c r="BR167" s="402"/>
      <c r="BS167" s="402"/>
      <c r="BT167" s="358"/>
      <c r="BU167" s="358"/>
      <c r="BV167" s="358"/>
      <c r="BW167" s="164" t="b">
        <v>0</v>
      </c>
      <c r="BX167" s="164" t="b">
        <v>0</v>
      </c>
      <c r="BY167" s="358" t="e">
        <f>(BT167-BI167)/BI167</f>
        <v>#DIV/0!</v>
      </c>
      <c r="BZ167" s="358" t="e">
        <f>(BS167-BH167)/BH167</f>
        <v>#DIV/0!</v>
      </c>
      <c r="CA167" s="402">
        <f>CD167 + ABS(CB167) + ABS(CC167)</f>
        <v>0</v>
      </c>
      <c r="CB167" s="402"/>
      <c r="CC167" s="402"/>
      <c r="CD167" s="402"/>
      <c r="CE167" s="358"/>
      <c r="CF167" s="358"/>
      <c r="CG167" s="358"/>
      <c r="CH167" s="164" t="b">
        <v>0</v>
      </c>
      <c r="CI167" s="164" t="b">
        <v>0</v>
      </c>
      <c r="CJ167" s="358" t="e">
        <f>(CE167-BV167)/BV167</f>
        <v>#DIV/0!</v>
      </c>
      <c r="CK167" s="358" t="e">
        <f>(CD167-BS167)/BS167</f>
        <v>#DIV/0!</v>
      </c>
      <c r="CL167" s="402">
        <f>CO167 + ABS(CM167) + ABS(CN167)</f>
        <v>0</v>
      </c>
      <c r="CM167" s="402"/>
      <c r="CN167" s="402"/>
      <c r="CO167" s="402"/>
      <c r="CP167" s="358"/>
      <c r="CQ167" s="358"/>
      <c r="CR167" s="358"/>
      <c r="CS167" s="164" t="b">
        <v>0</v>
      </c>
      <c r="CT167" s="164" t="b">
        <v>0</v>
      </c>
      <c r="CU167" s="358" t="e">
        <f>(CP167-CE167)/CE167</f>
        <v>#DIV/0!</v>
      </c>
      <c r="CV167" s="358" t="e">
        <f>(CO167-CD167)/CD167</f>
        <v>#DIV/0!</v>
      </c>
      <c r="CW167" s="402">
        <f>CZ167 + ABS(CX167) + ABS(CY167)</f>
        <v>0</v>
      </c>
      <c r="CX167" s="402"/>
      <c r="CY167" s="402"/>
      <c r="CZ167" s="402"/>
      <c r="DA167" s="358"/>
      <c r="DB167" s="358"/>
      <c r="DC167" s="358"/>
      <c r="DD167" s="164" t="b">
        <v>0</v>
      </c>
      <c r="DE167" s="164" t="b">
        <v>0</v>
      </c>
      <c r="DF167" s="358" t="e">
        <f>(DA167-CR167)/CR167</f>
        <v>#DIV/0!</v>
      </c>
      <c r="DG167" s="358" t="e">
        <f>(CZ167-CO167)/CO167</f>
        <v>#DIV/0!</v>
      </c>
      <c r="DH167" s="402">
        <f>DK167 + ABS(DI167) + ABS(DJ167)</f>
        <v>0</v>
      </c>
      <c r="DI167" s="402"/>
      <c r="DJ167" s="402"/>
      <c r="DK167" s="402"/>
      <c r="DL167" s="358"/>
      <c r="DM167" s="358"/>
      <c r="DN167" s="358"/>
      <c r="DO167" s="164" t="b">
        <v>0</v>
      </c>
      <c r="DP167" s="164" t="b">
        <v>0</v>
      </c>
      <c r="DQ167" s="358" t="e">
        <f>(DL167-DA167)/DA167</f>
        <v>#DIV/0!</v>
      </c>
      <c r="DR167" s="358" t="e">
        <f>(DK167-CZ167)/CZ167</f>
        <v>#DIV/0!</v>
      </c>
      <c r="DS167" s="402">
        <f>DV167 + ABS(DT167) + ABS(DU167)</f>
        <v>0</v>
      </c>
      <c r="DT167" s="402"/>
      <c r="DU167" s="402"/>
      <c r="DV167" s="402"/>
      <c r="DW167" s="358"/>
      <c r="DX167" s="358"/>
      <c r="DY167" s="358"/>
      <c r="DZ167" s="164" t="b">
        <v>0</v>
      </c>
      <c r="EA167" s="164" t="b">
        <v>0</v>
      </c>
      <c r="EB167" s="358" t="e">
        <f>(DW167-DN167)/DN167</f>
        <v>#DIV/0!</v>
      </c>
      <c r="EC167" s="358" t="e">
        <f>(DV167-DK167)/DK167</f>
        <v>#DIV/0!</v>
      </c>
      <c r="ED167" s="402">
        <f>EG167 + ABS(EE167) + ABS(EF167)</f>
        <v>0</v>
      </c>
      <c r="EE167" s="402"/>
      <c r="EF167" s="402"/>
      <c r="EG167" s="402"/>
      <c r="EH167" s="358"/>
      <c r="EI167" s="358"/>
      <c r="EJ167" s="358"/>
      <c r="EK167" s="164" t="b">
        <v>0</v>
      </c>
      <c r="EL167" s="164" t="b">
        <v>0</v>
      </c>
      <c r="EM167" s="358" t="e">
        <f>(EH167-DW167)/DW167</f>
        <v>#DIV/0!</v>
      </c>
      <c r="EN167" s="358" t="e">
        <f>(EG167-DV167)/DV167</f>
        <v>#DIV/0!</v>
      </c>
      <c r="EO167" s="402">
        <f>ER167 + ABS(EP167) + ABS(EQ167)</f>
        <v>0</v>
      </c>
      <c r="EP167" s="402"/>
      <c r="EQ167" s="402"/>
      <c r="ER167" s="402"/>
      <c r="ES167" s="358"/>
      <c r="ET167" s="358"/>
      <c r="EU167" s="358"/>
      <c r="EV167" s="164" t="b">
        <v>0</v>
      </c>
      <c r="EW167" s="164" t="b">
        <v>0</v>
      </c>
      <c r="EX167" s="358" t="e">
        <f>(ES167-EJ167)/EJ167</f>
        <v>#DIV/0!</v>
      </c>
      <c r="EY167" s="358" t="e">
        <f>(ER167-EG167)/EG167</f>
        <v>#DIV/0!</v>
      </c>
      <c r="EZ167" s="449"/>
      <c r="FA167" s="449"/>
      <c r="FB167" s="449"/>
      <c r="FC167" s="449"/>
      <c r="FD167" s="449"/>
      <c r="FE167" s="449"/>
      <c r="FF167" s="449"/>
      <c r="FG167" s="449"/>
      <c r="FH167" s="449"/>
      <c r="FI167" s="449"/>
      <c r="FJ167" s="449"/>
      <c r="FK167" s="449"/>
      <c r="FL167" s="449"/>
      <c r="FM167" s="175"/>
      <c r="FN167" s="175"/>
      <c r="FO167" s="175"/>
      <c r="FP167" s="175"/>
      <c r="FQ167" s="801"/>
      <c r="FR167" s="175"/>
      <c r="FS167" s="175"/>
      <c r="FT167" s="175"/>
      <c r="FU167" s="175"/>
      <c r="FV167" s="175"/>
      <c r="FW167" s="175"/>
      <c r="FX167" s="175"/>
      <c r="FY167" s="175"/>
      <c r="FZ167" s="175"/>
      <c r="GA167" s="175"/>
      <c r="GB167" s="175"/>
      <c r="GC167" s="175"/>
      <c r="GD167" s="175"/>
      <c r="GE167" s="175"/>
      <c r="GF167" s="175"/>
      <c r="GG167" s="175"/>
      <c r="GH167" s="175"/>
      <c r="GI167" s="175"/>
      <c r="GJ167" s="175"/>
      <c r="GK167" s="175"/>
      <c r="GL167" s="175"/>
      <c r="GM167" s="175"/>
      <c r="GN167" s="175"/>
      <c r="GO167" s="175"/>
      <c r="GP167" s="175"/>
      <c r="GQ167" s="175"/>
      <c r="GR167" s="175"/>
      <c r="GS167" s="175"/>
      <c r="GT167" s="175"/>
      <c r="GU167" s="175"/>
      <c r="GV167" s="175"/>
      <c r="GW167" s="175"/>
      <c r="GX167" s="175"/>
      <c r="GY167" s="175"/>
      <c r="GZ167" s="175"/>
      <c r="HA167" s="175"/>
      <c r="HB167" s="175"/>
      <c r="HC167" s="175"/>
      <c r="HD167" s="175"/>
      <c r="HE167" s="175"/>
      <c r="HF167" s="175"/>
      <c r="HG167" s="175"/>
      <c r="HH167" s="175"/>
      <c r="HI167" s="175"/>
      <c r="HJ167" s="175"/>
      <c r="HK167" s="175"/>
      <c r="HL167" s="175"/>
      <c r="HM167" s="175"/>
    </row>
    <row r="168" spans="2:221" ht="15">
      <c r="B168" s="175"/>
      <c r="C168" s="802" t="s">
        <v>614</v>
      </c>
      <c r="D168" s="154">
        <v>1450022</v>
      </c>
      <c r="E168" s="154">
        <v>338</v>
      </c>
      <c r="F168" s="154" t="s">
        <v>615</v>
      </c>
      <c r="G168" s="255" t="s">
        <v>616</v>
      </c>
      <c r="H168" s="171" t="s">
        <v>169</v>
      </c>
      <c r="I168" s="445" t="s">
        <v>170</v>
      </c>
      <c r="J168" s="154"/>
      <c r="K168" s="154"/>
      <c r="L168" s="154"/>
      <c r="M168" s="176"/>
      <c r="N168" s="193">
        <v>107</v>
      </c>
      <c r="O168" s="176"/>
      <c r="P168" s="203">
        <v>855.37</v>
      </c>
      <c r="Q168" s="203"/>
      <c r="R168" s="203">
        <v>16964.82</v>
      </c>
      <c r="S168" s="176">
        <v>1064</v>
      </c>
      <c r="T168" s="188" t="s">
        <v>171</v>
      </c>
      <c r="U168" s="176"/>
      <c r="V168" s="176"/>
      <c r="W168" s="176"/>
      <c r="X168" s="203">
        <f t="shared" si="16"/>
        <v>19158.990000000002</v>
      </c>
      <c r="Y168" s="203">
        <v>-919.63</v>
      </c>
      <c r="Z168" s="203">
        <v>0</v>
      </c>
      <c r="AA168" s="203">
        <v>18239.36</v>
      </c>
      <c r="AB168" s="446">
        <v>1141</v>
      </c>
      <c r="AC168" s="255" t="s">
        <v>172</v>
      </c>
      <c r="AD168" s="255" t="s">
        <v>173</v>
      </c>
      <c r="AE168" s="177" t="b">
        <v>1</v>
      </c>
      <c r="AF168" s="177" t="b">
        <v>1</v>
      </c>
      <c r="AG168" s="392">
        <f>(AB168-S168)/S168</f>
        <v>7.2368421052631582E-2</v>
      </c>
      <c r="AH168" s="392">
        <f>(AA168-R168)/R168</f>
        <v>7.5128412797778044E-2</v>
      </c>
      <c r="AI168" s="203">
        <f t="shared" si="14"/>
        <v>19609.27</v>
      </c>
      <c r="AJ168" s="368">
        <v>-941.24</v>
      </c>
      <c r="AK168" s="368">
        <v>0</v>
      </c>
      <c r="AL168" s="368">
        <v>18668.03</v>
      </c>
      <c r="AM168" s="1068">
        <v>1122</v>
      </c>
      <c r="AN168" s="172">
        <v>46122</v>
      </c>
      <c r="AO168" s="171" t="s">
        <v>174</v>
      </c>
      <c r="AP168" s="861" t="b">
        <v>1</v>
      </c>
      <c r="AQ168" s="861" t="b">
        <v>1</v>
      </c>
      <c r="AR168" s="392">
        <f t="shared" si="17"/>
        <v>-1.6652059596844872E-2</v>
      </c>
      <c r="AS168" s="392">
        <f>(AL168-AA168)/AA168</f>
        <v>2.35024693848906E-2</v>
      </c>
      <c r="AT168" s="203">
        <f t="shared" si="15"/>
        <v>0</v>
      </c>
      <c r="AU168" s="203"/>
      <c r="AV168" s="203"/>
      <c r="AW168" s="203"/>
      <c r="AX168" s="176"/>
      <c r="AY168" s="176"/>
      <c r="AZ168" s="176"/>
      <c r="BA168" s="177" t="b">
        <v>0</v>
      </c>
      <c r="BB168" s="177" t="b">
        <v>0</v>
      </c>
      <c r="BC168" s="176">
        <f>(AX168-AM168)/AM168</f>
        <v>-1</v>
      </c>
      <c r="BD168" s="176">
        <f>(AW168-AL168)/AL168</f>
        <v>-1</v>
      </c>
      <c r="BE168" s="203">
        <f>BH168 + ABS(BF168) + ABS(BG168)</f>
        <v>0</v>
      </c>
      <c r="BF168" s="203"/>
      <c r="BG168" s="203"/>
      <c r="BH168" s="203"/>
      <c r="BI168" s="176"/>
      <c r="BJ168" s="176"/>
      <c r="BK168" s="176"/>
      <c r="BL168" s="177" t="b">
        <v>0</v>
      </c>
      <c r="BM168" s="177" t="b">
        <v>0</v>
      </c>
      <c r="BN168" s="176" t="e">
        <f>(BI168-AZ168)/AZ168</f>
        <v>#DIV/0!</v>
      </c>
      <c r="BO168" s="176" t="e">
        <f>(BH168-AW168)/AW168</f>
        <v>#DIV/0!</v>
      </c>
      <c r="BP168" s="203">
        <f>BS168 + ABS(BQ168) + ABS(BR168)</f>
        <v>0</v>
      </c>
      <c r="BQ168" s="203"/>
      <c r="BR168" s="203"/>
      <c r="BS168" s="203"/>
      <c r="BT168" s="176"/>
      <c r="BU168" s="176"/>
      <c r="BV168" s="176"/>
      <c r="BW168" s="177" t="b">
        <v>0</v>
      </c>
      <c r="BX168" s="177" t="b">
        <v>0</v>
      </c>
      <c r="BY168" s="176" t="e">
        <f>(BT168-BI168)/BI168</f>
        <v>#DIV/0!</v>
      </c>
      <c r="BZ168" s="176" t="e">
        <f>(BS168-BH168)/BH168</f>
        <v>#DIV/0!</v>
      </c>
      <c r="CA168" s="203">
        <f>CD168 + ABS(CB168) + ABS(CC168)</f>
        <v>0</v>
      </c>
      <c r="CB168" s="203"/>
      <c r="CC168" s="203"/>
      <c r="CD168" s="203"/>
      <c r="CE168" s="176"/>
      <c r="CF168" s="176"/>
      <c r="CG168" s="176"/>
      <c r="CH168" s="177" t="b">
        <v>0</v>
      </c>
      <c r="CI168" s="177" t="b">
        <v>0</v>
      </c>
      <c r="CJ168" s="176" t="e">
        <f>(CE168-BV168)/BV168</f>
        <v>#DIV/0!</v>
      </c>
      <c r="CK168" s="176" t="e">
        <f>(CD168-BS168)/BS168</f>
        <v>#DIV/0!</v>
      </c>
      <c r="CL168" s="203">
        <f>CO168 + ABS(CM168) + ABS(CN168)</f>
        <v>0</v>
      </c>
      <c r="CM168" s="203"/>
      <c r="CN168" s="203"/>
      <c r="CO168" s="203"/>
      <c r="CP168" s="176"/>
      <c r="CQ168" s="176"/>
      <c r="CR168" s="176"/>
      <c r="CS168" s="177" t="b">
        <v>0</v>
      </c>
      <c r="CT168" s="177" t="b">
        <v>0</v>
      </c>
      <c r="CU168" s="176" t="e">
        <f>(CP168-CE168)/CE168</f>
        <v>#DIV/0!</v>
      </c>
      <c r="CV168" s="176" t="e">
        <f>(CO168-CD168)/CD168</f>
        <v>#DIV/0!</v>
      </c>
      <c r="CW168" s="203">
        <f>CZ168 + ABS(CX168) + ABS(CY168)</f>
        <v>0</v>
      </c>
      <c r="CX168" s="203"/>
      <c r="CY168" s="203"/>
      <c r="CZ168" s="203"/>
      <c r="DA168" s="176"/>
      <c r="DB168" s="176"/>
      <c r="DC168" s="176"/>
      <c r="DD168" s="177" t="b">
        <v>0</v>
      </c>
      <c r="DE168" s="177" t="b">
        <v>0</v>
      </c>
      <c r="DF168" s="176" t="e">
        <f>(DA168-CR168)/CR168</f>
        <v>#DIV/0!</v>
      </c>
      <c r="DG168" s="176" t="e">
        <f>(CZ168-CO168)/CO168</f>
        <v>#DIV/0!</v>
      </c>
      <c r="DH168" s="203">
        <f>DK168 + ABS(DI168) + ABS(DJ168)</f>
        <v>0</v>
      </c>
      <c r="DI168" s="203"/>
      <c r="DJ168" s="203"/>
      <c r="DK168" s="203"/>
      <c r="DL168" s="176"/>
      <c r="DM168" s="176"/>
      <c r="DN168" s="176"/>
      <c r="DO168" s="177" t="b">
        <v>0</v>
      </c>
      <c r="DP168" s="177" t="b">
        <v>0</v>
      </c>
      <c r="DQ168" s="176" t="e">
        <f>(DL168-DA168)/DA168</f>
        <v>#DIV/0!</v>
      </c>
      <c r="DR168" s="176" t="e">
        <f>(DK168-CZ168)/CZ168</f>
        <v>#DIV/0!</v>
      </c>
      <c r="DS168" s="203">
        <f>DV168 + ABS(DT168) + ABS(DU168)</f>
        <v>0</v>
      </c>
      <c r="DT168" s="203"/>
      <c r="DU168" s="203"/>
      <c r="DV168" s="203"/>
      <c r="DW168" s="176"/>
      <c r="DX168" s="176"/>
      <c r="DY168" s="176"/>
      <c r="DZ168" s="177" t="b">
        <v>0</v>
      </c>
      <c r="EA168" s="177" t="b">
        <v>0</v>
      </c>
      <c r="EB168" s="176" t="e">
        <f>(DW168-DN168)/DN168</f>
        <v>#DIV/0!</v>
      </c>
      <c r="EC168" s="176" t="e">
        <f>(DV168-DK168)/DK168</f>
        <v>#DIV/0!</v>
      </c>
      <c r="ED168" s="203">
        <f>EG168 + ABS(EE168) + ABS(EF168)</f>
        <v>0</v>
      </c>
      <c r="EE168" s="203"/>
      <c r="EF168" s="203"/>
      <c r="EG168" s="203"/>
      <c r="EH168" s="176"/>
      <c r="EI168" s="176"/>
      <c r="EJ168" s="176"/>
      <c r="EK168" s="177" t="b">
        <v>0</v>
      </c>
      <c r="EL168" s="177" t="b">
        <v>0</v>
      </c>
      <c r="EM168" s="176" t="e">
        <f>(EH168-DW168)/DW168</f>
        <v>#DIV/0!</v>
      </c>
      <c r="EN168" s="176" t="e">
        <f>(EG168-DV168)/DV168</f>
        <v>#DIV/0!</v>
      </c>
      <c r="EO168" s="203">
        <f>ER168 + ABS(EP168) + ABS(EQ168)</f>
        <v>0</v>
      </c>
      <c r="EP168" s="203"/>
      <c r="EQ168" s="203"/>
      <c r="ER168" s="203"/>
      <c r="ES168" s="176"/>
      <c r="ET168" s="176"/>
      <c r="EU168" s="176"/>
      <c r="EV168" s="177" t="b">
        <v>0</v>
      </c>
      <c r="EW168" s="177" t="b">
        <v>0</v>
      </c>
      <c r="EX168" s="176" t="e">
        <f>(ES168-EJ168)/EJ168</f>
        <v>#DIV/0!</v>
      </c>
      <c r="EY168" s="176" t="e">
        <f>(ER168-EG168)/EG168</f>
        <v>#DIV/0!</v>
      </c>
      <c r="EZ168" s="175"/>
      <c r="FA168" s="175"/>
      <c r="FB168" s="175"/>
      <c r="FC168" s="175"/>
      <c r="FD168" s="175"/>
      <c r="FE168" s="175"/>
      <c r="FF168" s="175"/>
      <c r="FG168" s="175"/>
      <c r="FH168" s="175"/>
      <c r="FI168" s="175"/>
      <c r="FJ168" s="175"/>
      <c r="FK168" s="175"/>
      <c r="FL168" s="175"/>
      <c r="FM168" s="175"/>
      <c r="FN168" s="175"/>
      <c r="FO168" s="175"/>
      <c r="FP168" s="175"/>
      <c r="FQ168" s="801"/>
      <c r="FR168" s="175"/>
      <c r="FS168" s="175"/>
      <c r="FT168" s="17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175"/>
      <c r="HL168" s="175"/>
      <c r="HM168" s="175"/>
    </row>
    <row r="169" spans="2:221" ht="15">
      <c r="B169" s="175"/>
      <c r="C169" s="800" t="s">
        <v>617</v>
      </c>
      <c r="D169" s="357">
        <v>1450022</v>
      </c>
      <c r="E169" s="357">
        <v>87</v>
      </c>
      <c r="F169" s="357" t="s">
        <v>618</v>
      </c>
      <c r="G169" s="426" t="s">
        <v>619</v>
      </c>
      <c r="H169" s="148" t="s">
        <v>169</v>
      </c>
      <c r="I169" s="448" t="s">
        <v>170</v>
      </c>
      <c r="J169" s="357"/>
      <c r="K169" s="357"/>
      <c r="L169" s="357"/>
      <c r="M169" s="358"/>
      <c r="N169" s="361">
        <v>107</v>
      </c>
      <c r="O169" s="358"/>
      <c r="P169" s="402">
        <v>152.16</v>
      </c>
      <c r="Q169" s="402"/>
      <c r="R169" s="402">
        <v>3017.91</v>
      </c>
      <c r="S169" s="358">
        <v>134</v>
      </c>
      <c r="T169" s="188" t="s">
        <v>171</v>
      </c>
      <c r="U169" s="358"/>
      <c r="V169" s="358"/>
      <c r="W169" s="358"/>
      <c r="X169" s="402">
        <f t="shared" si="16"/>
        <v>1986.49</v>
      </c>
      <c r="Y169" s="402">
        <v>-95.35</v>
      </c>
      <c r="Z169" s="402">
        <v>0</v>
      </c>
      <c r="AA169" s="402">
        <v>1891.14</v>
      </c>
      <c r="AB169" s="450">
        <v>88</v>
      </c>
      <c r="AC169" s="173" t="s">
        <v>172</v>
      </c>
      <c r="AD169" s="173" t="s">
        <v>173</v>
      </c>
      <c r="AE169" s="164" t="b">
        <v>1</v>
      </c>
      <c r="AF169" s="164" t="b">
        <v>1</v>
      </c>
      <c r="AG169" s="409">
        <f>(AB169-S169)/S169</f>
        <v>-0.34328358208955223</v>
      </c>
      <c r="AH169" s="409">
        <f>(AA169-R169)/R169</f>
        <v>-0.37336103462329884</v>
      </c>
      <c r="AI169" s="402">
        <f t="shared" si="14"/>
        <v>1797.3</v>
      </c>
      <c r="AJ169" s="364">
        <v>-86.27</v>
      </c>
      <c r="AK169" s="364">
        <v>0</v>
      </c>
      <c r="AL169" s="364">
        <v>1711.03</v>
      </c>
      <c r="AM169" s="1069">
        <v>79</v>
      </c>
      <c r="AN169" s="407">
        <v>46122</v>
      </c>
      <c r="AO169" s="148" t="s">
        <v>174</v>
      </c>
      <c r="AP169" s="860" t="b">
        <v>1</v>
      </c>
      <c r="AQ169" s="860" t="b">
        <v>1</v>
      </c>
      <c r="AR169" s="409">
        <f t="shared" si="17"/>
        <v>-0.10227272727272728</v>
      </c>
      <c r="AS169" s="409">
        <f>(AL169-AA169)/AA169</f>
        <v>-9.5238850640354561E-2</v>
      </c>
      <c r="AT169" s="402">
        <f t="shared" si="15"/>
        <v>0</v>
      </c>
      <c r="AU169" s="402"/>
      <c r="AV169" s="402"/>
      <c r="AW169" s="402"/>
      <c r="AX169" s="358"/>
      <c r="AY169" s="358"/>
      <c r="AZ169" s="358"/>
      <c r="BA169" s="164" t="b">
        <v>0</v>
      </c>
      <c r="BB169" s="164" t="b">
        <v>0</v>
      </c>
      <c r="BC169" s="358">
        <f>(AX169-AM169)/AM169</f>
        <v>-1</v>
      </c>
      <c r="BD169" s="358">
        <f>(AW169-AL169)/AL169</f>
        <v>-1</v>
      </c>
      <c r="BE169" s="402">
        <f>BH169 + ABS(BF169) + ABS(BG169)</f>
        <v>0</v>
      </c>
      <c r="BF169" s="402"/>
      <c r="BG169" s="402"/>
      <c r="BH169" s="402"/>
      <c r="BI169" s="358"/>
      <c r="BJ169" s="358"/>
      <c r="BK169" s="358"/>
      <c r="BL169" s="164" t="b">
        <v>0</v>
      </c>
      <c r="BM169" s="164" t="b">
        <v>0</v>
      </c>
      <c r="BN169" s="358" t="e">
        <f>(BI169-AZ169)/AZ169</f>
        <v>#DIV/0!</v>
      </c>
      <c r="BO169" s="358" t="e">
        <f>(BH169-AW169)/AW169</f>
        <v>#DIV/0!</v>
      </c>
      <c r="BP169" s="402">
        <f>BS169 + ABS(BQ169) + ABS(BR169)</f>
        <v>0</v>
      </c>
      <c r="BQ169" s="402"/>
      <c r="BR169" s="402"/>
      <c r="BS169" s="402"/>
      <c r="BT169" s="358"/>
      <c r="BU169" s="358"/>
      <c r="BV169" s="358"/>
      <c r="BW169" s="164" t="b">
        <v>0</v>
      </c>
      <c r="BX169" s="164" t="b">
        <v>0</v>
      </c>
      <c r="BY169" s="358" t="e">
        <f>(BT169-BI169)/BI169</f>
        <v>#DIV/0!</v>
      </c>
      <c r="BZ169" s="358" t="e">
        <f>(BS169-BH169)/BH169</f>
        <v>#DIV/0!</v>
      </c>
      <c r="CA169" s="402">
        <f>CD169 + ABS(CB169) + ABS(CC169)</f>
        <v>0</v>
      </c>
      <c r="CB169" s="402"/>
      <c r="CC169" s="402"/>
      <c r="CD169" s="402"/>
      <c r="CE169" s="358"/>
      <c r="CF169" s="358"/>
      <c r="CG169" s="358"/>
      <c r="CH169" s="164" t="b">
        <v>0</v>
      </c>
      <c r="CI169" s="164" t="b">
        <v>0</v>
      </c>
      <c r="CJ169" s="358" t="e">
        <f>(CE169-BV169)/BV169</f>
        <v>#DIV/0!</v>
      </c>
      <c r="CK169" s="358" t="e">
        <f>(CD169-BS169)/BS169</f>
        <v>#DIV/0!</v>
      </c>
      <c r="CL169" s="402">
        <f>CO169 + ABS(CM169) + ABS(CN169)</f>
        <v>0</v>
      </c>
      <c r="CM169" s="402"/>
      <c r="CN169" s="402"/>
      <c r="CO169" s="402"/>
      <c r="CP169" s="358"/>
      <c r="CQ169" s="358"/>
      <c r="CR169" s="358"/>
      <c r="CS169" s="164" t="b">
        <v>0</v>
      </c>
      <c r="CT169" s="164" t="b">
        <v>0</v>
      </c>
      <c r="CU169" s="358" t="e">
        <f>(CP169-CE169)/CE169</f>
        <v>#DIV/0!</v>
      </c>
      <c r="CV169" s="358" t="e">
        <f>(CO169-CD169)/CD169</f>
        <v>#DIV/0!</v>
      </c>
      <c r="CW169" s="402">
        <f>CZ169 + ABS(CX169) + ABS(CY169)</f>
        <v>0</v>
      </c>
      <c r="CX169" s="402"/>
      <c r="CY169" s="402"/>
      <c r="CZ169" s="402"/>
      <c r="DA169" s="358"/>
      <c r="DB169" s="358"/>
      <c r="DC169" s="358"/>
      <c r="DD169" s="164" t="b">
        <v>0</v>
      </c>
      <c r="DE169" s="164" t="b">
        <v>0</v>
      </c>
      <c r="DF169" s="358" t="e">
        <f>(DA169-CR169)/CR169</f>
        <v>#DIV/0!</v>
      </c>
      <c r="DG169" s="358" t="e">
        <f>(CZ169-CO169)/CO169</f>
        <v>#DIV/0!</v>
      </c>
      <c r="DH169" s="402">
        <f>DK169 + ABS(DI169) + ABS(DJ169)</f>
        <v>0</v>
      </c>
      <c r="DI169" s="402"/>
      <c r="DJ169" s="402"/>
      <c r="DK169" s="402"/>
      <c r="DL169" s="358"/>
      <c r="DM169" s="358"/>
      <c r="DN169" s="358"/>
      <c r="DO169" s="164" t="b">
        <v>0</v>
      </c>
      <c r="DP169" s="164" t="b">
        <v>0</v>
      </c>
      <c r="DQ169" s="358" t="e">
        <f>(DL169-DA169)/DA169</f>
        <v>#DIV/0!</v>
      </c>
      <c r="DR169" s="358" t="e">
        <f>(DK169-CZ169)/CZ169</f>
        <v>#DIV/0!</v>
      </c>
      <c r="DS169" s="402">
        <f>DV169 + ABS(DT169) + ABS(DU169)</f>
        <v>0</v>
      </c>
      <c r="DT169" s="402"/>
      <c r="DU169" s="402"/>
      <c r="DV169" s="402"/>
      <c r="DW169" s="358"/>
      <c r="DX169" s="358"/>
      <c r="DY169" s="358"/>
      <c r="DZ169" s="164" t="b">
        <v>0</v>
      </c>
      <c r="EA169" s="164" t="b">
        <v>0</v>
      </c>
      <c r="EB169" s="358" t="e">
        <f>(DW169-DN169)/DN169</f>
        <v>#DIV/0!</v>
      </c>
      <c r="EC169" s="358" t="e">
        <f>(DV169-DK169)/DK169</f>
        <v>#DIV/0!</v>
      </c>
      <c r="ED169" s="402">
        <f>EG169 + ABS(EE169) + ABS(EF169)</f>
        <v>0</v>
      </c>
      <c r="EE169" s="402"/>
      <c r="EF169" s="402"/>
      <c r="EG169" s="402"/>
      <c r="EH169" s="358"/>
      <c r="EI169" s="358"/>
      <c r="EJ169" s="358"/>
      <c r="EK169" s="164" t="b">
        <v>0</v>
      </c>
      <c r="EL169" s="164" t="b">
        <v>0</v>
      </c>
      <c r="EM169" s="358" t="e">
        <f>(EH169-DW169)/DW169</f>
        <v>#DIV/0!</v>
      </c>
      <c r="EN169" s="358" t="e">
        <f>(EG169-DV169)/DV169</f>
        <v>#DIV/0!</v>
      </c>
      <c r="EO169" s="402">
        <f>ER169 + ABS(EP169) + ABS(EQ169)</f>
        <v>0</v>
      </c>
      <c r="EP169" s="402"/>
      <c r="EQ169" s="402"/>
      <c r="ER169" s="402"/>
      <c r="ES169" s="358"/>
      <c r="ET169" s="358"/>
      <c r="EU169" s="358"/>
      <c r="EV169" s="164" t="b">
        <v>0</v>
      </c>
      <c r="EW169" s="164" t="b">
        <v>0</v>
      </c>
      <c r="EX169" s="358" t="e">
        <f>(ES169-EJ169)/EJ169</f>
        <v>#DIV/0!</v>
      </c>
      <c r="EY169" s="358" t="e">
        <f>(ER169-EG169)/EG169</f>
        <v>#DIV/0!</v>
      </c>
      <c r="EZ169" s="449"/>
      <c r="FA169" s="449"/>
      <c r="FB169" s="449"/>
      <c r="FC169" s="449"/>
      <c r="FD169" s="449"/>
      <c r="FE169" s="449"/>
      <c r="FF169" s="449"/>
      <c r="FG169" s="449"/>
      <c r="FH169" s="449"/>
      <c r="FI169" s="449"/>
      <c r="FJ169" s="449"/>
      <c r="FK169" s="449"/>
      <c r="FL169" s="449"/>
      <c r="FM169" s="175"/>
      <c r="FN169" s="175"/>
      <c r="FO169" s="175"/>
      <c r="FP169" s="175"/>
      <c r="FQ169" s="801"/>
      <c r="FR169" s="175"/>
      <c r="FS169" s="175"/>
      <c r="FT169" s="17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175"/>
      <c r="HL169" s="175"/>
      <c r="HM169" s="175"/>
    </row>
    <row r="170" spans="2:221" ht="15">
      <c r="B170" s="175"/>
      <c r="C170" s="802" t="s">
        <v>620</v>
      </c>
      <c r="D170" s="154">
        <v>1450022</v>
      </c>
      <c r="E170" s="154">
        <v>149</v>
      </c>
      <c r="F170" s="154" t="s">
        <v>621</v>
      </c>
      <c r="G170" s="255" t="s">
        <v>622</v>
      </c>
      <c r="H170" s="171" t="s">
        <v>169</v>
      </c>
      <c r="I170" s="445" t="s">
        <v>170</v>
      </c>
      <c r="J170" s="154"/>
      <c r="K170" s="154"/>
      <c r="L170" s="154"/>
      <c r="M170" s="176"/>
      <c r="N170" s="193">
        <v>107</v>
      </c>
      <c r="O170" s="176"/>
      <c r="P170" s="203">
        <v>1899.4</v>
      </c>
      <c r="Q170" s="203"/>
      <c r="R170" s="203">
        <v>37671.339999999997</v>
      </c>
      <c r="S170" s="176">
        <v>1347</v>
      </c>
      <c r="T170" s="188" t="s">
        <v>171</v>
      </c>
      <c r="U170" s="176"/>
      <c r="V170" s="176"/>
      <c r="W170" s="176"/>
      <c r="X170" s="203">
        <f t="shared" si="16"/>
        <v>40637.74</v>
      </c>
      <c r="Y170" s="203">
        <v>-1950.61</v>
      </c>
      <c r="Z170" s="203">
        <v>0</v>
      </c>
      <c r="AA170" s="203">
        <v>38687.129999999997</v>
      </c>
      <c r="AB170" s="446">
        <v>1378</v>
      </c>
      <c r="AC170" s="255" t="s">
        <v>172</v>
      </c>
      <c r="AD170" s="255" t="s">
        <v>173</v>
      </c>
      <c r="AE170" s="177" t="b">
        <v>1</v>
      </c>
      <c r="AF170" s="177" t="b">
        <v>1</v>
      </c>
      <c r="AG170" s="392">
        <f>(AB170-S170)/S170</f>
        <v>2.301410541945063E-2</v>
      </c>
      <c r="AH170" s="392">
        <f>(AA170-R170)/R170</f>
        <v>2.6964530595407567E-2</v>
      </c>
      <c r="AI170" s="203">
        <f t="shared" si="14"/>
        <v>42761.29</v>
      </c>
      <c r="AJ170" s="368">
        <v>-2052.54</v>
      </c>
      <c r="AK170" s="368">
        <v>0</v>
      </c>
      <c r="AL170" s="368">
        <v>40708.75</v>
      </c>
      <c r="AM170" s="1068">
        <v>1386</v>
      </c>
      <c r="AN170" s="172">
        <v>46122</v>
      </c>
      <c r="AO170" s="171" t="s">
        <v>174</v>
      </c>
      <c r="AP170" s="861" t="b">
        <v>1</v>
      </c>
      <c r="AQ170" s="861" t="b">
        <v>1</v>
      </c>
      <c r="AR170" s="392">
        <f t="shared" si="17"/>
        <v>5.8055152394775036E-3</v>
      </c>
      <c r="AS170" s="392">
        <f>(AL170-AA170)/AA170</f>
        <v>5.2255620926132354E-2</v>
      </c>
      <c r="AT170" s="203">
        <f t="shared" si="15"/>
        <v>0</v>
      </c>
      <c r="AU170" s="203"/>
      <c r="AV170" s="203"/>
      <c r="AW170" s="203"/>
      <c r="AX170" s="176"/>
      <c r="AY170" s="176"/>
      <c r="AZ170" s="176"/>
      <c r="BA170" s="177" t="b">
        <v>0</v>
      </c>
      <c r="BB170" s="177" t="b">
        <v>0</v>
      </c>
      <c r="BC170" s="176">
        <f>(AX170-AM170)/AM170</f>
        <v>-1</v>
      </c>
      <c r="BD170" s="176">
        <f>(AW170-AL170)/AL170</f>
        <v>-1</v>
      </c>
      <c r="BE170" s="203">
        <f>BH170 + ABS(BF170) + ABS(BG170)</f>
        <v>0</v>
      </c>
      <c r="BF170" s="203"/>
      <c r="BG170" s="203"/>
      <c r="BH170" s="203"/>
      <c r="BI170" s="176"/>
      <c r="BJ170" s="176"/>
      <c r="BK170" s="176"/>
      <c r="BL170" s="177" t="b">
        <v>0</v>
      </c>
      <c r="BM170" s="177" t="b">
        <v>0</v>
      </c>
      <c r="BN170" s="176" t="e">
        <f>(BI170-AZ170)/AZ170</f>
        <v>#DIV/0!</v>
      </c>
      <c r="BO170" s="176" t="e">
        <f>(BH170-AW170)/AW170</f>
        <v>#DIV/0!</v>
      </c>
      <c r="BP170" s="203">
        <f>BS170 + ABS(BQ170) + ABS(BR170)</f>
        <v>0</v>
      </c>
      <c r="BQ170" s="203"/>
      <c r="BR170" s="203"/>
      <c r="BS170" s="203"/>
      <c r="BT170" s="176"/>
      <c r="BU170" s="176"/>
      <c r="BV170" s="176"/>
      <c r="BW170" s="177" t="b">
        <v>0</v>
      </c>
      <c r="BX170" s="177" t="b">
        <v>0</v>
      </c>
      <c r="BY170" s="176" t="e">
        <f>(BT170-BI170)/BI170</f>
        <v>#DIV/0!</v>
      </c>
      <c r="BZ170" s="176" t="e">
        <f>(BS170-BH170)/BH170</f>
        <v>#DIV/0!</v>
      </c>
      <c r="CA170" s="203">
        <f>CD170 + ABS(CB170) + ABS(CC170)</f>
        <v>0</v>
      </c>
      <c r="CB170" s="203"/>
      <c r="CC170" s="203"/>
      <c r="CD170" s="203"/>
      <c r="CE170" s="176"/>
      <c r="CF170" s="176"/>
      <c r="CG170" s="176"/>
      <c r="CH170" s="177" t="b">
        <v>0</v>
      </c>
      <c r="CI170" s="177" t="b">
        <v>0</v>
      </c>
      <c r="CJ170" s="176" t="e">
        <f>(CE170-BV170)/BV170</f>
        <v>#DIV/0!</v>
      </c>
      <c r="CK170" s="176" t="e">
        <f>(CD170-BS170)/BS170</f>
        <v>#DIV/0!</v>
      </c>
      <c r="CL170" s="203">
        <f>CO170 + ABS(CM170) + ABS(CN170)</f>
        <v>0</v>
      </c>
      <c r="CM170" s="203"/>
      <c r="CN170" s="203"/>
      <c r="CO170" s="203"/>
      <c r="CP170" s="176"/>
      <c r="CQ170" s="176"/>
      <c r="CR170" s="176"/>
      <c r="CS170" s="177" t="b">
        <v>0</v>
      </c>
      <c r="CT170" s="177" t="b">
        <v>0</v>
      </c>
      <c r="CU170" s="176" t="e">
        <f>(CP170-CE170)/CE170</f>
        <v>#DIV/0!</v>
      </c>
      <c r="CV170" s="176" t="e">
        <f>(CO170-CD170)/CD170</f>
        <v>#DIV/0!</v>
      </c>
      <c r="CW170" s="203">
        <f>CZ170 + ABS(CX170) + ABS(CY170)</f>
        <v>0</v>
      </c>
      <c r="CX170" s="203"/>
      <c r="CY170" s="203"/>
      <c r="CZ170" s="203"/>
      <c r="DA170" s="176"/>
      <c r="DB170" s="176"/>
      <c r="DC170" s="176"/>
      <c r="DD170" s="177" t="b">
        <v>0</v>
      </c>
      <c r="DE170" s="177" t="b">
        <v>0</v>
      </c>
      <c r="DF170" s="176" t="e">
        <f>(DA170-CR170)/CR170</f>
        <v>#DIV/0!</v>
      </c>
      <c r="DG170" s="176" t="e">
        <f>(CZ170-CO170)/CO170</f>
        <v>#DIV/0!</v>
      </c>
      <c r="DH170" s="203">
        <f>DK170 + ABS(DI170) + ABS(DJ170)</f>
        <v>0</v>
      </c>
      <c r="DI170" s="203"/>
      <c r="DJ170" s="203"/>
      <c r="DK170" s="203"/>
      <c r="DL170" s="176"/>
      <c r="DM170" s="176"/>
      <c r="DN170" s="176"/>
      <c r="DO170" s="177" t="b">
        <v>0</v>
      </c>
      <c r="DP170" s="177" t="b">
        <v>0</v>
      </c>
      <c r="DQ170" s="176" t="e">
        <f>(DL170-DA170)/DA170</f>
        <v>#DIV/0!</v>
      </c>
      <c r="DR170" s="176" t="e">
        <f>(DK170-CZ170)/CZ170</f>
        <v>#DIV/0!</v>
      </c>
      <c r="DS170" s="203">
        <f>DV170 + ABS(DT170) + ABS(DU170)</f>
        <v>0</v>
      </c>
      <c r="DT170" s="203"/>
      <c r="DU170" s="203"/>
      <c r="DV170" s="203"/>
      <c r="DW170" s="176"/>
      <c r="DX170" s="176"/>
      <c r="DY170" s="176"/>
      <c r="DZ170" s="177" t="b">
        <v>0</v>
      </c>
      <c r="EA170" s="177" t="b">
        <v>0</v>
      </c>
      <c r="EB170" s="176" t="e">
        <f>(DW170-DN170)/DN170</f>
        <v>#DIV/0!</v>
      </c>
      <c r="EC170" s="176" t="e">
        <f>(DV170-DK170)/DK170</f>
        <v>#DIV/0!</v>
      </c>
      <c r="ED170" s="203">
        <f>EG170 + ABS(EE170) + ABS(EF170)</f>
        <v>0</v>
      </c>
      <c r="EE170" s="203"/>
      <c r="EF170" s="203"/>
      <c r="EG170" s="203"/>
      <c r="EH170" s="176"/>
      <c r="EI170" s="176"/>
      <c r="EJ170" s="176"/>
      <c r="EK170" s="177" t="b">
        <v>0</v>
      </c>
      <c r="EL170" s="177" t="b">
        <v>0</v>
      </c>
      <c r="EM170" s="176" t="e">
        <f>(EH170-DW170)/DW170</f>
        <v>#DIV/0!</v>
      </c>
      <c r="EN170" s="176" t="e">
        <f>(EG170-DV170)/DV170</f>
        <v>#DIV/0!</v>
      </c>
      <c r="EO170" s="203">
        <f>ER170 + ABS(EP170) + ABS(EQ170)</f>
        <v>0</v>
      </c>
      <c r="EP170" s="203"/>
      <c r="EQ170" s="203"/>
      <c r="ER170" s="203"/>
      <c r="ES170" s="176"/>
      <c r="ET170" s="176"/>
      <c r="EU170" s="176"/>
      <c r="EV170" s="177" t="b">
        <v>0</v>
      </c>
      <c r="EW170" s="177" t="b">
        <v>0</v>
      </c>
      <c r="EX170" s="176" t="e">
        <f>(ES170-EJ170)/EJ170</f>
        <v>#DIV/0!</v>
      </c>
      <c r="EY170" s="176" t="e">
        <f>(ER170-EG170)/EG170</f>
        <v>#DIV/0!</v>
      </c>
      <c r="EZ170" s="175"/>
      <c r="FA170" s="175"/>
      <c r="FB170" s="175"/>
      <c r="FC170" s="175"/>
      <c r="FD170" s="175"/>
      <c r="FE170" s="175"/>
      <c r="FF170" s="175"/>
      <c r="FG170" s="175"/>
      <c r="FH170" s="175"/>
      <c r="FI170" s="175"/>
      <c r="FJ170" s="175"/>
      <c r="FK170" s="175"/>
      <c r="FL170" s="175"/>
      <c r="FM170" s="175"/>
      <c r="FN170" s="175"/>
      <c r="FO170" s="175"/>
      <c r="FP170" s="175"/>
      <c r="FQ170" s="801"/>
      <c r="FR170" s="175"/>
      <c r="FS170" s="175"/>
      <c r="FT170" s="17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175"/>
      <c r="HL170" s="175"/>
      <c r="HM170" s="175"/>
    </row>
    <row r="171" spans="2:221" ht="15">
      <c r="B171" s="175"/>
      <c r="C171" s="800" t="s">
        <v>623</v>
      </c>
      <c r="D171" s="357">
        <v>1450022</v>
      </c>
      <c r="E171" s="357">
        <v>329</v>
      </c>
      <c r="F171" s="357" t="s">
        <v>624</v>
      </c>
      <c r="G171" s="426" t="s">
        <v>625</v>
      </c>
      <c r="H171" s="148" t="s">
        <v>169</v>
      </c>
      <c r="I171" s="448" t="s">
        <v>170</v>
      </c>
      <c r="J171" s="357"/>
      <c r="K171" s="357"/>
      <c r="L171" s="357"/>
      <c r="M171" s="358"/>
      <c r="N171" s="361">
        <v>107</v>
      </c>
      <c r="O171" s="358"/>
      <c r="P171" s="402">
        <v>704.2</v>
      </c>
      <c r="Q171" s="402"/>
      <c r="R171" s="402">
        <v>13966.67</v>
      </c>
      <c r="S171" s="358">
        <v>524</v>
      </c>
      <c r="T171" s="188" t="s">
        <v>171</v>
      </c>
      <c r="U171" s="358"/>
      <c r="V171" s="358"/>
      <c r="W171" s="358"/>
      <c r="X171" s="402">
        <f t="shared" si="16"/>
        <v>15487.76</v>
      </c>
      <c r="Y171" s="402">
        <v>-743.41</v>
      </c>
      <c r="Z171" s="402">
        <v>0</v>
      </c>
      <c r="AA171" s="402">
        <v>14744.35</v>
      </c>
      <c r="AB171" s="450">
        <v>551</v>
      </c>
      <c r="AC171" s="173" t="s">
        <v>172</v>
      </c>
      <c r="AD171" s="173" t="s">
        <v>173</v>
      </c>
      <c r="AE171" s="164" t="b">
        <v>1</v>
      </c>
      <c r="AF171" s="164" t="b">
        <v>1</v>
      </c>
      <c r="AG171" s="409">
        <f>(AB171-S171)/S171</f>
        <v>5.1526717557251911E-2</v>
      </c>
      <c r="AH171" s="409">
        <f>(AA171-R171)/R171</f>
        <v>5.5681132295672502E-2</v>
      </c>
      <c r="AI171" s="402">
        <f t="shared" si="14"/>
        <v>13270.66</v>
      </c>
      <c r="AJ171" s="364">
        <v>-636.99</v>
      </c>
      <c r="AK171" s="364">
        <v>0</v>
      </c>
      <c r="AL171" s="364">
        <v>12633.67</v>
      </c>
      <c r="AM171" s="1069">
        <v>466</v>
      </c>
      <c r="AN171" s="407">
        <v>46122</v>
      </c>
      <c r="AO171" s="148" t="s">
        <v>174</v>
      </c>
      <c r="AP171" s="860" t="b">
        <v>1</v>
      </c>
      <c r="AQ171" s="860" t="b">
        <v>1</v>
      </c>
      <c r="AR171" s="409">
        <f t="shared" si="17"/>
        <v>-0.15426497277676951</v>
      </c>
      <c r="AS171" s="409">
        <f>(AL171-AA171)/AA171</f>
        <v>-0.14315178356455185</v>
      </c>
      <c r="AT171" s="402">
        <f t="shared" si="15"/>
        <v>0</v>
      </c>
      <c r="AU171" s="402"/>
      <c r="AV171" s="402"/>
      <c r="AW171" s="402"/>
      <c r="AX171" s="358"/>
      <c r="AY171" s="358"/>
      <c r="AZ171" s="358"/>
      <c r="BA171" s="164" t="b">
        <v>0</v>
      </c>
      <c r="BB171" s="164" t="b">
        <v>0</v>
      </c>
      <c r="BC171" s="358">
        <f>(AX171-AM171)/AM171</f>
        <v>-1</v>
      </c>
      <c r="BD171" s="358">
        <f>(AW171-AL171)/AL171</f>
        <v>-1</v>
      </c>
      <c r="BE171" s="402">
        <f>BH171 + ABS(BF171) + ABS(BG171)</f>
        <v>0</v>
      </c>
      <c r="BF171" s="402"/>
      <c r="BG171" s="402"/>
      <c r="BH171" s="402"/>
      <c r="BI171" s="358"/>
      <c r="BJ171" s="358"/>
      <c r="BK171" s="358"/>
      <c r="BL171" s="164" t="b">
        <v>0</v>
      </c>
      <c r="BM171" s="164" t="b">
        <v>0</v>
      </c>
      <c r="BN171" s="358" t="e">
        <f>(BI171-AZ171)/AZ171</f>
        <v>#DIV/0!</v>
      </c>
      <c r="BO171" s="358" t="e">
        <f>(BH171-AW171)/AW171</f>
        <v>#DIV/0!</v>
      </c>
      <c r="BP171" s="402">
        <f>BS171 + ABS(BQ171) + ABS(BR171)</f>
        <v>0</v>
      </c>
      <c r="BQ171" s="402"/>
      <c r="BR171" s="402"/>
      <c r="BS171" s="402"/>
      <c r="BT171" s="358"/>
      <c r="BU171" s="358"/>
      <c r="BV171" s="358"/>
      <c r="BW171" s="164" t="b">
        <v>0</v>
      </c>
      <c r="BX171" s="164" t="b">
        <v>0</v>
      </c>
      <c r="BY171" s="358" t="e">
        <f>(BT171-BI171)/BI171</f>
        <v>#DIV/0!</v>
      </c>
      <c r="BZ171" s="358" t="e">
        <f>(BS171-BH171)/BH171</f>
        <v>#DIV/0!</v>
      </c>
      <c r="CA171" s="402">
        <f>CD171 + ABS(CB171) + ABS(CC171)</f>
        <v>0</v>
      </c>
      <c r="CB171" s="402"/>
      <c r="CC171" s="402"/>
      <c r="CD171" s="402"/>
      <c r="CE171" s="358"/>
      <c r="CF171" s="358"/>
      <c r="CG171" s="358"/>
      <c r="CH171" s="164" t="b">
        <v>0</v>
      </c>
      <c r="CI171" s="164" t="b">
        <v>0</v>
      </c>
      <c r="CJ171" s="358" t="e">
        <f>(CE171-BV171)/BV171</f>
        <v>#DIV/0!</v>
      </c>
      <c r="CK171" s="358" t="e">
        <f>(CD171-BS171)/BS171</f>
        <v>#DIV/0!</v>
      </c>
      <c r="CL171" s="402">
        <f>CO171 + ABS(CM171) + ABS(CN171)</f>
        <v>0</v>
      </c>
      <c r="CM171" s="402"/>
      <c r="CN171" s="402"/>
      <c r="CO171" s="402"/>
      <c r="CP171" s="358"/>
      <c r="CQ171" s="358"/>
      <c r="CR171" s="358"/>
      <c r="CS171" s="164" t="b">
        <v>0</v>
      </c>
      <c r="CT171" s="164" t="b">
        <v>0</v>
      </c>
      <c r="CU171" s="358" t="e">
        <f>(CP171-CE171)/CE171</f>
        <v>#DIV/0!</v>
      </c>
      <c r="CV171" s="358" t="e">
        <f>(CO171-CD171)/CD171</f>
        <v>#DIV/0!</v>
      </c>
      <c r="CW171" s="402">
        <f>CZ171 + ABS(CX171) + ABS(CY171)</f>
        <v>0</v>
      </c>
      <c r="CX171" s="402"/>
      <c r="CY171" s="402"/>
      <c r="CZ171" s="402"/>
      <c r="DA171" s="358"/>
      <c r="DB171" s="358"/>
      <c r="DC171" s="358"/>
      <c r="DD171" s="164" t="b">
        <v>0</v>
      </c>
      <c r="DE171" s="164" t="b">
        <v>0</v>
      </c>
      <c r="DF171" s="358" t="e">
        <f>(DA171-CR171)/CR171</f>
        <v>#DIV/0!</v>
      </c>
      <c r="DG171" s="358" t="e">
        <f>(CZ171-CO171)/CO171</f>
        <v>#DIV/0!</v>
      </c>
      <c r="DH171" s="402">
        <f>DK171 + ABS(DI171) + ABS(DJ171)</f>
        <v>0</v>
      </c>
      <c r="DI171" s="402"/>
      <c r="DJ171" s="402"/>
      <c r="DK171" s="402"/>
      <c r="DL171" s="358"/>
      <c r="DM171" s="358"/>
      <c r="DN171" s="358"/>
      <c r="DO171" s="164" t="b">
        <v>0</v>
      </c>
      <c r="DP171" s="164" t="b">
        <v>0</v>
      </c>
      <c r="DQ171" s="358" t="e">
        <f>(DL171-DA171)/DA171</f>
        <v>#DIV/0!</v>
      </c>
      <c r="DR171" s="358" t="e">
        <f>(DK171-CZ171)/CZ171</f>
        <v>#DIV/0!</v>
      </c>
      <c r="DS171" s="402">
        <f>DV171 + ABS(DT171) + ABS(DU171)</f>
        <v>0</v>
      </c>
      <c r="DT171" s="402"/>
      <c r="DU171" s="402"/>
      <c r="DV171" s="402"/>
      <c r="DW171" s="358"/>
      <c r="DX171" s="358"/>
      <c r="DY171" s="358"/>
      <c r="DZ171" s="164" t="b">
        <v>0</v>
      </c>
      <c r="EA171" s="164" t="b">
        <v>0</v>
      </c>
      <c r="EB171" s="358" t="e">
        <f>(DW171-DN171)/DN171</f>
        <v>#DIV/0!</v>
      </c>
      <c r="EC171" s="358" t="e">
        <f>(DV171-DK171)/DK171</f>
        <v>#DIV/0!</v>
      </c>
      <c r="ED171" s="402">
        <f>EG171 + ABS(EE171) + ABS(EF171)</f>
        <v>0</v>
      </c>
      <c r="EE171" s="402"/>
      <c r="EF171" s="402"/>
      <c r="EG171" s="402"/>
      <c r="EH171" s="358"/>
      <c r="EI171" s="358"/>
      <c r="EJ171" s="358"/>
      <c r="EK171" s="164" t="b">
        <v>0</v>
      </c>
      <c r="EL171" s="164" t="b">
        <v>0</v>
      </c>
      <c r="EM171" s="358" t="e">
        <f>(EH171-DW171)/DW171</f>
        <v>#DIV/0!</v>
      </c>
      <c r="EN171" s="358" t="e">
        <f>(EG171-DV171)/DV171</f>
        <v>#DIV/0!</v>
      </c>
      <c r="EO171" s="402">
        <f>ER171 + ABS(EP171) + ABS(EQ171)</f>
        <v>0</v>
      </c>
      <c r="EP171" s="402"/>
      <c r="EQ171" s="402"/>
      <c r="ER171" s="402"/>
      <c r="ES171" s="358"/>
      <c r="ET171" s="358"/>
      <c r="EU171" s="358"/>
      <c r="EV171" s="164" t="b">
        <v>0</v>
      </c>
      <c r="EW171" s="164" t="b">
        <v>0</v>
      </c>
      <c r="EX171" s="358" t="e">
        <f>(ES171-EJ171)/EJ171</f>
        <v>#DIV/0!</v>
      </c>
      <c r="EY171" s="358" t="e">
        <f>(ER171-EG171)/EG171</f>
        <v>#DIV/0!</v>
      </c>
      <c r="EZ171" s="449"/>
      <c r="FA171" s="449"/>
      <c r="FB171" s="449"/>
      <c r="FC171" s="449"/>
      <c r="FD171" s="449"/>
      <c r="FE171" s="449"/>
      <c r="FF171" s="449"/>
      <c r="FG171" s="449"/>
      <c r="FH171" s="449"/>
      <c r="FI171" s="449"/>
      <c r="FJ171" s="449"/>
      <c r="FK171" s="449"/>
      <c r="FL171" s="175"/>
      <c r="FM171" s="175"/>
      <c r="FN171" s="175"/>
      <c r="FO171" s="175"/>
      <c r="FP171" s="175"/>
      <c r="FQ171" s="801"/>
      <c r="FR171" s="175"/>
      <c r="FS171" s="175"/>
      <c r="FT171" s="175"/>
      <c r="FU171" s="175"/>
      <c r="FV171" s="175"/>
      <c r="FW171" s="175"/>
      <c r="FX171" s="175"/>
      <c r="FY171" s="175"/>
      <c r="FZ171" s="175"/>
      <c r="GA171" s="175"/>
      <c r="GB171" s="175"/>
      <c r="GC171" s="175"/>
      <c r="GD171" s="175"/>
      <c r="GE171" s="175"/>
      <c r="GF171" s="175"/>
      <c r="GG171" s="175"/>
      <c r="GH171" s="175"/>
      <c r="GI171" s="175"/>
      <c r="GJ171" s="175"/>
      <c r="GK171" s="175"/>
      <c r="GL171" s="175"/>
      <c r="GM171" s="175"/>
      <c r="GN171" s="175"/>
      <c r="GO171" s="175"/>
      <c r="GP171" s="175"/>
      <c r="GQ171" s="175"/>
      <c r="GR171" s="175"/>
      <c r="GS171" s="175"/>
      <c r="GT171" s="175"/>
      <c r="GU171" s="175"/>
      <c r="GV171" s="175"/>
      <c r="GW171" s="175"/>
      <c r="GX171" s="175"/>
      <c r="GY171" s="175"/>
      <c r="GZ171" s="175"/>
      <c r="HA171" s="175"/>
      <c r="HB171" s="175"/>
      <c r="HC171" s="175"/>
      <c r="HD171" s="175"/>
      <c r="HE171" s="175"/>
      <c r="HF171" s="175"/>
      <c r="HG171" s="175"/>
      <c r="HH171" s="175"/>
      <c r="HI171" s="175"/>
      <c r="HJ171" s="175"/>
      <c r="HK171" s="175"/>
      <c r="HL171" s="175"/>
      <c r="HM171" s="175"/>
    </row>
    <row r="172" spans="2:221" ht="15">
      <c r="B172" s="175"/>
      <c r="C172" s="802" t="s">
        <v>626</v>
      </c>
      <c r="D172" s="154">
        <v>1450022</v>
      </c>
      <c r="E172" s="154">
        <v>325</v>
      </c>
      <c r="F172" s="154" t="s">
        <v>627</v>
      </c>
      <c r="G172" s="255" t="s">
        <v>628</v>
      </c>
      <c r="H172" s="171" t="s">
        <v>169</v>
      </c>
      <c r="I172" s="445" t="s">
        <v>170</v>
      </c>
      <c r="J172" s="154"/>
      <c r="K172" s="154"/>
      <c r="L172" s="154"/>
      <c r="M172" s="176"/>
      <c r="N172" s="193">
        <v>107</v>
      </c>
      <c r="O172" s="176"/>
      <c r="P172" s="203">
        <v>528.48</v>
      </c>
      <c r="Q172" s="203"/>
      <c r="R172" s="203">
        <v>10481.530000000001</v>
      </c>
      <c r="S172" s="176">
        <v>403</v>
      </c>
      <c r="T172" s="188" t="s">
        <v>171</v>
      </c>
      <c r="U172" s="176"/>
      <c r="V172" s="176"/>
      <c r="W172" s="176"/>
      <c r="X172" s="203">
        <f t="shared" si="16"/>
        <v>12734.550000000001</v>
      </c>
      <c r="Y172" s="203">
        <v>-611.26</v>
      </c>
      <c r="Z172" s="203">
        <v>0</v>
      </c>
      <c r="AA172" s="203">
        <v>12123.29</v>
      </c>
      <c r="AB172" s="446">
        <v>460</v>
      </c>
      <c r="AC172" s="255" t="s">
        <v>172</v>
      </c>
      <c r="AD172" s="255" t="s">
        <v>173</v>
      </c>
      <c r="AE172" s="177" t="b">
        <v>1</v>
      </c>
      <c r="AF172" s="177" t="b">
        <v>1</v>
      </c>
      <c r="AG172" s="392">
        <f>(AB172-S172)/S172</f>
        <v>0.14143920595533499</v>
      </c>
      <c r="AH172" s="392">
        <f>(AA172-R172)/R172</f>
        <v>0.1566336212365943</v>
      </c>
      <c r="AI172" s="203">
        <f t="shared" si="14"/>
        <v>12122.240000000002</v>
      </c>
      <c r="AJ172" s="368">
        <v>-581.87</v>
      </c>
      <c r="AK172" s="368">
        <v>0</v>
      </c>
      <c r="AL172" s="368">
        <v>11540.37</v>
      </c>
      <c r="AM172" s="1068">
        <v>422</v>
      </c>
      <c r="AN172" s="172">
        <v>46122</v>
      </c>
      <c r="AO172" s="171" t="s">
        <v>174</v>
      </c>
      <c r="AP172" s="861" t="b">
        <v>1</v>
      </c>
      <c r="AQ172" s="861" t="b">
        <v>1</v>
      </c>
      <c r="AR172" s="392">
        <f t="shared" si="17"/>
        <v>-8.2608695652173908E-2</v>
      </c>
      <c r="AS172" s="392">
        <f>(AL172-AA172)/AA172</f>
        <v>-4.8082657430449989E-2</v>
      </c>
      <c r="AT172" s="203">
        <f t="shared" si="15"/>
        <v>0</v>
      </c>
      <c r="AU172" s="203"/>
      <c r="AV172" s="203"/>
      <c r="AW172" s="203"/>
      <c r="AX172" s="176"/>
      <c r="AY172" s="176"/>
      <c r="AZ172" s="176"/>
      <c r="BA172" s="177" t="b">
        <v>0</v>
      </c>
      <c r="BB172" s="177" t="b">
        <v>0</v>
      </c>
      <c r="BC172" s="176">
        <f>(AX172-AM172)/AM172</f>
        <v>-1</v>
      </c>
      <c r="BD172" s="176">
        <f>(AW172-AL172)/AL172</f>
        <v>-1</v>
      </c>
      <c r="BE172" s="203">
        <f>BH172 + ABS(BF172) + ABS(BG172)</f>
        <v>0</v>
      </c>
      <c r="BF172" s="203"/>
      <c r="BG172" s="203"/>
      <c r="BH172" s="203"/>
      <c r="BI172" s="176"/>
      <c r="BJ172" s="176"/>
      <c r="BK172" s="176"/>
      <c r="BL172" s="177" t="b">
        <v>0</v>
      </c>
      <c r="BM172" s="177" t="b">
        <v>0</v>
      </c>
      <c r="BN172" s="176" t="e">
        <f>(BI172-AZ172)/AZ172</f>
        <v>#DIV/0!</v>
      </c>
      <c r="BO172" s="176" t="e">
        <f>(BH172-AW172)/AW172</f>
        <v>#DIV/0!</v>
      </c>
      <c r="BP172" s="203">
        <f>BS172 + ABS(BQ172) + ABS(BR172)</f>
        <v>0</v>
      </c>
      <c r="BQ172" s="203"/>
      <c r="BR172" s="203"/>
      <c r="BS172" s="203"/>
      <c r="BT172" s="176"/>
      <c r="BU172" s="176"/>
      <c r="BV172" s="176"/>
      <c r="BW172" s="177" t="b">
        <v>0</v>
      </c>
      <c r="BX172" s="177" t="b">
        <v>0</v>
      </c>
      <c r="BY172" s="176" t="e">
        <f>(BT172-BI172)/BI172</f>
        <v>#DIV/0!</v>
      </c>
      <c r="BZ172" s="176" t="e">
        <f>(BS172-BH172)/BH172</f>
        <v>#DIV/0!</v>
      </c>
      <c r="CA172" s="203">
        <f>CD172 + ABS(CB172) + ABS(CC172)</f>
        <v>0</v>
      </c>
      <c r="CB172" s="203"/>
      <c r="CC172" s="203"/>
      <c r="CD172" s="203"/>
      <c r="CE172" s="176"/>
      <c r="CF172" s="176"/>
      <c r="CG172" s="176"/>
      <c r="CH172" s="177" t="b">
        <v>0</v>
      </c>
      <c r="CI172" s="177" t="b">
        <v>0</v>
      </c>
      <c r="CJ172" s="176" t="e">
        <f>(CE172-BV172)/BV172</f>
        <v>#DIV/0!</v>
      </c>
      <c r="CK172" s="176" t="e">
        <f>(CD172-BS172)/BS172</f>
        <v>#DIV/0!</v>
      </c>
      <c r="CL172" s="203">
        <f>CO172 + ABS(CM172) + ABS(CN172)</f>
        <v>0</v>
      </c>
      <c r="CM172" s="203"/>
      <c r="CN172" s="203"/>
      <c r="CO172" s="203"/>
      <c r="CP172" s="176"/>
      <c r="CQ172" s="176"/>
      <c r="CR172" s="176"/>
      <c r="CS172" s="177" t="b">
        <v>0</v>
      </c>
      <c r="CT172" s="177" t="b">
        <v>0</v>
      </c>
      <c r="CU172" s="176" t="e">
        <f>(CP172-CE172)/CE172</f>
        <v>#DIV/0!</v>
      </c>
      <c r="CV172" s="176" t="e">
        <f>(CO172-CD172)/CD172</f>
        <v>#DIV/0!</v>
      </c>
      <c r="CW172" s="203">
        <f>CZ172 + ABS(CX172) + ABS(CY172)</f>
        <v>0</v>
      </c>
      <c r="CX172" s="203"/>
      <c r="CY172" s="203"/>
      <c r="CZ172" s="203"/>
      <c r="DA172" s="176"/>
      <c r="DB172" s="176"/>
      <c r="DC172" s="176"/>
      <c r="DD172" s="177" t="b">
        <v>0</v>
      </c>
      <c r="DE172" s="177" t="b">
        <v>0</v>
      </c>
      <c r="DF172" s="176" t="e">
        <f>(DA172-CR172)/CR172</f>
        <v>#DIV/0!</v>
      </c>
      <c r="DG172" s="176" t="e">
        <f>(CZ172-CO172)/CO172</f>
        <v>#DIV/0!</v>
      </c>
      <c r="DH172" s="203">
        <f>DK172 + ABS(DI172) + ABS(DJ172)</f>
        <v>0</v>
      </c>
      <c r="DI172" s="203"/>
      <c r="DJ172" s="203"/>
      <c r="DK172" s="203"/>
      <c r="DL172" s="176"/>
      <c r="DM172" s="176"/>
      <c r="DN172" s="176"/>
      <c r="DO172" s="177" t="b">
        <v>0</v>
      </c>
      <c r="DP172" s="177" t="b">
        <v>0</v>
      </c>
      <c r="DQ172" s="176" t="e">
        <f>(DL172-DA172)/DA172</f>
        <v>#DIV/0!</v>
      </c>
      <c r="DR172" s="176" t="e">
        <f>(DK172-CZ172)/CZ172</f>
        <v>#DIV/0!</v>
      </c>
      <c r="DS172" s="203">
        <f>DV172 + ABS(DT172) + ABS(DU172)</f>
        <v>0</v>
      </c>
      <c r="DT172" s="203"/>
      <c r="DU172" s="203"/>
      <c r="DV172" s="203"/>
      <c r="DW172" s="176"/>
      <c r="DX172" s="176"/>
      <c r="DY172" s="176"/>
      <c r="DZ172" s="177" t="b">
        <v>0</v>
      </c>
      <c r="EA172" s="177" t="b">
        <v>0</v>
      </c>
      <c r="EB172" s="176" t="e">
        <f>(DW172-DN172)/DN172</f>
        <v>#DIV/0!</v>
      </c>
      <c r="EC172" s="176" t="e">
        <f>(DV172-DK172)/DK172</f>
        <v>#DIV/0!</v>
      </c>
      <c r="ED172" s="203">
        <f>EG172 + ABS(EE172) + ABS(EF172)</f>
        <v>0</v>
      </c>
      <c r="EE172" s="203"/>
      <c r="EF172" s="203"/>
      <c r="EG172" s="203"/>
      <c r="EH172" s="176"/>
      <c r="EI172" s="176"/>
      <c r="EJ172" s="176"/>
      <c r="EK172" s="177" t="b">
        <v>0</v>
      </c>
      <c r="EL172" s="177" t="b">
        <v>0</v>
      </c>
      <c r="EM172" s="176" t="e">
        <f>(EH172-DW172)/DW172</f>
        <v>#DIV/0!</v>
      </c>
      <c r="EN172" s="176" t="e">
        <f>(EG172-DV172)/DV172</f>
        <v>#DIV/0!</v>
      </c>
      <c r="EO172" s="203">
        <f>ER172 + ABS(EP172) + ABS(EQ172)</f>
        <v>0</v>
      </c>
      <c r="EP172" s="203"/>
      <c r="EQ172" s="203"/>
      <c r="ER172" s="203"/>
      <c r="ES172" s="176"/>
      <c r="ET172" s="176"/>
      <c r="EU172" s="176"/>
      <c r="EV172" s="177" t="b">
        <v>0</v>
      </c>
      <c r="EW172" s="177" t="b">
        <v>0</v>
      </c>
      <c r="EX172" s="176" t="e">
        <f>(ES172-EJ172)/EJ172</f>
        <v>#DIV/0!</v>
      </c>
      <c r="EY172" s="176" t="e">
        <f>(ER172-EG172)/EG172</f>
        <v>#DIV/0!</v>
      </c>
      <c r="EZ172" s="175"/>
      <c r="FA172" s="175"/>
      <c r="FB172" s="175"/>
      <c r="FC172" s="175"/>
      <c r="FD172" s="175"/>
      <c r="FE172" s="175"/>
      <c r="FF172" s="175"/>
      <c r="FG172" s="175"/>
      <c r="FH172" s="175"/>
      <c r="FI172" s="175"/>
      <c r="FJ172" s="175"/>
      <c r="FK172" s="175"/>
      <c r="FL172" s="175"/>
      <c r="FM172" s="175"/>
      <c r="FN172" s="175"/>
      <c r="FO172" s="175"/>
      <c r="FP172" s="175"/>
      <c r="FQ172" s="801"/>
      <c r="FR172" s="175"/>
      <c r="FS172" s="175"/>
      <c r="FT172" s="175"/>
      <c r="FU172" s="175"/>
      <c r="FV172" s="175"/>
      <c r="FW172" s="175"/>
      <c r="FX172" s="175"/>
      <c r="FY172" s="175"/>
      <c r="FZ172" s="175"/>
      <c r="GA172" s="175"/>
      <c r="GB172" s="175"/>
      <c r="GC172" s="175"/>
      <c r="GD172" s="175"/>
      <c r="GE172" s="175"/>
      <c r="GF172" s="175"/>
      <c r="GG172" s="175"/>
      <c r="GH172" s="175"/>
      <c r="GI172" s="175"/>
      <c r="GJ172" s="175"/>
      <c r="GK172" s="175"/>
      <c r="GL172" s="175"/>
      <c r="GM172" s="175"/>
      <c r="GN172" s="175"/>
      <c r="GO172" s="175"/>
      <c r="GP172" s="175"/>
      <c r="GQ172" s="175"/>
      <c r="GR172" s="175"/>
      <c r="GS172" s="175"/>
      <c r="GT172" s="175"/>
      <c r="GU172" s="175"/>
      <c r="GV172" s="175"/>
      <c r="GW172" s="175"/>
      <c r="GX172" s="175"/>
      <c r="GY172" s="175"/>
      <c r="GZ172" s="175"/>
      <c r="HA172" s="175"/>
      <c r="HB172" s="175"/>
      <c r="HC172" s="175"/>
      <c r="HD172" s="175"/>
      <c r="HE172" s="175"/>
      <c r="HF172" s="175"/>
      <c r="HG172" s="175"/>
      <c r="HH172" s="175"/>
      <c r="HI172" s="175"/>
      <c r="HJ172" s="175"/>
      <c r="HK172" s="175"/>
      <c r="HL172" s="175"/>
      <c r="HM172" s="175"/>
    </row>
    <row r="173" spans="2:221" ht="15">
      <c r="B173" s="175"/>
      <c r="C173" s="800" t="s">
        <v>629</v>
      </c>
      <c r="D173" s="357">
        <v>1450022</v>
      </c>
      <c r="E173" s="357">
        <v>124</v>
      </c>
      <c r="F173" s="357" t="s">
        <v>630</v>
      </c>
      <c r="G173" s="426" t="s">
        <v>631</v>
      </c>
      <c r="H173" s="148" t="s">
        <v>169</v>
      </c>
      <c r="I173" s="448" t="s">
        <v>170</v>
      </c>
      <c r="J173" s="357"/>
      <c r="K173" s="357"/>
      <c r="L173" s="357"/>
      <c r="M173" s="358"/>
      <c r="N173" s="361">
        <v>107</v>
      </c>
      <c r="O173" s="358"/>
      <c r="P173" s="402">
        <v>3162.97</v>
      </c>
      <c r="Q173" s="402"/>
      <c r="R173" s="402">
        <v>62732.27</v>
      </c>
      <c r="S173" s="358">
        <v>3829</v>
      </c>
      <c r="T173" s="188" t="s">
        <v>171</v>
      </c>
      <c r="U173" s="358"/>
      <c r="V173" s="358"/>
      <c r="W173" s="358"/>
      <c r="X173" s="402">
        <f t="shared" si="16"/>
        <v>71372.149999999994</v>
      </c>
      <c r="Y173" s="402">
        <v>-3425.86</v>
      </c>
      <c r="Z173" s="402">
        <v>0</v>
      </c>
      <c r="AA173" s="402">
        <v>67946.289999999994</v>
      </c>
      <c r="AB173" s="450">
        <v>4144</v>
      </c>
      <c r="AC173" s="173" t="s">
        <v>172</v>
      </c>
      <c r="AD173" s="173" t="s">
        <v>173</v>
      </c>
      <c r="AE173" s="164" t="b">
        <v>1</v>
      </c>
      <c r="AF173" s="164" t="b">
        <v>1</v>
      </c>
      <c r="AG173" s="409">
        <f>(AB173-S173)/S173</f>
        <v>8.226691042047532E-2</v>
      </c>
      <c r="AH173" s="409">
        <f>(AA173-R173)/R173</f>
        <v>8.3115436441244625E-2</v>
      </c>
      <c r="AI173" s="402">
        <f t="shared" si="14"/>
        <v>63058.579999999994</v>
      </c>
      <c r="AJ173" s="364">
        <v>-3026.81</v>
      </c>
      <c r="AK173" s="364">
        <v>0</v>
      </c>
      <c r="AL173" s="364">
        <v>60031.77</v>
      </c>
      <c r="AM173" s="1069">
        <v>3598</v>
      </c>
      <c r="AN173" s="407">
        <v>46122</v>
      </c>
      <c r="AO173" s="148" t="s">
        <v>174</v>
      </c>
      <c r="AP173" s="860" t="b">
        <v>1</v>
      </c>
      <c r="AQ173" s="860" t="b">
        <v>1</v>
      </c>
      <c r="AR173" s="409">
        <f t="shared" si="17"/>
        <v>-0.13175675675675674</v>
      </c>
      <c r="AS173" s="409">
        <f>(AL173-AA173)/AA173</f>
        <v>-0.11648200365317955</v>
      </c>
      <c r="AT173" s="402">
        <f t="shared" si="15"/>
        <v>0</v>
      </c>
      <c r="AU173" s="402"/>
      <c r="AV173" s="402"/>
      <c r="AW173" s="402"/>
      <c r="AX173" s="358"/>
      <c r="AY173" s="358"/>
      <c r="AZ173" s="358"/>
      <c r="BA173" s="164" t="b">
        <v>0</v>
      </c>
      <c r="BB173" s="164" t="b">
        <v>0</v>
      </c>
      <c r="BC173" s="358">
        <f>(AX173-AM173)/AM173</f>
        <v>-1</v>
      </c>
      <c r="BD173" s="358">
        <f>(AW173-AL173)/AL173</f>
        <v>-1</v>
      </c>
      <c r="BE173" s="402">
        <f>BH173 + ABS(BF173) + ABS(BG173)</f>
        <v>0</v>
      </c>
      <c r="BF173" s="402"/>
      <c r="BG173" s="402"/>
      <c r="BH173" s="402"/>
      <c r="BI173" s="358"/>
      <c r="BJ173" s="358"/>
      <c r="BK173" s="358"/>
      <c r="BL173" s="164" t="b">
        <v>0</v>
      </c>
      <c r="BM173" s="164" t="b">
        <v>0</v>
      </c>
      <c r="BN173" s="358" t="e">
        <f>(BI173-AZ173)/AZ173</f>
        <v>#DIV/0!</v>
      </c>
      <c r="BO173" s="358" t="e">
        <f>(BH173-AW173)/AW173</f>
        <v>#DIV/0!</v>
      </c>
      <c r="BP173" s="402">
        <f>BS173 + ABS(BQ173) + ABS(BR173)</f>
        <v>0</v>
      </c>
      <c r="BQ173" s="402"/>
      <c r="BR173" s="402"/>
      <c r="BS173" s="402"/>
      <c r="BT173" s="358"/>
      <c r="BU173" s="358"/>
      <c r="BV173" s="358"/>
      <c r="BW173" s="164" t="b">
        <v>0</v>
      </c>
      <c r="BX173" s="164" t="b">
        <v>0</v>
      </c>
      <c r="BY173" s="358" t="e">
        <f>(BT173-BI173)/BI173</f>
        <v>#DIV/0!</v>
      </c>
      <c r="BZ173" s="358" t="e">
        <f>(BS173-BH173)/BH173</f>
        <v>#DIV/0!</v>
      </c>
      <c r="CA173" s="402">
        <f>CD173 + ABS(CB173) + ABS(CC173)</f>
        <v>0</v>
      </c>
      <c r="CB173" s="402"/>
      <c r="CC173" s="402"/>
      <c r="CD173" s="402"/>
      <c r="CE173" s="358"/>
      <c r="CF173" s="358"/>
      <c r="CG173" s="358"/>
      <c r="CH173" s="164" t="b">
        <v>0</v>
      </c>
      <c r="CI173" s="164" t="b">
        <v>0</v>
      </c>
      <c r="CJ173" s="358" t="e">
        <f>(CE173-BV173)/BV173</f>
        <v>#DIV/0!</v>
      </c>
      <c r="CK173" s="358" t="e">
        <f>(CD173-BS173)/BS173</f>
        <v>#DIV/0!</v>
      </c>
      <c r="CL173" s="402">
        <f>CO173 + ABS(CM173) + ABS(CN173)</f>
        <v>0</v>
      </c>
      <c r="CM173" s="402"/>
      <c r="CN173" s="402"/>
      <c r="CO173" s="402"/>
      <c r="CP173" s="358"/>
      <c r="CQ173" s="358"/>
      <c r="CR173" s="358"/>
      <c r="CS173" s="164" t="b">
        <v>0</v>
      </c>
      <c r="CT173" s="164" t="b">
        <v>0</v>
      </c>
      <c r="CU173" s="358" t="e">
        <f>(CP173-CE173)/CE173</f>
        <v>#DIV/0!</v>
      </c>
      <c r="CV173" s="358" t="e">
        <f>(CO173-CD173)/CD173</f>
        <v>#DIV/0!</v>
      </c>
      <c r="CW173" s="402">
        <f>CZ173 + ABS(CX173) + ABS(CY173)</f>
        <v>0</v>
      </c>
      <c r="CX173" s="402"/>
      <c r="CY173" s="402"/>
      <c r="CZ173" s="402"/>
      <c r="DA173" s="358"/>
      <c r="DB173" s="358"/>
      <c r="DC173" s="358"/>
      <c r="DD173" s="164" t="b">
        <v>0</v>
      </c>
      <c r="DE173" s="164" t="b">
        <v>0</v>
      </c>
      <c r="DF173" s="358" t="e">
        <f>(DA173-CR173)/CR173</f>
        <v>#DIV/0!</v>
      </c>
      <c r="DG173" s="358" t="e">
        <f>(CZ173-CO173)/CO173</f>
        <v>#DIV/0!</v>
      </c>
      <c r="DH173" s="402">
        <f>DK173 + ABS(DI173) + ABS(DJ173)</f>
        <v>0</v>
      </c>
      <c r="DI173" s="402"/>
      <c r="DJ173" s="402"/>
      <c r="DK173" s="402"/>
      <c r="DL173" s="358"/>
      <c r="DM173" s="358"/>
      <c r="DN173" s="358"/>
      <c r="DO173" s="164" t="b">
        <v>0</v>
      </c>
      <c r="DP173" s="164" t="b">
        <v>0</v>
      </c>
      <c r="DQ173" s="358" t="e">
        <f>(DL173-DA173)/DA173</f>
        <v>#DIV/0!</v>
      </c>
      <c r="DR173" s="358" t="e">
        <f>(DK173-CZ173)/CZ173</f>
        <v>#DIV/0!</v>
      </c>
      <c r="DS173" s="402">
        <f>DV173 + ABS(DT173) + ABS(DU173)</f>
        <v>0</v>
      </c>
      <c r="DT173" s="402"/>
      <c r="DU173" s="402"/>
      <c r="DV173" s="402"/>
      <c r="DW173" s="358"/>
      <c r="DX173" s="358"/>
      <c r="DY173" s="358"/>
      <c r="DZ173" s="164" t="b">
        <v>0</v>
      </c>
      <c r="EA173" s="164" t="b">
        <v>0</v>
      </c>
      <c r="EB173" s="358" t="e">
        <f>(DW173-DN173)/DN173</f>
        <v>#DIV/0!</v>
      </c>
      <c r="EC173" s="358" t="e">
        <f>(DV173-DK173)/DK173</f>
        <v>#DIV/0!</v>
      </c>
      <c r="ED173" s="402">
        <f>EG173 + ABS(EE173) + ABS(EF173)</f>
        <v>0</v>
      </c>
      <c r="EE173" s="402"/>
      <c r="EF173" s="402"/>
      <c r="EG173" s="402"/>
      <c r="EH173" s="358"/>
      <c r="EI173" s="358"/>
      <c r="EJ173" s="358"/>
      <c r="EK173" s="164" t="b">
        <v>0</v>
      </c>
      <c r="EL173" s="164" t="b">
        <v>0</v>
      </c>
      <c r="EM173" s="358" t="e">
        <f>(EH173-DW173)/DW173</f>
        <v>#DIV/0!</v>
      </c>
      <c r="EN173" s="358" t="e">
        <f>(EG173-DV173)/DV173</f>
        <v>#DIV/0!</v>
      </c>
      <c r="EO173" s="402">
        <f>ER173 + ABS(EP173) + ABS(EQ173)</f>
        <v>0</v>
      </c>
      <c r="EP173" s="402"/>
      <c r="EQ173" s="402"/>
      <c r="ER173" s="402"/>
      <c r="ES173" s="358"/>
      <c r="ET173" s="358"/>
      <c r="EU173" s="358"/>
      <c r="EV173" s="164" t="b">
        <v>0</v>
      </c>
      <c r="EW173" s="164" t="b">
        <v>0</v>
      </c>
      <c r="EX173" s="358" t="e">
        <f>(ES173-EJ173)/EJ173</f>
        <v>#DIV/0!</v>
      </c>
      <c r="EY173" s="358" t="e">
        <f>(ER173-EG173)/EG173</f>
        <v>#DIV/0!</v>
      </c>
      <c r="EZ173" s="449"/>
      <c r="FA173" s="449"/>
      <c r="FB173" s="449"/>
      <c r="FC173" s="449"/>
      <c r="FD173" s="449"/>
      <c r="FE173" s="449"/>
      <c r="FF173" s="449"/>
      <c r="FG173" s="449"/>
      <c r="FH173" s="449"/>
      <c r="FI173" s="449"/>
      <c r="FJ173" s="449"/>
      <c r="FK173" s="449"/>
      <c r="FL173" s="449"/>
      <c r="FM173" s="449"/>
      <c r="FN173" s="449"/>
      <c r="FO173" s="175"/>
      <c r="FP173" s="175"/>
      <c r="FQ173" s="801"/>
      <c r="FR173" s="175"/>
      <c r="FS173" s="175"/>
      <c r="FT173" s="175"/>
      <c r="FU173" s="175"/>
      <c r="FV173" s="175"/>
      <c r="FW173" s="175"/>
      <c r="FX173" s="175"/>
      <c r="FY173" s="175"/>
      <c r="FZ173" s="175"/>
      <c r="GA173" s="175"/>
      <c r="GB173" s="175"/>
      <c r="GC173" s="175"/>
      <c r="GD173" s="175"/>
      <c r="GE173" s="175"/>
      <c r="GF173" s="175"/>
      <c r="GG173" s="175"/>
      <c r="GH173" s="175"/>
      <c r="GI173" s="175"/>
      <c r="GJ173" s="175"/>
      <c r="GK173" s="175"/>
      <c r="GL173" s="175"/>
      <c r="GM173" s="175"/>
      <c r="GN173" s="175"/>
      <c r="GO173" s="175"/>
      <c r="GP173" s="175"/>
      <c r="GQ173" s="175"/>
      <c r="GR173" s="175"/>
      <c r="GS173" s="175"/>
      <c r="GT173" s="175"/>
      <c r="GU173" s="175"/>
      <c r="GV173" s="175"/>
      <c r="GW173" s="175"/>
      <c r="GX173" s="175"/>
      <c r="GY173" s="175"/>
      <c r="GZ173" s="175"/>
      <c r="HA173" s="175"/>
      <c r="HB173" s="175"/>
      <c r="HC173" s="175"/>
      <c r="HD173" s="175"/>
      <c r="HE173" s="175"/>
      <c r="HF173" s="175"/>
      <c r="HG173" s="175"/>
      <c r="HH173" s="175"/>
      <c r="HI173" s="175"/>
      <c r="HJ173" s="175"/>
      <c r="HK173" s="175"/>
      <c r="HL173" s="175"/>
      <c r="HM173" s="175"/>
    </row>
    <row r="174" spans="2:221" ht="15">
      <c r="B174" s="175"/>
      <c r="C174" s="802" t="s">
        <v>632</v>
      </c>
      <c r="D174" s="154">
        <v>1450022</v>
      </c>
      <c r="E174" s="154">
        <v>119</v>
      </c>
      <c r="F174" s="154" t="s">
        <v>633</v>
      </c>
      <c r="G174" s="255" t="s">
        <v>634</v>
      </c>
      <c r="H174" s="171" t="s">
        <v>169</v>
      </c>
      <c r="I174" s="445" t="s">
        <v>170</v>
      </c>
      <c r="J174" s="154"/>
      <c r="K174" s="154"/>
      <c r="L174" s="154"/>
      <c r="M174" s="176"/>
      <c r="N174" s="193">
        <v>107</v>
      </c>
      <c r="O174" s="176"/>
      <c r="P174" s="203">
        <v>2811.4</v>
      </c>
      <c r="Q174" s="203"/>
      <c r="R174" s="203">
        <v>55759.48</v>
      </c>
      <c r="S174" s="176">
        <v>1975</v>
      </c>
      <c r="T174" s="188" t="s">
        <v>171</v>
      </c>
      <c r="U174" s="176"/>
      <c r="V174" s="176"/>
      <c r="W174" s="176"/>
      <c r="X174" s="203">
        <f t="shared" si="16"/>
        <v>57693.48</v>
      </c>
      <c r="Y174" s="203">
        <v>-2769.29</v>
      </c>
      <c r="Z174" s="203">
        <v>0</v>
      </c>
      <c r="AA174" s="203">
        <v>54924.19</v>
      </c>
      <c r="AB174" s="446">
        <v>1946</v>
      </c>
      <c r="AC174" s="255" t="s">
        <v>172</v>
      </c>
      <c r="AD174" s="255" t="s">
        <v>173</v>
      </c>
      <c r="AE174" s="177" t="b">
        <v>1</v>
      </c>
      <c r="AF174" s="177" t="b">
        <v>1</v>
      </c>
      <c r="AG174" s="392">
        <f>(AB174-S174)/S174</f>
        <v>-1.4683544303797468E-2</v>
      </c>
      <c r="AH174" s="392">
        <f>(AA174-R174)/R174</f>
        <v>-1.4980232957696177E-2</v>
      </c>
      <c r="AI174" s="203">
        <f t="shared" si="14"/>
        <v>45123.070000000007</v>
      </c>
      <c r="AJ174" s="368">
        <v>-2165.91</v>
      </c>
      <c r="AK174" s="368">
        <v>0</v>
      </c>
      <c r="AL174" s="368">
        <v>42957.16</v>
      </c>
      <c r="AM174" s="1068">
        <v>1491</v>
      </c>
      <c r="AN174" s="172">
        <v>46122</v>
      </c>
      <c r="AO174" s="171" t="s">
        <v>174</v>
      </c>
      <c r="AP174" s="861" t="b">
        <v>1</v>
      </c>
      <c r="AQ174" s="861" t="b">
        <v>1</v>
      </c>
      <c r="AR174" s="392">
        <f t="shared" si="17"/>
        <v>-0.23381294964028776</v>
      </c>
      <c r="AS174" s="392">
        <f>(AL174-AA174)/AA174</f>
        <v>-0.21788268520664572</v>
      </c>
      <c r="AT174" s="203">
        <f t="shared" si="15"/>
        <v>0</v>
      </c>
      <c r="AU174" s="203"/>
      <c r="AV174" s="203"/>
      <c r="AW174" s="203"/>
      <c r="AX174" s="176"/>
      <c r="AY174" s="176"/>
      <c r="AZ174" s="176"/>
      <c r="BA174" s="177" t="b">
        <v>0</v>
      </c>
      <c r="BB174" s="177" t="b">
        <v>0</v>
      </c>
      <c r="BC174" s="176">
        <f>(AX174-AM174)/AM174</f>
        <v>-1</v>
      </c>
      <c r="BD174" s="176">
        <f>(AW174-AL174)/AL174</f>
        <v>-1</v>
      </c>
      <c r="BE174" s="203">
        <f>BH174 + ABS(BF174) + ABS(BG174)</f>
        <v>0</v>
      </c>
      <c r="BF174" s="203"/>
      <c r="BG174" s="203"/>
      <c r="BH174" s="203"/>
      <c r="BI174" s="176"/>
      <c r="BJ174" s="176"/>
      <c r="BK174" s="176"/>
      <c r="BL174" s="177" t="b">
        <v>0</v>
      </c>
      <c r="BM174" s="177" t="b">
        <v>0</v>
      </c>
      <c r="BN174" s="176" t="e">
        <f>(BI174-AZ174)/AZ174</f>
        <v>#DIV/0!</v>
      </c>
      <c r="BO174" s="176" t="e">
        <f>(BH174-AW174)/AW174</f>
        <v>#DIV/0!</v>
      </c>
      <c r="BP174" s="203">
        <f>BS174 + ABS(BQ174) + ABS(BR174)</f>
        <v>0</v>
      </c>
      <c r="BQ174" s="203"/>
      <c r="BR174" s="203"/>
      <c r="BS174" s="203"/>
      <c r="BT174" s="176"/>
      <c r="BU174" s="176"/>
      <c r="BV174" s="176"/>
      <c r="BW174" s="177" t="b">
        <v>0</v>
      </c>
      <c r="BX174" s="177" t="b">
        <v>0</v>
      </c>
      <c r="BY174" s="176" t="e">
        <f>(BT174-BI174)/BI174</f>
        <v>#DIV/0!</v>
      </c>
      <c r="BZ174" s="176" t="e">
        <f>(BS174-BH174)/BH174</f>
        <v>#DIV/0!</v>
      </c>
      <c r="CA174" s="203">
        <f>CD174 + ABS(CB174) + ABS(CC174)</f>
        <v>0</v>
      </c>
      <c r="CB174" s="203"/>
      <c r="CC174" s="203"/>
      <c r="CD174" s="203"/>
      <c r="CE174" s="176"/>
      <c r="CF174" s="176"/>
      <c r="CG174" s="176"/>
      <c r="CH174" s="177" t="b">
        <v>0</v>
      </c>
      <c r="CI174" s="177" t="b">
        <v>0</v>
      </c>
      <c r="CJ174" s="176" t="e">
        <f>(CE174-BV174)/BV174</f>
        <v>#DIV/0!</v>
      </c>
      <c r="CK174" s="176" t="e">
        <f>(CD174-BS174)/BS174</f>
        <v>#DIV/0!</v>
      </c>
      <c r="CL174" s="203">
        <f>CO174 + ABS(CM174) + ABS(CN174)</f>
        <v>0</v>
      </c>
      <c r="CM174" s="203"/>
      <c r="CN174" s="203"/>
      <c r="CO174" s="203"/>
      <c r="CP174" s="176"/>
      <c r="CQ174" s="176"/>
      <c r="CR174" s="176"/>
      <c r="CS174" s="177" t="b">
        <v>0</v>
      </c>
      <c r="CT174" s="177" t="b">
        <v>0</v>
      </c>
      <c r="CU174" s="176" t="e">
        <f>(CP174-CE174)/CE174</f>
        <v>#DIV/0!</v>
      </c>
      <c r="CV174" s="176" t="e">
        <f>(CO174-CD174)/CD174</f>
        <v>#DIV/0!</v>
      </c>
      <c r="CW174" s="203">
        <f>CZ174 + ABS(CX174) + ABS(CY174)</f>
        <v>0</v>
      </c>
      <c r="CX174" s="203"/>
      <c r="CY174" s="203"/>
      <c r="CZ174" s="203"/>
      <c r="DA174" s="176"/>
      <c r="DB174" s="176"/>
      <c r="DC174" s="176"/>
      <c r="DD174" s="177" t="b">
        <v>0</v>
      </c>
      <c r="DE174" s="177" t="b">
        <v>0</v>
      </c>
      <c r="DF174" s="176" t="e">
        <f>(DA174-CR174)/CR174</f>
        <v>#DIV/0!</v>
      </c>
      <c r="DG174" s="176" t="e">
        <f>(CZ174-CO174)/CO174</f>
        <v>#DIV/0!</v>
      </c>
      <c r="DH174" s="203">
        <f>DK174 + ABS(DI174) + ABS(DJ174)</f>
        <v>0</v>
      </c>
      <c r="DI174" s="203"/>
      <c r="DJ174" s="203"/>
      <c r="DK174" s="203"/>
      <c r="DL174" s="176"/>
      <c r="DM174" s="176"/>
      <c r="DN174" s="176"/>
      <c r="DO174" s="177" t="b">
        <v>0</v>
      </c>
      <c r="DP174" s="177" t="b">
        <v>0</v>
      </c>
      <c r="DQ174" s="176" t="e">
        <f>(DL174-DA174)/DA174</f>
        <v>#DIV/0!</v>
      </c>
      <c r="DR174" s="176" t="e">
        <f>(DK174-CZ174)/CZ174</f>
        <v>#DIV/0!</v>
      </c>
      <c r="DS174" s="203">
        <f>DV174 + ABS(DT174) + ABS(DU174)</f>
        <v>0</v>
      </c>
      <c r="DT174" s="203"/>
      <c r="DU174" s="203"/>
      <c r="DV174" s="203"/>
      <c r="DW174" s="176"/>
      <c r="DX174" s="176"/>
      <c r="DY174" s="176"/>
      <c r="DZ174" s="177" t="b">
        <v>0</v>
      </c>
      <c r="EA174" s="177" t="b">
        <v>0</v>
      </c>
      <c r="EB174" s="176" t="e">
        <f>(DW174-DN174)/DN174</f>
        <v>#DIV/0!</v>
      </c>
      <c r="EC174" s="176" t="e">
        <f>(DV174-DK174)/DK174</f>
        <v>#DIV/0!</v>
      </c>
      <c r="ED174" s="203">
        <f>EG174 + ABS(EE174) + ABS(EF174)</f>
        <v>0</v>
      </c>
      <c r="EE174" s="203"/>
      <c r="EF174" s="203"/>
      <c r="EG174" s="203"/>
      <c r="EH174" s="176"/>
      <c r="EI174" s="176"/>
      <c r="EJ174" s="176"/>
      <c r="EK174" s="177" t="b">
        <v>0</v>
      </c>
      <c r="EL174" s="177" t="b">
        <v>0</v>
      </c>
      <c r="EM174" s="176" t="e">
        <f>(EH174-DW174)/DW174</f>
        <v>#DIV/0!</v>
      </c>
      <c r="EN174" s="176" t="e">
        <f>(EG174-DV174)/DV174</f>
        <v>#DIV/0!</v>
      </c>
      <c r="EO174" s="203">
        <f>ER174 + ABS(EP174) + ABS(EQ174)</f>
        <v>0</v>
      </c>
      <c r="EP174" s="203"/>
      <c r="EQ174" s="203"/>
      <c r="ER174" s="203"/>
      <c r="ES174" s="176"/>
      <c r="ET174" s="176"/>
      <c r="EU174" s="176"/>
      <c r="EV174" s="177" t="b">
        <v>0</v>
      </c>
      <c r="EW174" s="177" t="b">
        <v>0</v>
      </c>
      <c r="EX174" s="176" t="e">
        <f>(ES174-EJ174)/EJ174</f>
        <v>#DIV/0!</v>
      </c>
      <c r="EY174" s="176" t="e">
        <f>(ER174-EG174)/EG174</f>
        <v>#DIV/0!</v>
      </c>
      <c r="EZ174" s="175"/>
      <c r="FA174" s="175"/>
      <c r="FB174" s="175"/>
      <c r="FC174" s="175"/>
      <c r="FD174" s="175"/>
      <c r="FE174" s="175"/>
      <c r="FF174" s="175"/>
      <c r="FG174" s="175"/>
      <c r="FH174" s="175"/>
      <c r="FI174" s="175"/>
      <c r="FJ174" s="175"/>
      <c r="FK174" s="175"/>
      <c r="FL174" s="175"/>
      <c r="FM174" s="175"/>
      <c r="FN174" s="175"/>
      <c r="FO174" s="175"/>
      <c r="FP174" s="175"/>
      <c r="FQ174" s="801"/>
      <c r="FR174" s="175"/>
      <c r="FS174" s="175"/>
      <c r="FT174" s="175"/>
      <c r="FU174" s="175"/>
      <c r="FV174" s="175"/>
      <c r="FW174" s="175"/>
      <c r="FX174" s="175"/>
      <c r="FY174" s="175"/>
      <c r="FZ174" s="175"/>
      <c r="GA174" s="175"/>
      <c r="GB174" s="175"/>
      <c r="GC174" s="175"/>
      <c r="GD174" s="175"/>
      <c r="GE174" s="175"/>
      <c r="GF174" s="175"/>
      <c r="GG174" s="175"/>
      <c r="GH174" s="175"/>
      <c r="GI174" s="175"/>
      <c r="GJ174" s="175"/>
      <c r="GK174" s="175"/>
      <c r="GL174" s="175"/>
      <c r="GM174" s="175"/>
      <c r="GN174" s="175"/>
      <c r="GO174" s="175"/>
      <c r="GP174" s="175"/>
      <c r="GQ174" s="175"/>
      <c r="GR174" s="175"/>
      <c r="GS174" s="175"/>
      <c r="GT174" s="175"/>
      <c r="GU174" s="175"/>
      <c r="GV174" s="175"/>
      <c r="GW174" s="175"/>
      <c r="GX174" s="175"/>
      <c r="GY174" s="175"/>
      <c r="GZ174" s="175"/>
      <c r="HA174" s="175"/>
      <c r="HB174" s="175"/>
      <c r="HC174" s="175"/>
      <c r="HD174" s="175"/>
      <c r="HE174" s="175"/>
      <c r="HF174" s="175"/>
      <c r="HG174" s="175"/>
      <c r="HH174" s="175"/>
      <c r="HI174" s="175"/>
      <c r="HJ174" s="175"/>
      <c r="HK174" s="175"/>
      <c r="HL174" s="175"/>
      <c r="HM174" s="175"/>
    </row>
    <row r="175" spans="2:221" ht="15">
      <c r="B175" s="175"/>
      <c r="C175" s="800" t="s">
        <v>635</v>
      </c>
      <c r="D175" s="357">
        <v>1450022</v>
      </c>
      <c r="E175" s="357">
        <v>327</v>
      </c>
      <c r="F175" s="357" t="s">
        <v>636</v>
      </c>
      <c r="G175" s="426" t="s">
        <v>637</v>
      </c>
      <c r="H175" s="148" t="s">
        <v>169</v>
      </c>
      <c r="I175" s="448" t="s">
        <v>170</v>
      </c>
      <c r="J175" s="357"/>
      <c r="K175" s="357"/>
      <c r="L175" s="357"/>
      <c r="M175" s="358"/>
      <c r="N175" s="361">
        <v>107</v>
      </c>
      <c r="O175" s="358"/>
      <c r="P175" s="402">
        <v>923.49</v>
      </c>
      <c r="Q175" s="402"/>
      <c r="R175" s="402">
        <v>18315.89</v>
      </c>
      <c r="S175" s="358">
        <v>675</v>
      </c>
      <c r="T175" s="188" t="s">
        <v>171</v>
      </c>
      <c r="U175" s="358"/>
      <c r="V175" s="358"/>
      <c r="W175" s="358"/>
      <c r="X175" s="402">
        <f t="shared" si="16"/>
        <v>37271.360000000001</v>
      </c>
      <c r="Y175" s="402">
        <v>-1789.03</v>
      </c>
      <c r="Z175" s="402">
        <v>0</v>
      </c>
      <c r="AA175" s="402">
        <v>35482.33</v>
      </c>
      <c r="AB175" s="450">
        <v>1271</v>
      </c>
      <c r="AC175" s="173" t="s">
        <v>172</v>
      </c>
      <c r="AD175" s="173" t="s">
        <v>173</v>
      </c>
      <c r="AE175" s="164" t="b">
        <v>1</v>
      </c>
      <c r="AF175" s="164" t="b">
        <v>1</v>
      </c>
      <c r="AG175" s="409">
        <f>(AB175-S175)/S175</f>
        <v>0.88296296296296295</v>
      </c>
      <c r="AH175" s="409">
        <f>(AA175-R175)/R175</f>
        <v>0.93724301685585587</v>
      </c>
      <c r="AI175" s="402">
        <f t="shared" si="14"/>
        <v>33625.14</v>
      </c>
      <c r="AJ175" s="364">
        <v>-1614.01</v>
      </c>
      <c r="AK175" s="364">
        <v>0</v>
      </c>
      <c r="AL175" s="364">
        <v>32011.13</v>
      </c>
      <c r="AM175" s="1069">
        <v>1121</v>
      </c>
      <c r="AN175" s="407">
        <v>46122</v>
      </c>
      <c r="AO175" s="148" t="s">
        <v>174</v>
      </c>
      <c r="AP175" s="860" t="b">
        <v>1</v>
      </c>
      <c r="AQ175" s="860" t="b">
        <v>1</v>
      </c>
      <c r="AR175" s="409">
        <f t="shared" si="17"/>
        <v>-0.11801730920535011</v>
      </c>
      <c r="AS175" s="409">
        <f>(AL175-AA175)/AA175</f>
        <v>-9.7828975718336444E-2</v>
      </c>
      <c r="AT175" s="402">
        <f t="shared" si="15"/>
        <v>0</v>
      </c>
      <c r="AU175" s="402"/>
      <c r="AV175" s="402"/>
      <c r="AW175" s="402"/>
      <c r="AX175" s="358"/>
      <c r="AY175" s="358"/>
      <c r="AZ175" s="358"/>
      <c r="BA175" s="164" t="b">
        <v>0</v>
      </c>
      <c r="BB175" s="164" t="b">
        <v>0</v>
      </c>
      <c r="BC175" s="358">
        <f>(AX175-AM175)/AM175</f>
        <v>-1</v>
      </c>
      <c r="BD175" s="358">
        <f>(AW175-AL175)/AL175</f>
        <v>-1</v>
      </c>
      <c r="BE175" s="402">
        <f>BH175 + ABS(BF175) + ABS(BG175)</f>
        <v>0</v>
      </c>
      <c r="BF175" s="402"/>
      <c r="BG175" s="402"/>
      <c r="BH175" s="402"/>
      <c r="BI175" s="358"/>
      <c r="BJ175" s="358"/>
      <c r="BK175" s="358"/>
      <c r="BL175" s="164" t="b">
        <v>0</v>
      </c>
      <c r="BM175" s="164" t="b">
        <v>0</v>
      </c>
      <c r="BN175" s="358" t="e">
        <f>(BI175-AZ175)/AZ175</f>
        <v>#DIV/0!</v>
      </c>
      <c r="BO175" s="358" t="e">
        <f>(BH175-AW175)/AW175</f>
        <v>#DIV/0!</v>
      </c>
      <c r="BP175" s="402">
        <f>BS175 + ABS(BQ175) + ABS(BR175)</f>
        <v>0</v>
      </c>
      <c r="BQ175" s="402"/>
      <c r="BR175" s="402"/>
      <c r="BS175" s="402"/>
      <c r="BT175" s="358"/>
      <c r="BU175" s="358"/>
      <c r="BV175" s="358"/>
      <c r="BW175" s="164" t="b">
        <v>0</v>
      </c>
      <c r="BX175" s="164" t="b">
        <v>0</v>
      </c>
      <c r="BY175" s="358" t="e">
        <f>(BT175-BI175)/BI175</f>
        <v>#DIV/0!</v>
      </c>
      <c r="BZ175" s="358" t="e">
        <f>(BS175-BH175)/BH175</f>
        <v>#DIV/0!</v>
      </c>
      <c r="CA175" s="402">
        <f>CD175 + ABS(CB175) + ABS(CC175)</f>
        <v>0</v>
      </c>
      <c r="CB175" s="402"/>
      <c r="CC175" s="402"/>
      <c r="CD175" s="402"/>
      <c r="CE175" s="358"/>
      <c r="CF175" s="358"/>
      <c r="CG175" s="358"/>
      <c r="CH175" s="164" t="b">
        <v>0</v>
      </c>
      <c r="CI175" s="164" t="b">
        <v>0</v>
      </c>
      <c r="CJ175" s="358" t="e">
        <f>(CE175-BV175)/BV175</f>
        <v>#DIV/0!</v>
      </c>
      <c r="CK175" s="358" t="e">
        <f>(CD175-BS175)/BS175</f>
        <v>#DIV/0!</v>
      </c>
      <c r="CL175" s="402">
        <f>CO175 + ABS(CM175) + ABS(CN175)</f>
        <v>0</v>
      </c>
      <c r="CM175" s="402"/>
      <c r="CN175" s="402"/>
      <c r="CO175" s="402"/>
      <c r="CP175" s="358"/>
      <c r="CQ175" s="358"/>
      <c r="CR175" s="358"/>
      <c r="CS175" s="164" t="b">
        <v>0</v>
      </c>
      <c r="CT175" s="164" t="b">
        <v>0</v>
      </c>
      <c r="CU175" s="358" t="e">
        <f>(CP175-CE175)/CE175</f>
        <v>#DIV/0!</v>
      </c>
      <c r="CV175" s="358" t="e">
        <f>(CO175-CD175)/CD175</f>
        <v>#DIV/0!</v>
      </c>
      <c r="CW175" s="402">
        <f>CZ175 + ABS(CX175) + ABS(CY175)</f>
        <v>0</v>
      </c>
      <c r="CX175" s="402"/>
      <c r="CY175" s="402"/>
      <c r="CZ175" s="402"/>
      <c r="DA175" s="358"/>
      <c r="DB175" s="358"/>
      <c r="DC175" s="358"/>
      <c r="DD175" s="164" t="b">
        <v>0</v>
      </c>
      <c r="DE175" s="164" t="b">
        <v>0</v>
      </c>
      <c r="DF175" s="358" t="e">
        <f>(DA175-CR175)/CR175</f>
        <v>#DIV/0!</v>
      </c>
      <c r="DG175" s="358" t="e">
        <f>(CZ175-CO175)/CO175</f>
        <v>#DIV/0!</v>
      </c>
      <c r="DH175" s="402">
        <f>DK175 + ABS(DI175) + ABS(DJ175)</f>
        <v>0</v>
      </c>
      <c r="DI175" s="402"/>
      <c r="DJ175" s="402"/>
      <c r="DK175" s="402"/>
      <c r="DL175" s="358"/>
      <c r="DM175" s="358"/>
      <c r="DN175" s="358"/>
      <c r="DO175" s="164" t="b">
        <v>0</v>
      </c>
      <c r="DP175" s="164" t="b">
        <v>0</v>
      </c>
      <c r="DQ175" s="358" t="e">
        <f>(DL175-DA175)/DA175</f>
        <v>#DIV/0!</v>
      </c>
      <c r="DR175" s="358" t="e">
        <f>(DK175-CZ175)/CZ175</f>
        <v>#DIV/0!</v>
      </c>
      <c r="DS175" s="402">
        <f>DV175 + ABS(DT175) + ABS(DU175)</f>
        <v>0</v>
      </c>
      <c r="DT175" s="402"/>
      <c r="DU175" s="402"/>
      <c r="DV175" s="402"/>
      <c r="DW175" s="358"/>
      <c r="DX175" s="358"/>
      <c r="DY175" s="358"/>
      <c r="DZ175" s="164" t="b">
        <v>0</v>
      </c>
      <c r="EA175" s="164" t="b">
        <v>0</v>
      </c>
      <c r="EB175" s="358" t="e">
        <f>(DW175-DN175)/DN175</f>
        <v>#DIV/0!</v>
      </c>
      <c r="EC175" s="358" t="e">
        <f>(DV175-DK175)/DK175</f>
        <v>#DIV/0!</v>
      </c>
      <c r="ED175" s="402">
        <f>EG175 + ABS(EE175) + ABS(EF175)</f>
        <v>0</v>
      </c>
      <c r="EE175" s="402"/>
      <c r="EF175" s="402"/>
      <c r="EG175" s="402"/>
      <c r="EH175" s="358"/>
      <c r="EI175" s="358"/>
      <c r="EJ175" s="358"/>
      <c r="EK175" s="164" t="b">
        <v>0</v>
      </c>
      <c r="EL175" s="164" t="b">
        <v>0</v>
      </c>
      <c r="EM175" s="358" t="e">
        <f>(EH175-DW175)/DW175</f>
        <v>#DIV/0!</v>
      </c>
      <c r="EN175" s="358" t="e">
        <f>(EG175-DV175)/DV175</f>
        <v>#DIV/0!</v>
      </c>
      <c r="EO175" s="402">
        <f>ER175 + ABS(EP175) + ABS(EQ175)</f>
        <v>0</v>
      </c>
      <c r="EP175" s="402"/>
      <c r="EQ175" s="402"/>
      <c r="ER175" s="402"/>
      <c r="ES175" s="358"/>
      <c r="ET175" s="358"/>
      <c r="EU175" s="358"/>
      <c r="EV175" s="164" t="b">
        <v>0</v>
      </c>
      <c r="EW175" s="164" t="b">
        <v>0</v>
      </c>
      <c r="EX175" s="358" t="e">
        <f>(ES175-EJ175)/EJ175</f>
        <v>#DIV/0!</v>
      </c>
      <c r="EY175" s="358" t="e">
        <f>(ER175-EG175)/EG175</f>
        <v>#DIV/0!</v>
      </c>
      <c r="EZ175" s="449"/>
      <c r="FA175" s="449"/>
      <c r="FB175" s="449"/>
      <c r="FC175" s="449"/>
      <c r="FD175" s="449"/>
      <c r="FE175" s="449"/>
      <c r="FF175" s="449"/>
      <c r="FG175" s="449"/>
      <c r="FH175" s="449"/>
      <c r="FI175" s="449"/>
      <c r="FJ175" s="449"/>
      <c r="FK175" s="175"/>
      <c r="FL175" s="175"/>
      <c r="FM175" s="175"/>
      <c r="FN175" s="175"/>
      <c r="FO175" s="175"/>
      <c r="FP175" s="175"/>
      <c r="FQ175" s="801"/>
      <c r="FR175" s="175"/>
      <c r="FS175" s="175"/>
      <c r="FT175" s="175"/>
      <c r="FU175" s="175"/>
      <c r="FV175" s="175"/>
      <c r="FW175" s="175"/>
      <c r="FX175" s="175"/>
      <c r="FY175" s="175"/>
      <c r="FZ175" s="175"/>
      <c r="GA175" s="175"/>
      <c r="GB175" s="175"/>
      <c r="GC175" s="175"/>
      <c r="GD175" s="175"/>
      <c r="GE175" s="175"/>
      <c r="GF175" s="175"/>
      <c r="GG175" s="175"/>
      <c r="GH175" s="175"/>
      <c r="GI175" s="175"/>
      <c r="GJ175" s="175"/>
      <c r="GK175" s="175"/>
      <c r="GL175" s="175"/>
      <c r="GM175" s="175"/>
      <c r="GN175" s="175"/>
      <c r="GO175" s="175"/>
      <c r="GP175" s="175"/>
      <c r="GQ175" s="175"/>
      <c r="GR175" s="175"/>
      <c r="GS175" s="175"/>
      <c r="GT175" s="175"/>
      <c r="GU175" s="175"/>
      <c r="GV175" s="175"/>
      <c r="GW175" s="175"/>
      <c r="GX175" s="175"/>
      <c r="GY175" s="175"/>
      <c r="GZ175" s="175"/>
      <c r="HA175" s="175"/>
      <c r="HB175" s="175"/>
      <c r="HC175" s="175"/>
      <c r="HD175" s="175"/>
      <c r="HE175" s="175"/>
      <c r="HF175" s="175"/>
      <c r="HG175" s="175"/>
      <c r="HH175" s="175"/>
      <c r="HI175" s="175"/>
      <c r="HJ175" s="175"/>
      <c r="HK175" s="175"/>
      <c r="HL175" s="175"/>
      <c r="HM175" s="175"/>
    </row>
    <row r="176" spans="2:221" ht="15">
      <c r="B176" s="175"/>
      <c r="C176" s="802" t="s">
        <v>638</v>
      </c>
      <c r="D176" s="154">
        <v>1450022</v>
      </c>
      <c r="E176" s="154">
        <v>65</v>
      </c>
      <c r="F176" s="154" t="s">
        <v>639</v>
      </c>
      <c r="G176" s="255" t="s">
        <v>640</v>
      </c>
      <c r="H176" s="171" t="s">
        <v>169</v>
      </c>
      <c r="I176" s="445" t="s">
        <v>170</v>
      </c>
      <c r="J176" s="154"/>
      <c r="K176" s="154"/>
      <c r="L176" s="154"/>
      <c r="M176" s="176"/>
      <c r="N176" s="193">
        <v>107</v>
      </c>
      <c r="O176" s="176"/>
      <c r="P176" s="203">
        <v>7290.11</v>
      </c>
      <c r="Q176" s="203"/>
      <c r="R176" s="203">
        <v>144587.18</v>
      </c>
      <c r="S176" s="176">
        <v>5059</v>
      </c>
      <c r="T176" s="188" t="s">
        <v>171</v>
      </c>
      <c r="U176" s="176"/>
      <c r="V176" s="176"/>
      <c r="W176" s="176"/>
      <c r="X176" s="203">
        <f t="shared" si="16"/>
        <v>198167.44</v>
      </c>
      <c r="Y176" s="203">
        <v>-9512.0400000000009</v>
      </c>
      <c r="Z176" s="203">
        <v>0</v>
      </c>
      <c r="AA176" s="203">
        <v>188655.4</v>
      </c>
      <c r="AB176" s="446">
        <v>6589</v>
      </c>
      <c r="AC176" s="255" t="s">
        <v>172</v>
      </c>
      <c r="AD176" s="255" t="s">
        <v>173</v>
      </c>
      <c r="AE176" s="177" t="b">
        <v>1</v>
      </c>
      <c r="AF176" s="177" t="b">
        <v>1</v>
      </c>
      <c r="AG176" s="392">
        <f>(AB176-S176)/S176</f>
        <v>0.30243131053567901</v>
      </c>
      <c r="AH176" s="392">
        <f>(AA176-R176)/R176</f>
        <v>0.30478649628549365</v>
      </c>
      <c r="AI176" s="203">
        <f t="shared" si="14"/>
        <v>205196.47999999998</v>
      </c>
      <c r="AJ176" s="368">
        <v>-9849.43</v>
      </c>
      <c r="AK176" s="368">
        <v>0</v>
      </c>
      <c r="AL176" s="368">
        <v>195347.05</v>
      </c>
      <c r="AM176" s="1068">
        <v>6664</v>
      </c>
      <c r="AN176" s="172">
        <v>46122</v>
      </c>
      <c r="AO176" s="171" t="s">
        <v>174</v>
      </c>
      <c r="AP176" s="861" t="b">
        <v>1</v>
      </c>
      <c r="AQ176" s="861" t="b">
        <v>1</v>
      </c>
      <c r="AR176" s="392">
        <f t="shared" si="17"/>
        <v>1.138260737592958E-2</v>
      </c>
      <c r="AS176" s="392">
        <f>(AL176-AA176)/AA176</f>
        <v>3.5470227727380156E-2</v>
      </c>
      <c r="AT176" s="203">
        <f t="shared" si="15"/>
        <v>0</v>
      </c>
      <c r="AU176" s="203"/>
      <c r="AV176" s="203"/>
      <c r="AW176" s="203"/>
      <c r="AX176" s="176"/>
      <c r="AY176" s="176"/>
      <c r="AZ176" s="176"/>
      <c r="BA176" s="177" t="b">
        <v>0</v>
      </c>
      <c r="BB176" s="177" t="b">
        <v>0</v>
      </c>
      <c r="BC176" s="176">
        <f>(AX176-AM176)/AM176</f>
        <v>-1</v>
      </c>
      <c r="BD176" s="176">
        <f>(AW176-AL176)/AL176</f>
        <v>-1</v>
      </c>
      <c r="BE176" s="203">
        <f>BH176 + ABS(BF176) + ABS(BG176)</f>
        <v>0</v>
      </c>
      <c r="BF176" s="203"/>
      <c r="BG176" s="203"/>
      <c r="BH176" s="203"/>
      <c r="BI176" s="176"/>
      <c r="BJ176" s="176"/>
      <c r="BK176" s="176"/>
      <c r="BL176" s="177" t="b">
        <v>0</v>
      </c>
      <c r="BM176" s="177" t="b">
        <v>0</v>
      </c>
      <c r="BN176" s="176" t="e">
        <f>(BI176-AZ176)/AZ176</f>
        <v>#DIV/0!</v>
      </c>
      <c r="BO176" s="176" t="e">
        <f>(BH176-AW176)/AW176</f>
        <v>#DIV/0!</v>
      </c>
      <c r="BP176" s="203">
        <f>BS176 + ABS(BQ176) + ABS(BR176)</f>
        <v>0</v>
      </c>
      <c r="BQ176" s="203"/>
      <c r="BR176" s="203"/>
      <c r="BS176" s="203"/>
      <c r="BT176" s="176"/>
      <c r="BU176" s="176"/>
      <c r="BV176" s="176"/>
      <c r="BW176" s="177" t="b">
        <v>0</v>
      </c>
      <c r="BX176" s="177" t="b">
        <v>0</v>
      </c>
      <c r="BY176" s="176" t="e">
        <f>(BT176-BI176)/BI176</f>
        <v>#DIV/0!</v>
      </c>
      <c r="BZ176" s="176" t="e">
        <f>(BS176-BH176)/BH176</f>
        <v>#DIV/0!</v>
      </c>
      <c r="CA176" s="203">
        <f>CD176 + ABS(CB176) + ABS(CC176)</f>
        <v>0</v>
      </c>
      <c r="CB176" s="203"/>
      <c r="CC176" s="203"/>
      <c r="CD176" s="203"/>
      <c r="CE176" s="176"/>
      <c r="CF176" s="176"/>
      <c r="CG176" s="176"/>
      <c r="CH176" s="177" t="b">
        <v>0</v>
      </c>
      <c r="CI176" s="177" t="b">
        <v>0</v>
      </c>
      <c r="CJ176" s="176" t="e">
        <f>(CE176-BV176)/BV176</f>
        <v>#DIV/0!</v>
      </c>
      <c r="CK176" s="176" t="e">
        <f>(CD176-BS176)/BS176</f>
        <v>#DIV/0!</v>
      </c>
      <c r="CL176" s="203">
        <f>CO176 + ABS(CM176) + ABS(CN176)</f>
        <v>0</v>
      </c>
      <c r="CM176" s="203"/>
      <c r="CN176" s="203"/>
      <c r="CO176" s="203"/>
      <c r="CP176" s="176"/>
      <c r="CQ176" s="176"/>
      <c r="CR176" s="176"/>
      <c r="CS176" s="177" t="b">
        <v>0</v>
      </c>
      <c r="CT176" s="177" t="b">
        <v>0</v>
      </c>
      <c r="CU176" s="176" t="e">
        <f>(CP176-CE176)/CE176</f>
        <v>#DIV/0!</v>
      </c>
      <c r="CV176" s="176" t="e">
        <f>(CO176-CD176)/CD176</f>
        <v>#DIV/0!</v>
      </c>
      <c r="CW176" s="203">
        <f>CZ176 + ABS(CX176) + ABS(CY176)</f>
        <v>0</v>
      </c>
      <c r="CX176" s="203"/>
      <c r="CY176" s="203"/>
      <c r="CZ176" s="203"/>
      <c r="DA176" s="176"/>
      <c r="DB176" s="176"/>
      <c r="DC176" s="176"/>
      <c r="DD176" s="177" t="b">
        <v>0</v>
      </c>
      <c r="DE176" s="177" t="b">
        <v>0</v>
      </c>
      <c r="DF176" s="176" t="e">
        <f>(DA176-CR176)/CR176</f>
        <v>#DIV/0!</v>
      </c>
      <c r="DG176" s="176" t="e">
        <f>(CZ176-CO176)/CO176</f>
        <v>#DIV/0!</v>
      </c>
      <c r="DH176" s="203">
        <f>DK176 + ABS(DI176) + ABS(DJ176)</f>
        <v>0</v>
      </c>
      <c r="DI176" s="203"/>
      <c r="DJ176" s="203"/>
      <c r="DK176" s="203"/>
      <c r="DL176" s="176"/>
      <c r="DM176" s="176"/>
      <c r="DN176" s="176"/>
      <c r="DO176" s="177" t="b">
        <v>0</v>
      </c>
      <c r="DP176" s="177" t="b">
        <v>0</v>
      </c>
      <c r="DQ176" s="176" t="e">
        <f>(DL176-DA176)/DA176</f>
        <v>#DIV/0!</v>
      </c>
      <c r="DR176" s="176" t="e">
        <f>(DK176-CZ176)/CZ176</f>
        <v>#DIV/0!</v>
      </c>
      <c r="DS176" s="203">
        <f>DV176 + ABS(DT176) + ABS(DU176)</f>
        <v>0</v>
      </c>
      <c r="DT176" s="203"/>
      <c r="DU176" s="203"/>
      <c r="DV176" s="203"/>
      <c r="DW176" s="176"/>
      <c r="DX176" s="176"/>
      <c r="DY176" s="176"/>
      <c r="DZ176" s="177" t="b">
        <v>0</v>
      </c>
      <c r="EA176" s="177" t="b">
        <v>0</v>
      </c>
      <c r="EB176" s="176" t="e">
        <f>(DW176-DN176)/DN176</f>
        <v>#DIV/0!</v>
      </c>
      <c r="EC176" s="176" t="e">
        <f>(DV176-DK176)/DK176</f>
        <v>#DIV/0!</v>
      </c>
      <c r="ED176" s="203">
        <f>EG176 + ABS(EE176) + ABS(EF176)</f>
        <v>0</v>
      </c>
      <c r="EE176" s="203"/>
      <c r="EF176" s="203"/>
      <c r="EG176" s="203"/>
      <c r="EH176" s="176"/>
      <c r="EI176" s="176"/>
      <c r="EJ176" s="176"/>
      <c r="EK176" s="177" t="b">
        <v>0</v>
      </c>
      <c r="EL176" s="177" t="b">
        <v>0</v>
      </c>
      <c r="EM176" s="176" t="e">
        <f>(EH176-DW176)/DW176</f>
        <v>#DIV/0!</v>
      </c>
      <c r="EN176" s="176" t="e">
        <f>(EG176-DV176)/DV176</f>
        <v>#DIV/0!</v>
      </c>
      <c r="EO176" s="203">
        <f>ER176 + ABS(EP176) + ABS(EQ176)</f>
        <v>0</v>
      </c>
      <c r="EP176" s="203"/>
      <c r="EQ176" s="203"/>
      <c r="ER176" s="203"/>
      <c r="ES176" s="176"/>
      <c r="ET176" s="176"/>
      <c r="EU176" s="176"/>
      <c r="EV176" s="177" t="b">
        <v>0</v>
      </c>
      <c r="EW176" s="177" t="b">
        <v>0</v>
      </c>
      <c r="EX176" s="176" t="e">
        <f>(ES176-EJ176)/EJ176</f>
        <v>#DIV/0!</v>
      </c>
      <c r="EY176" s="176" t="e">
        <f>(ER176-EG176)/EG176</f>
        <v>#DIV/0!</v>
      </c>
      <c r="EZ176" s="175"/>
      <c r="FA176" s="175"/>
      <c r="FB176" s="175"/>
      <c r="FC176" s="175"/>
      <c r="FD176" s="175"/>
      <c r="FE176" s="175"/>
      <c r="FF176" s="175"/>
      <c r="FG176" s="175"/>
      <c r="FH176" s="175"/>
      <c r="FI176" s="175"/>
      <c r="FJ176" s="175"/>
      <c r="FK176" s="175"/>
      <c r="FL176" s="175"/>
      <c r="FM176" s="175"/>
      <c r="FN176" s="175"/>
      <c r="FO176" s="175"/>
      <c r="FP176" s="175"/>
      <c r="FQ176" s="801"/>
      <c r="FR176" s="175"/>
      <c r="FS176" s="175"/>
      <c r="FT176" s="175"/>
      <c r="FU176" s="175"/>
      <c r="FV176" s="175"/>
      <c r="FW176" s="175"/>
      <c r="FX176" s="175"/>
      <c r="FY176" s="175"/>
      <c r="FZ176" s="175"/>
      <c r="GA176" s="175"/>
      <c r="GB176" s="175"/>
      <c r="GC176" s="175"/>
      <c r="GD176" s="175"/>
      <c r="GE176" s="175"/>
      <c r="GF176" s="175"/>
      <c r="GG176" s="175"/>
      <c r="GH176" s="175"/>
      <c r="GI176" s="175"/>
      <c r="GJ176" s="175"/>
      <c r="GK176" s="175"/>
      <c r="GL176" s="175"/>
      <c r="GM176" s="175"/>
      <c r="GN176" s="175"/>
      <c r="GO176" s="175"/>
      <c r="GP176" s="175"/>
      <c r="GQ176" s="175"/>
      <c r="GR176" s="175"/>
      <c r="GS176" s="175"/>
      <c r="GT176" s="175"/>
      <c r="GU176" s="175"/>
      <c r="GV176" s="175"/>
      <c r="GW176" s="175"/>
      <c r="GX176" s="175"/>
      <c r="GY176" s="175"/>
      <c r="GZ176" s="175"/>
      <c r="HA176" s="175"/>
      <c r="HB176" s="175"/>
      <c r="HC176" s="175"/>
      <c r="HD176" s="175"/>
      <c r="HE176" s="175"/>
      <c r="HF176" s="175"/>
      <c r="HG176" s="175"/>
      <c r="HH176" s="175"/>
      <c r="HI176" s="175"/>
      <c r="HJ176" s="175"/>
      <c r="HK176" s="175"/>
      <c r="HL176" s="175"/>
      <c r="HM176" s="175"/>
    </row>
    <row r="177" spans="1:221" ht="15">
      <c r="B177" s="175"/>
      <c r="C177" s="800" t="s">
        <v>641</v>
      </c>
      <c r="D177" s="357">
        <v>1450022</v>
      </c>
      <c r="E177" s="357">
        <v>118</v>
      </c>
      <c r="F177" s="357" t="s">
        <v>642</v>
      </c>
      <c r="G177" s="426" t="s">
        <v>643</v>
      </c>
      <c r="H177" s="148" t="s">
        <v>169</v>
      </c>
      <c r="I177" s="448" t="s">
        <v>170</v>
      </c>
      <c r="J177" s="357"/>
      <c r="K177" s="357"/>
      <c r="L177" s="357"/>
      <c r="M177" s="358"/>
      <c r="N177" s="361">
        <v>107</v>
      </c>
      <c r="O177" s="358"/>
      <c r="P177" s="402">
        <v>1.96</v>
      </c>
      <c r="Q177" s="402"/>
      <c r="R177" s="402">
        <v>38.35</v>
      </c>
      <c r="S177" s="354"/>
      <c r="T177" s="188" t="s">
        <v>171</v>
      </c>
      <c r="U177" s="358"/>
      <c r="V177" s="358"/>
      <c r="W177" s="358"/>
      <c r="X177" s="402">
        <f t="shared" si="16"/>
        <v>40.81</v>
      </c>
      <c r="Y177" s="402">
        <v>-1.96</v>
      </c>
      <c r="Z177" s="402">
        <v>0</v>
      </c>
      <c r="AA177" s="402">
        <v>38.85</v>
      </c>
      <c r="AB177" s="357">
        <v>0</v>
      </c>
      <c r="AC177" s="173" t="s">
        <v>172</v>
      </c>
      <c r="AD177" s="173" t="s">
        <v>173</v>
      </c>
      <c r="AE177" s="164" t="b">
        <v>1</v>
      </c>
      <c r="AF177" s="164" t="b">
        <v>1</v>
      </c>
      <c r="AG177" s="409" t="e">
        <f>(AB177-S177)/S177</f>
        <v>#DIV/0!</v>
      </c>
      <c r="AH177" s="409">
        <f>(AA177-R177)/R177</f>
        <v>1.3037809647979138E-2</v>
      </c>
      <c r="AI177" s="402">
        <f t="shared" si="14"/>
        <v>40.81</v>
      </c>
      <c r="AJ177" s="364">
        <v>-1.96</v>
      </c>
      <c r="AK177" s="364">
        <v>0</v>
      </c>
      <c r="AL177" s="364">
        <v>38.85</v>
      </c>
      <c r="AM177" s="1069">
        <v>0</v>
      </c>
      <c r="AN177" s="407">
        <v>46122</v>
      </c>
      <c r="AO177" s="148" t="s">
        <v>174</v>
      </c>
      <c r="AP177" s="860" t="b">
        <v>1</v>
      </c>
      <c r="AQ177" s="860" t="b">
        <v>1</v>
      </c>
      <c r="AR177" s="409" t="e">
        <f t="shared" si="17"/>
        <v>#DIV/0!</v>
      </c>
      <c r="AS177" s="409">
        <f>(AL177-AA177)/AA177</f>
        <v>0</v>
      </c>
      <c r="AT177" s="402">
        <f t="shared" si="15"/>
        <v>0</v>
      </c>
      <c r="AU177" s="402"/>
      <c r="AV177" s="402"/>
      <c r="AW177" s="402"/>
      <c r="AX177" s="358"/>
      <c r="AY177" s="358"/>
      <c r="AZ177" s="358"/>
      <c r="BA177" s="164" t="b">
        <v>0</v>
      </c>
      <c r="BB177" s="164" t="b">
        <v>0</v>
      </c>
      <c r="BC177" s="358" t="e">
        <f>(AX177-AM177)/AM177</f>
        <v>#DIV/0!</v>
      </c>
      <c r="BD177" s="358">
        <f>(AW177-AL177)/AL177</f>
        <v>-1</v>
      </c>
      <c r="BE177" s="402">
        <f>BH177 + ABS(BF177) + ABS(BG177)</f>
        <v>0</v>
      </c>
      <c r="BF177" s="402"/>
      <c r="BG177" s="402"/>
      <c r="BH177" s="402"/>
      <c r="BI177" s="358"/>
      <c r="BJ177" s="358"/>
      <c r="BK177" s="358"/>
      <c r="BL177" s="164" t="b">
        <v>0</v>
      </c>
      <c r="BM177" s="164" t="b">
        <v>0</v>
      </c>
      <c r="BN177" s="358" t="e">
        <f>(BI177-AZ177)/AZ177</f>
        <v>#DIV/0!</v>
      </c>
      <c r="BO177" s="358" t="e">
        <f>(BH177-AW177)/AW177</f>
        <v>#DIV/0!</v>
      </c>
      <c r="BP177" s="402">
        <f>BS177 + ABS(BQ177) + ABS(BR177)</f>
        <v>0</v>
      </c>
      <c r="BQ177" s="402"/>
      <c r="BR177" s="402"/>
      <c r="BS177" s="402"/>
      <c r="BT177" s="358"/>
      <c r="BU177" s="358"/>
      <c r="BV177" s="358"/>
      <c r="BW177" s="164" t="b">
        <v>0</v>
      </c>
      <c r="BX177" s="164" t="b">
        <v>0</v>
      </c>
      <c r="BY177" s="358" t="e">
        <f>(BT177-BI177)/BI177</f>
        <v>#DIV/0!</v>
      </c>
      <c r="BZ177" s="358" t="e">
        <f>(BS177-BH177)/BH177</f>
        <v>#DIV/0!</v>
      </c>
      <c r="CA177" s="402">
        <f>CD177 + ABS(CB177) + ABS(CC177)</f>
        <v>0</v>
      </c>
      <c r="CB177" s="402"/>
      <c r="CC177" s="402"/>
      <c r="CD177" s="402"/>
      <c r="CE177" s="358"/>
      <c r="CF177" s="358"/>
      <c r="CG177" s="358"/>
      <c r="CH177" s="164" t="b">
        <v>0</v>
      </c>
      <c r="CI177" s="164" t="b">
        <v>0</v>
      </c>
      <c r="CJ177" s="358" t="e">
        <f>(CE177-BV177)/BV177</f>
        <v>#DIV/0!</v>
      </c>
      <c r="CK177" s="358" t="e">
        <f>(CD177-BS177)/BS177</f>
        <v>#DIV/0!</v>
      </c>
      <c r="CL177" s="402">
        <f>CO177 + ABS(CM177) + ABS(CN177)</f>
        <v>0</v>
      </c>
      <c r="CM177" s="402"/>
      <c r="CN177" s="402"/>
      <c r="CO177" s="402"/>
      <c r="CP177" s="358"/>
      <c r="CQ177" s="358"/>
      <c r="CR177" s="358"/>
      <c r="CS177" s="164" t="b">
        <v>0</v>
      </c>
      <c r="CT177" s="164" t="b">
        <v>0</v>
      </c>
      <c r="CU177" s="358" t="e">
        <f>(CP177-CE177)/CE177</f>
        <v>#DIV/0!</v>
      </c>
      <c r="CV177" s="358" t="e">
        <f>(CO177-CD177)/CD177</f>
        <v>#DIV/0!</v>
      </c>
      <c r="CW177" s="402">
        <f>CZ177 + ABS(CX177) + ABS(CY177)</f>
        <v>0</v>
      </c>
      <c r="CX177" s="402"/>
      <c r="CY177" s="402"/>
      <c r="CZ177" s="402"/>
      <c r="DA177" s="358"/>
      <c r="DB177" s="358"/>
      <c r="DC177" s="358"/>
      <c r="DD177" s="164" t="b">
        <v>0</v>
      </c>
      <c r="DE177" s="164" t="b">
        <v>0</v>
      </c>
      <c r="DF177" s="358" t="e">
        <f>(DA177-CR177)/CR177</f>
        <v>#DIV/0!</v>
      </c>
      <c r="DG177" s="358" t="e">
        <f>(CZ177-CO177)/CO177</f>
        <v>#DIV/0!</v>
      </c>
      <c r="DH177" s="402">
        <f>DK177 + ABS(DI177) + ABS(DJ177)</f>
        <v>0</v>
      </c>
      <c r="DI177" s="402"/>
      <c r="DJ177" s="402"/>
      <c r="DK177" s="402"/>
      <c r="DL177" s="358"/>
      <c r="DM177" s="358"/>
      <c r="DN177" s="358"/>
      <c r="DO177" s="164" t="b">
        <v>0</v>
      </c>
      <c r="DP177" s="164" t="b">
        <v>0</v>
      </c>
      <c r="DQ177" s="358" t="e">
        <f>(DL177-DA177)/DA177</f>
        <v>#DIV/0!</v>
      </c>
      <c r="DR177" s="358" t="e">
        <f>(DK177-CZ177)/CZ177</f>
        <v>#DIV/0!</v>
      </c>
      <c r="DS177" s="402">
        <f>DV177 + ABS(DT177) + ABS(DU177)</f>
        <v>0</v>
      </c>
      <c r="DT177" s="402"/>
      <c r="DU177" s="402"/>
      <c r="DV177" s="402"/>
      <c r="DW177" s="358"/>
      <c r="DX177" s="358"/>
      <c r="DY177" s="358"/>
      <c r="DZ177" s="164" t="b">
        <v>0</v>
      </c>
      <c r="EA177" s="164" t="b">
        <v>0</v>
      </c>
      <c r="EB177" s="358" t="e">
        <f>(DW177-DN177)/DN177</f>
        <v>#DIV/0!</v>
      </c>
      <c r="EC177" s="358" t="e">
        <f>(DV177-DK177)/DK177</f>
        <v>#DIV/0!</v>
      </c>
      <c r="ED177" s="402">
        <f>EG177 + ABS(EE177) + ABS(EF177)</f>
        <v>0</v>
      </c>
      <c r="EE177" s="402"/>
      <c r="EF177" s="402"/>
      <c r="EG177" s="402"/>
      <c r="EH177" s="358"/>
      <c r="EI177" s="358"/>
      <c r="EJ177" s="358"/>
      <c r="EK177" s="164" t="b">
        <v>0</v>
      </c>
      <c r="EL177" s="164" t="b">
        <v>0</v>
      </c>
      <c r="EM177" s="358" t="e">
        <f>(EH177-DW177)/DW177</f>
        <v>#DIV/0!</v>
      </c>
      <c r="EN177" s="358" t="e">
        <f>(EG177-DV177)/DV177</f>
        <v>#DIV/0!</v>
      </c>
      <c r="EO177" s="402">
        <f>ER177 + ABS(EP177) + ABS(EQ177)</f>
        <v>0</v>
      </c>
      <c r="EP177" s="402"/>
      <c r="EQ177" s="402"/>
      <c r="ER177" s="402"/>
      <c r="ES177" s="358"/>
      <c r="ET177" s="358"/>
      <c r="EU177" s="358"/>
      <c r="EV177" s="164" t="b">
        <v>0</v>
      </c>
      <c r="EW177" s="164" t="b">
        <v>0</v>
      </c>
      <c r="EX177" s="358" t="e">
        <f>(ES177-EJ177)/EJ177</f>
        <v>#DIV/0!</v>
      </c>
      <c r="EY177" s="358" t="e">
        <f>(ER177-EG177)/EG177</f>
        <v>#DIV/0!</v>
      </c>
      <c r="EZ177" s="449"/>
      <c r="FA177" s="449"/>
      <c r="FB177" s="449"/>
      <c r="FC177" s="449"/>
      <c r="FD177" s="449"/>
      <c r="FE177" s="449"/>
      <c r="FF177" s="449"/>
      <c r="FG177" s="449"/>
      <c r="FH177" s="449"/>
      <c r="FI177" s="449"/>
      <c r="FJ177" s="449"/>
      <c r="FK177" s="449"/>
      <c r="FL177" s="449"/>
      <c r="FM177" s="449"/>
      <c r="FN177" s="175"/>
      <c r="FO177" s="175"/>
      <c r="FP177" s="175"/>
      <c r="FQ177" s="801"/>
      <c r="FR177" s="175"/>
      <c r="FS177" s="175"/>
      <c r="FT177" s="175"/>
      <c r="FU177" s="175"/>
      <c r="FV177" s="175"/>
      <c r="FW177" s="175"/>
      <c r="FX177" s="175"/>
      <c r="FY177" s="175"/>
      <c r="FZ177" s="175"/>
      <c r="GA177" s="175"/>
      <c r="GB177" s="175"/>
      <c r="GC177" s="175"/>
      <c r="GD177" s="175"/>
      <c r="GE177" s="175"/>
      <c r="GF177" s="175"/>
      <c r="GG177" s="175"/>
      <c r="GH177" s="175"/>
      <c r="GI177" s="175"/>
      <c r="GJ177" s="175"/>
      <c r="GK177" s="175"/>
      <c r="GL177" s="175"/>
      <c r="GM177" s="175"/>
      <c r="GN177" s="175"/>
      <c r="GO177" s="175"/>
      <c r="GP177" s="175"/>
      <c r="GQ177" s="175"/>
      <c r="GR177" s="175"/>
      <c r="GS177" s="175"/>
      <c r="GT177" s="175"/>
      <c r="GU177" s="175"/>
      <c r="GV177" s="175"/>
      <c r="GW177" s="175"/>
      <c r="GX177" s="175"/>
      <c r="GY177" s="175"/>
      <c r="GZ177" s="175"/>
      <c r="HA177" s="175"/>
      <c r="HB177" s="175"/>
      <c r="HC177" s="175"/>
      <c r="HD177" s="175"/>
      <c r="HE177" s="175"/>
      <c r="HF177" s="175"/>
      <c r="HG177" s="175"/>
      <c r="HH177" s="175"/>
      <c r="HI177" s="175"/>
      <c r="HJ177" s="175"/>
      <c r="HK177" s="175"/>
      <c r="HL177" s="175"/>
      <c r="HM177" s="175"/>
    </row>
    <row r="178" spans="1:221" ht="15">
      <c r="B178" s="175"/>
      <c r="C178" s="800" t="s">
        <v>641</v>
      </c>
      <c r="D178" s="357">
        <v>1450022</v>
      </c>
      <c r="E178" s="357">
        <v>118</v>
      </c>
      <c r="F178" s="357" t="s">
        <v>644</v>
      </c>
      <c r="G178" s="426" t="s">
        <v>645</v>
      </c>
      <c r="H178" s="148" t="s">
        <v>169</v>
      </c>
      <c r="I178" s="448" t="s">
        <v>170</v>
      </c>
      <c r="J178" s="357"/>
      <c r="K178" s="357"/>
      <c r="L178" s="357"/>
      <c r="M178" s="358"/>
      <c r="N178" s="359">
        <v>107</v>
      </c>
      <c r="O178" s="358"/>
      <c r="P178" s="402">
        <v>674.5</v>
      </c>
      <c r="Q178" s="402"/>
      <c r="R178" s="402">
        <v>13377.55</v>
      </c>
      <c r="S178" s="358">
        <v>655</v>
      </c>
      <c r="T178" s="188" t="s">
        <v>171</v>
      </c>
      <c r="U178" s="358"/>
      <c r="V178" s="358"/>
      <c r="W178" s="358"/>
      <c r="X178" s="402">
        <f t="shared" si="16"/>
        <v>40.81</v>
      </c>
      <c r="Y178" s="402">
        <v>-1.96</v>
      </c>
      <c r="Z178" s="402">
        <v>0</v>
      </c>
      <c r="AA178" s="402">
        <v>38.85</v>
      </c>
      <c r="AB178" s="357">
        <v>0</v>
      </c>
      <c r="AC178" s="426" t="s">
        <v>172</v>
      </c>
      <c r="AD178" s="426" t="s">
        <v>173</v>
      </c>
      <c r="AE178" s="164" t="b">
        <v>1</v>
      </c>
      <c r="AF178" s="164" t="b">
        <v>1</v>
      </c>
      <c r="AG178" s="409">
        <f>(AB178-S178)/S178</f>
        <v>-1</v>
      </c>
      <c r="AH178" s="409">
        <f>(AA178-R178)/R178</f>
        <v>-0.99709588078534561</v>
      </c>
      <c r="AI178" s="402">
        <f t="shared" si="14"/>
        <v>40.81</v>
      </c>
      <c r="AJ178" s="364">
        <v>-1.96</v>
      </c>
      <c r="AK178" s="364">
        <v>0</v>
      </c>
      <c r="AL178" s="364">
        <v>38.85</v>
      </c>
      <c r="AM178" s="1069">
        <v>0</v>
      </c>
      <c r="AN178" s="407">
        <v>46122</v>
      </c>
      <c r="AO178" s="148" t="s">
        <v>174</v>
      </c>
      <c r="AP178" s="860" t="b">
        <v>1</v>
      </c>
      <c r="AQ178" s="860" t="b">
        <v>1</v>
      </c>
      <c r="AR178" s="409" t="e">
        <f t="shared" si="17"/>
        <v>#DIV/0!</v>
      </c>
      <c r="AS178" s="409">
        <f>(AL178-AA178)/AA178</f>
        <v>0</v>
      </c>
      <c r="AT178" s="402">
        <f t="shared" si="15"/>
        <v>0</v>
      </c>
      <c r="AU178" s="402"/>
      <c r="AV178" s="402"/>
      <c r="AW178" s="402"/>
      <c r="AX178" s="358"/>
      <c r="AY178" s="358"/>
      <c r="AZ178" s="358"/>
      <c r="BA178" s="164" t="b">
        <v>0</v>
      </c>
      <c r="BB178" s="164" t="b">
        <v>0</v>
      </c>
      <c r="BC178" s="358" t="e">
        <f>(AX178-AM178)/AM178</f>
        <v>#DIV/0!</v>
      </c>
      <c r="BD178" s="358">
        <f>(AW178-AL178)/AL178</f>
        <v>-1</v>
      </c>
      <c r="BE178" s="402">
        <f>BH178 + ABS(BF178) + ABS(BG178)</f>
        <v>0</v>
      </c>
      <c r="BF178" s="402"/>
      <c r="BG178" s="402"/>
      <c r="BH178" s="402"/>
      <c r="BI178" s="358"/>
      <c r="BJ178" s="358"/>
      <c r="BK178" s="358"/>
      <c r="BL178" s="164" t="b">
        <v>0</v>
      </c>
      <c r="BM178" s="164" t="b">
        <v>0</v>
      </c>
      <c r="BN178" s="358" t="e">
        <f>(BI178-AZ178)/AZ178</f>
        <v>#DIV/0!</v>
      </c>
      <c r="BO178" s="358" t="e">
        <f>(BH178-AW178)/AW178</f>
        <v>#DIV/0!</v>
      </c>
      <c r="BP178" s="402">
        <f>BS178 + ABS(BQ178) + ABS(BR178)</f>
        <v>0</v>
      </c>
      <c r="BQ178" s="402"/>
      <c r="BR178" s="402"/>
      <c r="BS178" s="402"/>
      <c r="BT178" s="358"/>
      <c r="BU178" s="358"/>
      <c r="BV178" s="358"/>
      <c r="BW178" s="164" t="b">
        <v>0</v>
      </c>
      <c r="BX178" s="164" t="b">
        <v>0</v>
      </c>
      <c r="BY178" s="358" t="e">
        <f>(BT178-BI178)/BI178</f>
        <v>#DIV/0!</v>
      </c>
      <c r="BZ178" s="358" t="e">
        <f>(BS178-BH178)/BH178</f>
        <v>#DIV/0!</v>
      </c>
      <c r="CA178" s="402">
        <f>CD178 + ABS(CB178) + ABS(CC178)</f>
        <v>0</v>
      </c>
      <c r="CB178" s="402"/>
      <c r="CC178" s="402"/>
      <c r="CD178" s="402"/>
      <c r="CE178" s="358"/>
      <c r="CF178" s="358"/>
      <c r="CG178" s="358"/>
      <c r="CH178" s="164" t="b">
        <v>0</v>
      </c>
      <c r="CI178" s="164" t="b">
        <v>0</v>
      </c>
      <c r="CJ178" s="358" t="e">
        <f>(CE178-BV178)/BV178</f>
        <v>#DIV/0!</v>
      </c>
      <c r="CK178" s="358" t="e">
        <f>(CD178-BS178)/BS178</f>
        <v>#DIV/0!</v>
      </c>
      <c r="CL178" s="402">
        <f>CO178 + ABS(CM178) + ABS(CN178)</f>
        <v>0</v>
      </c>
      <c r="CM178" s="402"/>
      <c r="CN178" s="402"/>
      <c r="CO178" s="402"/>
      <c r="CP178" s="358"/>
      <c r="CQ178" s="358"/>
      <c r="CR178" s="358"/>
      <c r="CS178" s="164" t="b">
        <v>0</v>
      </c>
      <c r="CT178" s="164" t="b">
        <v>0</v>
      </c>
      <c r="CU178" s="358" t="e">
        <f>(CP178-CE178)/CE178</f>
        <v>#DIV/0!</v>
      </c>
      <c r="CV178" s="358" t="e">
        <f>(CO178-CD178)/CD178</f>
        <v>#DIV/0!</v>
      </c>
      <c r="CW178" s="402">
        <f>CZ178 + ABS(CX178) + ABS(CY178)</f>
        <v>0</v>
      </c>
      <c r="CX178" s="402"/>
      <c r="CY178" s="402"/>
      <c r="CZ178" s="402"/>
      <c r="DA178" s="358"/>
      <c r="DB178" s="358"/>
      <c r="DC178" s="358"/>
      <c r="DD178" s="164" t="b">
        <v>0</v>
      </c>
      <c r="DE178" s="164" t="b">
        <v>0</v>
      </c>
      <c r="DF178" s="358" t="e">
        <f>(DA178-CR178)/CR178</f>
        <v>#DIV/0!</v>
      </c>
      <c r="DG178" s="358" t="e">
        <f>(CZ178-CO178)/CO178</f>
        <v>#DIV/0!</v>
      </c>
      <c r="DH178" s="402">
        <f>DK178 + ABS(DI178) + ABS(DJ178)</f>
        <v>0</v>
      </c>
      <c r="DI178" s="402"/>
      <c r="DJ178" s="402"/>
      <c r="DK178" s="402"/>
      <c r="DL178" s="358"/>
      <c r="DM178" s="358"/>
      <c r="DN178" s="358"/>
      <c r="DO178" s="164" t="b">
        <v>0</v>
      </c>
      <c r="DP178" s="164" t="b">
        <v>0</v>
      </c>
      <c r="DQ178" s="358" t="e">
        <f>(DL178-DA178)/DA178</f>
        <v>#DIV/0!</v>
      </c>
      <c r="DR178" s="358" t="e">
        <f>(DK178-CZ178)/CZ178</f>
        <v>#DIV/0!</v>
      </c>
      <c r="DS178" s="402">
        <f>DV178 + ABS(DT178) + ABS(DU178)</f>
        <v>0</v>
      </c>
      <c r="DT178" s="402"/>
      <c r="DU178" s="402"/>
      <c r="DV178" s="402"/>
      <c r="DW178" s="358"/>
      <c r="DX178" s="358"/>
      <c r="DY178" s="358"/>
      <c r="DZ178" s="164" t="b">
        <v>0</v>
      </c>
      <c r="EA178" s="164" t="b">
        <v>0</v>
      </c>
      <c r="EB178" s="358" t="e">
        <f>(DW178-DN178)/DN178</f>
        <v>#DIV/0!</v>
      </c>
      <c r="EC178" s="358" t="e">
        <f>(DV178-DK178)/DK178</f>
        <v>#DIV/0!</v>
      </c>
      <c r="ED178" s="402">
        <f>EG178 + ABS(EE178) + ABS(EF178)</f>
        <v>0</v>
      </c>
      <c r="EE178" s="402"/>
      <c r="EF178" s="402"/>
      <c r="EG178" s="402"/>
      <c r="EH178" s="358"/>
      <c r="EI178" s="358"/>
      <c r="EJ178" s="358"/>
      <c r="EK178" s="164" t="b">
        <v>0</v>
      </c>
      <c r="EL178" s="164" t="b">
        <v>0</v>
      </c>
      <c r="EM178" s="358" t="e">
        <f>(EH178-DW178)/DW178</f>
        <v>#DIV/0!</v>
      </c>
      <c r="EN178" s="358" t="e">
        <f>(EG178-DV178)/DV178</f>
        <v>#DIV/0!</v>
      </c>
      <c r="EO178" s="402">
        <f>ER178 + ABS(EP178) + ABS(EQ178)</f>
        <v>0</v>
      </c>
      <c r="EP178" s="402"/>
      <c r="EQ178" s="402"/>
      <c r="ER178" s="402"/>
      <c r="ES178" s="358"/>
      <c r="ET178" s="358"/>
      <c r="EU178" s="358"/>
      <c r="EV178" s="164" t="b">
        <v>0</v>
      </c>
      <c r="EW178" s="164" t="b">
        <v>0</v>
      </c>
      <c r="EX178" s="358" t="e">
        <f>(ES178-EJ178)/EJ178</f>
        <v>#DIV/0!</v>
      </c>
      <c r="EY178" s="358" t="e">
        <f>(ER178-EG178)/EG178</f>
        <v>#DIV/0!</v>
      </c>
      <c r="EZ178" s="449"/>
      <c r="FA178" s="449"/>
      <c r="FB178" s="449"/>
      <c r="FC178" s="449"/>
      <c r="FD178" s="449"/>
      <c r="FE178" s="449"/>
      <c r="FF178" s="449"/>
      <c r="FG178" s="449"/>
      <c r="FH178" s="449"/>
      <c r="FI178" s="449"/>
      <c r="FJ178" s="449"/>
      <c r="FK178" s="449"/>
      <c r="FL178" s="449"/>
      <c r="FM178" s="449"/>
      <c r="FN178" s="175"/>
      <c r="FO178" s="175"/>
      <c r="FP178" s="175"/>
      <c r="FQ178" s="801"/>
      <c r="FR178" s="175"/>
      <c r="FS178" s="175"/>
      <c r="FT178" s="175"/>
      <c r="FU178" s="175"/>
      <c r="FV178" s="175"/>
      <c r="FW178" s="175"/>
      <c r="FX178" s="175"/>
      <c r="FY178" s="175"/>
      <c r="FZ178" s="175"/>
      <c r="GA178" s="175"/>
      <c r="GB178" s="175"/>
      <c r="GC178" s="175"/>
      <c r="GD178" s="175"/>
      <c r="GE178" s="175"/>
      <c r="GF178" s="175"/>
      <c r="GG178" s="175"/>
      <c r="GH178" s="175"/>
      <c r="GI178" s="175"/>
      <c r="GJ178" s="175"/>
      <c r="GK178" s="175"/>
      <c r="GL178" s="175"/>
      <c r="GM178" s="175"/>
      <c r="GN178" s="175"/>
      <c r="GO178" s="175"/>
      <c r="GP178" s="175"/>
      <c r="GQ178" s="175"/>
      <c r="GR178" s="175"/>
      <c r="GS178" s="175"/>
      <c r="GT178" s="175"/>
      <c r="GU178" s="175"/>
      <c r="GV178" s="175"/>
      <c r="GW178" s="175"/>
      <c r="GX178" s="175"/>
      <c r="GY178" s="175"/>
      <c r="GZ178" s="175"/>
      <c r="HA178" s="175"/>
      <c r="HB178" s="175"/>
      <c r="HC178" s="175"/>
      <c r="HD178" s="175"/>
      <c r="HE178" s="175"/>
      <c r="HF178" s="175"/>
      <c r="HG178" s="175"/>
      <c r="HH178" s="175"/>
      <c r="HI178" s="175"/>
      <c r="HJ178" s="175"/>
      <c r="HK178" s="175"/>
      <c r="HL178" s="175"/>
      <c r="HM178" s="175"/>
    </row>
    <row r="179" spans="1:221" ht="15">
      <c r="B179" s="175"/>
      <c r="C179" s="800" t="s">
        <v>641</v>
      </c>
      <c r="D179" s="357">
        <v>1450022</v>
      </c>
      <c r="E179" s="357">
        <v>118</v>
      </c>
      <c r="F179" s="357" t="s">
        <v>646</v>
      </c>
      <c r="G179" s="426" t="s">
        <v>647</v>
      </c>
      <c r="H179" s="148" t="s">
        <v>169</v>
      </c>
      <c r="I179" s="448" t="s">
        <v>170</v>
      </c>
      <c r="J179" s="357"/>
      <c r="K179" s="357"/>
      <c r="L179" s="357"/>
      <c r="M179" s="358"/>
      <c r="N179" s="361">
        <v>107</v>
      </c>
      <c r="O179" s="358"/>
      <c r="P179" s="402">
        <v>13.37</v>
      </c>
      <c r="Q179" s="402"/>
      <c r="R179" s="402">
        <v>265.20999999999998</v>
      </c>
      <c r="S179" s="358">
        <v>22</v>
      </c>
      <c r="T179" s="188" t="s">
        <v>171</v>
      </c>
      <c r="U179" s="358"/>
      <c r="V179" s="358"/>
      <c r="W179" s="358"/>
      <c r="X179" s="402">
        <f t="shared" si="16"/>
        <v>390.65</v>
      </c>
      <c r="Y179" s="402">
        <v>-18.75</v>
      </c>
      <c r="Z179" s="402">
        <v>0</v>
      </c>
      <c r="AA179" s="402">
        <v>371.9</v>
      </c>
      <c r="AB179" s="357">
        <v>29</v>
      </c>
      <c r="AC179" s="173" t="s">
        <v>172</v>
      </c>
      <c r="AD179" s="173" t="s">
        <v>173</v>
      </c>
      <c r="AE179" s="164" t="b">
        <v>1</v>
      </c>
      <c r="AF179" s="164" t="b">
        <v>1</v>
      </c>
      <c r="AG179" s="409">
        <f>(AB179-S179)/S179</f>
        <v>0.31818181818181818</v>
      </c>
      <c r="AH179" s="409">
        <f>(AA179-R179)/R179</f>
        <v>0.40228498171260513</v>
      </c>
      <c r="AI179" s="402">
        <f t="shared" si="14"/>
        <v>586.15</v>
      </c>
      <c r="AJ179" s="364">
        <v>-28.14</v>
      </c>
      <c r="AK179" s="364">
        <v>0</v>
      </c>
      <c r="AL179" s="364">
        <v>558.01</v>
      </c>
      <c r="AM179" s="1069">
        <v>41</v>
      </c>
      <c r="AN179" s="407">
        <v>46122</v>
      </c>
      <c r="AO179" s="148" t="s">
        <v>174</v>
      </c>
      <c r="AP179" s="860" t="b">
        <v>1</v>
      </c>
      <c r="AQ179" s="860" t="b">
        <v>1</v>
      </c>
      <c r="AR179" s="409">
        <f t="shared" si="17"/>
        <v>0.41379310344827586</v>
      </c>
      <c r="AS179" s="409">
        <f>(AL179-AA179)/AA179</f>
        <v>0.50043022317827379</v>
      </c>
      <c r="AT179" s="402">
        <f t="shared" si="15"/>
        <v>0</v>
      </c>
      <c r="AU179" s="402"/>
      <c r="AV179" s="402"/>
      <c r="AW179" s="402"/>
      <c r="AX179" s="358"/>
      <c r="AY179" s="358"/>
      <c r="AZ179" s="358"/>
      <c r="BA179" s="164" t="b">
        <v>0</v>
      </c>
      <c r="BB179" s="164" t="b">
        <v>0</v>
      </c>
      <c r="BC179" s="358">
        <f>(AX179-AM179)/AM179</f>
        <v>-1</v>
      </c>
      <c r="BD179" s="358">
        <f>(AW179-AL179)/AL179</f>
        <v>-1</v>
      </c>
      <c r="BE179" s="402">
        <f>BH179 + ABS(BF179) + ABS(BG179)</f>
        <v>0</v>
      </c>
      <c r="BF179" s="402"/>
      <c r="BG179" s="402"/>
      <c r="BH179" s="402"/>
      <c r="BI179" s="358"/>
      <c r="BJ179" s="358"/>
      <c r="BK179" s="358"/>
      <c r="BL179" s="164" t="b">
        <v>0</v>
      </c>
      <c r="BM179" s="164" t="b">
        <v>0</v>
      </c>
      <c r="BN179" s="358" t="e">
        <f>(BI179-AZ179)/AZ179</f>
        <v>#DIV/0!</v>
      </c>
      <c r="BO179" s="358" t="e">
        <f>(BH179-AW179)/AW179</f>
        <v>#DIV/0!</v>
      </c>
      <c r="BP179" s="402">
        <f>BS179 + ABS(BQ179) + ABS(BR179)</f>
        <v>0</v>
      </c>
      <c r="BQ179" s="402"/>
      <c r="BR179" s="402"/>
      <c r="BS179" s="402"/>
      <c r="BT179" s="358"/>
      <c r="BU179" s="358"/>
      <c r="BV179" s="358"/>
      <c r="BW179" s="164" t="b">
        <v>0</v>
      </c>
      <c r="BX179" s="164" t="b">
        <v>0</v>
      </c>
      <c r="BY179" s="358" t="e">
        <f>(BT179-BI179)/BI179</f>
        <v>#DIV/0!</v>
      </c>
      <c r="BZ179" s="358" t="e">
        <f>(BS179-BH179)/BH179</f>
        <v>#DIV/0!</v>
      </c>
      <c r="CA179" s="402">
        <f>CD179 + ABS(CB179) + ABS(CC179)</f>
        <v>0</v>
      </c>
      <c r="CB179" s="402"/>
      <c r="CC179" s="402"/>
      <c r="CD179" s="402"/>
      <c r="CE179" s="358"/>
      <c r="CF179" s="358"/>
      <c r="CG179" s="358"/>
      <c r="CH179" s="164" t="b">
        <v>0</v>
      </c>
      <c r="CI179" s="164" t="b">
        <v>0</v>
      </c>
      <c r="CJ179" s="358" t="e">
        <f>(CE179-BV179)/BV179</f>
        <v>#DIV/0!</v>
      </c>
      <c r="CK179" s="358" t="e">
        <f>(CD179-BS179)/BS179</f>
        <v>#DIV/0!</v>
      </c>
      <c r="CL179" s="402">
        <f>CO179 + ABS(CM179) + ABS(CN179)</f>
        <v>0</v>
      </c>
      <c r="CM179" s="402"/>
      <c r="CN179" s="402"/>
      <c r="CO179" s="402"/>
      <c r="CP179" s="358"/>
      <c r="CQ179" s="358"/>
      <c r="CR179" s="358"/>
      <c r="CS179" s="164" t="b">
        <v>0</v>
      </c>
      <c r="CT179" s="164" t="b">
        <v>0</v>
      </c>
      <c r="CU179" s="358" t="e">
        <f>(CP179-CE179)/CE179</f>
        <v>#DIV/0!</v>
      </c>
      <c r="CV179" s="358" t="e">
        <f>(CO179-CD179)/CD179</f>
        <v>#DIV/0!</v>
      </c>
      <c r="CW179" s="402">
        <f>CZ179 + ABS(CX179) + ABS(CY179)</f>
        <v>0</v>
      </c>
      <c r="CX179" s="402"/>
      <c r="CY179" s="402"/>
      <c r="CZ179" s="402"/>
      <c r="DA179" s="358"/>
      <c r="DB179" s="358"/>
      <c r="DC179" s="358"/>
      <c r="DD179" s="164" t="b">
        <v>0</v>
      </c>
      <c r="DE179" s="164" t="b">
        <v>0</v>
      </c>
      <c r="DF179" s="358" t="e">
        <f>(DA179-CR179)/CR179</f>
        <v>#DIV/0!</v>
      </c>
      <c r="DG179" s="358" t="e">
        <f>(CZ179-CO179)/CO179</f>
        <v>#DIV/0!</v>
      </c>
      <c r="DH179" s="402">
        <f>DK179 + ABS(DI179) + ABS(DJ179)</f>
        <v>0</v>
      </c>
      <c r="DI179" s="402"/>
      <c r="DJ179" s="402"/>
      <c r="DK179" s="402"/>
      <c r="DL179" s="358"/>
      <c r="DM179" s="358"/>
      <c r="DN179" s="358"/>
      <c r="DO179" s="164" t="b">
        <v>0</v>
      </c>
      <c r="DP179" s="164" t="b">
        <v>0</v>
      </c>
      <c r="DQ179" s="358" t="e">
        <f>(DL179-DA179)/DA179</f>
        <v>#DIV/0!</v>
      </c>
      <c r="DR179" s="358" t="e">
        <f>(DK179-CZ179)/CZ179</f>
        <v>#DIV/0!</v>
      </c>
      <c r="DS179" s="402">
        <f>DV179 + ABS(DT179) + ABS(DU179)</f>
        <v>0</v>
      </c>
      <c r="DT179" s="402"/>
      <c r="DU179" s="402"/>
      <c r="DV179" s="402"/>
      <c r="DW179" s="358"/>
      <c r="DX179" s="358"/>
      <c r="DY179" s="358"/>
      <c r="DZ179" s="164" t="b">
        <v>0</v>
      </c>
      <c r="EA179" s="164" t="b">
        <v>0</v>
      </c>
      <c r="EB179" s="358" t="e">
        <f>(DW179-DN179)/DN179</f>
        <v>#DIV/0!</v>
      </c>
      <c r="EC179" s="358" t="e">
        <f>(DV179-DK179)/DK179</f>
        <v>#DIV/0!</v>
      </c>
      <c r="ED179" s="402">
        <f>EG179 + ABS(EE179) + ABS(EF179)</f>
        <v>0</v>
      </c>
      <c r="EE179" s="402"/>
      <c r="EF179" s="402"/>
      <c r="EG179" s="402"/>
      <c r="EH179" s="358"/>
      <c r="EI179" s="358"/>
      <c r="EJ179" s="358"/>
      <c r="EK179" s="164" t="b">
        <v>0</v>
      </c>
      <c r="EL179" s="164" t="b">
        <v>0</v>
      </c>
      <c r="EM179" s="358" t="e">
        <f>(EH179-DW179)/DW179</f>
        <v>#DIV/0!</v>
      </c>
      <c r="EN179" s="358" t="e">
        <f>(EG179-DV179)/DV179</f>
        <v>#DIV/0!</v>
      </c>
      <c r="EO179" s="402">
        <f>ER179 + ABS(EP179) + ABS(EQ179)</f>
        <v>0</v>
      </c>
      <c r="EP179" s="402"/>
      <c r="EQ179" s="402"/>
      <c r="ER179" s="402"/>
      <c r="ES179" s="358"/>
      <c r="ET179" s="358"/>
      <c r="EU179" s="358"/>
      <c r="EV179" s="164" t="b">
        <v>0</v>
      </c>
      <c r="EW179" s="164" t="b">
        <v>0</v>
      </c>
      <c r="EX179" s="358" t="e">
        <f>(ES179-EJ179)/EJ179</f>
        <v>#DIV/0!</v>
      </c>
      <c r="EY179" s="358" t="e">
        <f>(ER179-EG179)/EG179</f>
        <v>#DIV/0!</v>
      </c>
      <c r="EZ179" s="449"/>
      <c r="FA179" s="449"/>
      <c r="FB179" s="449"/>
      <c r="FC179" s="449"/>
      <c r="FD179" s="449"/>
      <c r="FE179" s="449"/>
      <c r="FF179" s="449"/>
      <c r="FG179" s="449"/>
      <c r="FH179" s="449"/>
      <c r="FI179" s="449"/>
      <c r="FJ179" s="449"/>
      <c r="FK179" s="449"/>
      <c r="FL179" s="449"/>
      <c r="FM179" s="449"/>
      <c r="FN179" s="175"/>
      <c r="FO179" s="175"/>
      <c r="FP179" s="175"/>
      <c r="FQ179" s="801"/>
      <c r="FR179" s="175"/>
      <c r="FS179" s="175"/>
      <c r="FT179" s="175"/>
      <c r="FU179" s="175"/>
      <c r="FV179" s="175"/>
      <c r="FW179" s="175"/>
      <c r="FX179" s="175"/>
      <c r="FY179" s="175"/>
      <c r="FZ179" s="175"/>
      <c r="GA179" s="175"/>
      <c r="GB179" s="175"/>
      <c r="GC179" s="175"/>
      <c r="GD179" s="175"/>
      <c r="GE179" s="175"/>
      <c r="GF179" s="175"/>
      <c r="GG179" s="175"/>
      <c r="GH179" s="175"/>
      <c r="GI179" s="175"/>
      <c r="GJ179" s="175"/>
      <c r="GK179" s="175"/>
      <c r="GL179" s="175"/>
      <c r="GM179" s="175"/>
      <c r="GN179" s="175"/>
      <c r="GO179" s="175"/>
      <c r="GP179" s="175"/>
      <c r="GQ179" s="175"/>
      <c r="GR179" s="175"/>
      <c r="GS179" s="175"/>
      <c r="GT179" s="175"/>
      <c r="GU179" s="175"/>
      <c r="GV179" s="175"/>
      <c r="GW179" s="175"/>
      <c r="GX179" s="175"/>
      <c r="GY179" s="175"/>
      <c r="GZ179" s="175"/>
      <c r="HA179" s="175"/>
      <c r="HB179" s="175"/>
      <c r="HC179" s="175"/>
      <c r="HD179" s="175"/>
      <c r="HE179" s="175"/>
      <c r="HF179" s="175"/>
      <c r="HG179" s="175"/>
      <c r="HH179" s="175"/>
      <c r="HI179" s="175"/>
      <c r="HJ179" s="175"/>
      <c r="HK179" s="175"/>
      <c r="HL179" s="175"/>
      <c r="HM179" s="175"/>
    </row>
    <row r="180" spans="1:221" ht="15">
      <c r="B180" s="175"/>
      <c r="C180" s="802" t="s">
        <v>648</v>
      </c>
      <c r="D180" s="154">
        <v>1450022</v>
      </c>
      <c r="E180" s="154">
        <v>34</v>
      </c>
      <c r="F180" s="154" t="s">
        <v>649</v>
      </c>
      <c r="G180" s="255" t="s">
        <v>650</v>
      </c>
      <c r="H180" s="171" t="s">
        <v>169</v>
      </c>
      <c r="I180" s="445" t="s">
        <v>170</v>
      </c>
      <c r="J180" s="154"/>
      <c r="K180" s="154"/>
      <c r="L180" s="154"/>
      <c r="M180" s="176"/>
      <c r="N180" s="193">
        <v>107</v>
      </c>
      <c r="O180" s="176"/>
      <c r="P180" s="203">
        <v>3791.66</v>
      </c>
      <c r="Q180" s="203"/>
      <c r="R180" s="203">
        <v>75201.34</v>
      </c>
      <c r="S180" s="176">
        <v>2650</v>
      </c>
      <c r="T180" s="188" t="s">
        <v>171</v>
      </c>
      <c r="U180" s="176"/>
      <c r="V180" s="176"/>
      <c r="W180" s="176"/>
      <c r="X180" s="203">
        <f>AA180 + ABS(Y180) + ABS(Z180)</f>
        <v>93454.89</v>
      </c>
      <c r="Y180" s="203">
        <v>-4485.83</v>
      </c>
      <c r="Z180" s="203">
        <v>0</v>
      </c>
      <c r="AA180" s="203">
        <v>88969.06</v>
      </c>
      <c r="AB180" s="446">
        <v>3128</v>
      </c>
      <c r="AC180" s="255" t="s">
        <v>172</v>
      </c>
      <c r="AD180" s="255" t="s">
        <v>173</v>
      </c>
      <c r="AE180" s="177" t="b">
        <v>1</v>
      </c>
      <c r="AF180" s="177" t="b">
        <v>1</v>
      </c>
      <c r="AG180" s="392">
        <f>(AB180-S180)/S180</f>
        <v>0.18037735849056605</v>
      </c>
      <c r="AH180" s="392">
        <f>(AA180-R180)/R180</f>
        <v>0.18307812068242404</v>
      </c>
      <c r="AI180" s="203">
        <f>AL180 + ABS(AJ180) + ABS(AK180)</f>
        <v>110641.87</v>
      </c>
      <c r="AJ180" s="368">
        <v>-5310.81</v>
      </c>
      <c r="AK180" s="368">
        <v>0</v>
      </c>
      <c r="AL180" s="368">
        <v>105331.06</v>
      </c>
      <c r="AM180" s="1068">
        <v>3576</v>
      </c>
      <c r="AN180" s="172">
        <v>46122</v>
      </c>
      <c r="AO180" s="171" t="s">
        <v>174</v>
      </c>
      <c r="AP180" s="861" t="b">
        <v>1</v>
      </c>
      <c r="AQ180" s="861" t="b">
        <v>1</v>
      </c>
      <c r="AR180" s="392">
        <f t="shared" si="17"/>
        <v>0.14322250639386189</v>
      </c>
      <c r="AS180" s="392">
        <f>(AL180-AA180)/AA180</f>
        <v>0.18390663001272578</v>
      </c>
      <c r="AT180" s="203">
        <f>AW180 + ABS(AU180) + ABS(AV180)</f>
        <v>0</v>
      </c>
      <c r="AU180" s="203"/>
      <c r="AV180" s="203"/>
      <c r="AW180" s="203"/>
      <c r="AX180" s="176"/>
      <c r="AY180" s="176"/>
      <c r="AZ180" s="176"/>
      <c r="BA180" s="177" t="b">
        <v>0</v>
      </c>
      <c r="BB180" s="177" t="b">
        <v>0</v>
      </c>
      <c r="BC180" s="176">
        <f>(AX180-AM180)/AM180</f>
        <v>-1</v>
      </c>
      <c r="BD180" s="176">
        <f>(AW180-AL180)/AL180</f>
        <v>-1</v>
      </c>
      <c r="BE180" s="203">
        <f>BH180 + ABS(BF180) + ABS(BG180)</f>
        <v>0</v>
      </c>
      <c r="BF180" s="203"/>
      <c r="BG180" s="203"/>
      <c r="BH180" s="203"/>
      <c r="BI180" s="176"/>
      <c r="BJ180" s="176"/>
      <c r="BK180" s="176"/>
      <c r="BL180" s="177" t="b">
        <v>0</v>
      </c>
      <c r="BM180" s="177" t="b">
        <v>0</v>
      </c>
      <c r="BN180" s="176" t="e">
        <f>(BI180-AZ180)/AZ180</f>
        <v>#DIV/0!</v>
      </c>
      <c r="BO180" s="176" t="e">
        <f>(BH180-AW180)/AW180</f>
        <v>#DIV/0!</v>
      </c>
      <c r="BP180" s="203">
        <f>BS180 + ABS(BQ180) + ABS(BR180)</f>
        <v>0</v>
      </c>
      <c r="BQ180" s="203"/>
      <c r="BR180" s="203"/>
      <c r="BS180" s="203"/>
      <c r="BT180" s="176"/>
      <c r="BU180" s="176"/>
      <c r="BV180" s="176"/>
      <c r="BW180" s="177" t="b">
        <v>0</v>
      </c>
      <c r="BX180" s="177" t="b">
        <v>0</v>
      </c>
      <c r="BY180" s="176" t="e">
        <f>(BT180-BI180)/BI180</f>
        <v>#DIV/0!</v>
      </c>
      <c r="BZ180" s="176" t="e">
        <f>(BS180-BH180)/BH180</f>
        <v>#DIV/0!</v>
      </c>
      <c r="CA180" s="203">
        <f>CD180 + ABS(CB180) + ABS(CC180)</f>
        <v>0</v>
      </c>
      <c r="CB180" s="203"/>
      <c r="CC180" s="203"/>
      <c r="CD180" s="203"/>
      <c r="CE180" s="176"/>
      <c r="CF180" s="176"/>
      <c r="CG180" s="176"/>
      <c r="CH180" s="177" t="b">
        <v>0</v>
      </c>
      <c r="CI180" s="177" t="b">
        <v>0</v>
      </c>
      <c r="CJ180" s="176" t="e">
        <f>(CE180-BV180)/BV180</f>
        <v>#DIV/0!</v>
      </c>
      <c r="CK180" s="176" t="e">
        <f>(CD180-BS180)/BS180</f>
        <v>#DIV/0!</v>
      </c>
      <c r="CL180" s="203">
        <f>CO180 + ABS(CM180) + ABS(CN180)</f>
        <v>0</v>
      </c>
      <c r="CM180" s="203"/>
      <c r="CN180" s="203"/>
      <c r="CO180" s="203"/>
      <c r="CP180" s="176"/>
      <c r="CQ180" s="176"/>
      <c r="CR180" s="176"/>
      <c r="CS180" s="177" t="b">
        <v>0</v>
      </c>
      <c r="CT180" s="177" t="b">
        <v>0</v>
      </c>
      <c r="CU180" s="176" t="e">
        <f>(CP180-CE180)/CE180</f>
        <v>#DIV/0!</v>
      </c>
      <c r="CV180" s="176" t="e">
        <f>(CO180-CD180)/CD180</f>
        <v>#DIV/0!</v>
      </c>
      <c r="CW180" s="203">
        <f>CZ180 + ABS(CX180) + ABS(CY180)</f>
        <v>0</v>
      </c>
      <c r="CX180" s="203"/>
      <c r="CY180" s="203"/>
      <c r="CZ180" s="203"/>
      <c r="DA180" s="176"/>
      <c r="DB180" s="176"/>
      <c r="DC180" s="176"/>
      <c r="DD180" s="177" t="b">
        <v>0</v>
      </c>
      <c r="DE180" s="177" t="b">
        <v>0</v>
      </c>
      <c r="DF180" s="176" t="e">
        <f>(DA180-CR180)/CR180</f>
        <v>#DIV/0!</v>
      </c>
      <c r="DG180" s="176" t="e">
        <f>(CZ180-CO180)/CO180</f>
        <v>#DIV/0!</v>
      </c>
      <c r="DH180" s="203">
        <f>DK180 + ABS(DI180) + ABS(DJ180)</f>
        <v>0</v>
      </c>
      <c r="DI180" s="203"/>
      <c r="DJ180" s="203"/>
      <c r="DK180" s="203"/>
      <c r="DL180" s="176"/>
      <c r="DM180" s="176"/>
      <c r="DN180" s="176"/>
      <c r="DO180" s="177" t="b">
        <v>0</v>
      </c>
      <c r="DP180" s="177" t="b">
        <v>0</v>
      </c>
      <c r="DQ180" s="176" t="e">
        <f>(DL180-DA180)/DA180</f>
        <v>#DIV/0!</v>
      </c>
      <c r="DR180" s="176" t="e">
        <f>(DK180-CZ180)/CZ180</f>
        <v>#DIV/0!</v>
      </c>
      <c r="DS180" s="203">
        <f>DV180 + ABS(DT180) + ABS(DU180)</f>
        <v>0</v>
      </c>
      <c r="DT180" s="203"/>
      <c r="DU180" s="203"/>
      <c r="DV180" s="203"/>
      <c r="DW180" s="176"/>
      <c r="DX180" s="176"/>
      <c r="DY180" s="176"/>
      <c r="DZ180" s="177" t="b">
        <v>0</v>
      </c>
      <c r="EA180" s="177" t="b">
        <v>0</v>
      </c>
      <c r="EB180" s="176" t="e">
        <f>(DW180-DN180)/DN180</f>
        <v>#DIV/0!</v>
      </c>
      <c r="EC180" s="176" t="e">
        <f>(DV180-DK180)/DK180</f>
        <v>#DIV/0!</v>
      </c>
      <c r="ED180" s="203">
        <f>EG180 + ABS(EE180) + ABS(EF180)</f>
        <v>0</v>
      </c>
      <c r="EE180" s="203"/>
      <c r="EF180" s="203"/>
      <c r="EG180" s="203"/>
      <c r="EH180" s="176"/>
      <c r="EI180" s="176"/>
      <c r="EJ180" s="176"/>
      <c r="EK180" s="177" t="b">
        <v>0</v>
      </c>
      <c r="EL180" s="177" t="b">
        <v>0</v>
      </c>
      <c r="EM180" s="176" t="e">
        <f>(EH180-DW180)/DW180</f>
        <v>#DIV/0!</v>
      </c>
      <c r="EN180" s="176" t="e">
        <f>(EG180-DV180)/DV180</f>
        <v>#DIV/0!</v>
      </c>
      <c r="EO180" s="203">
        <f>ER180 + ABS(EP180) + ABS(EQ180)</f>
        <v>0</v>
      </c>
      <c r="EP180" s="203"/>
      <c r="EQ180" s="203"/>
      <c r="ER180" s="203"/>
      <c r="ES180" s="176"/>
      <c r="ET180" s="176"/>
      <c r="EU180" s="176"/>
      <c r="EV180" s="177" t="b">
        <v>0</v>
      </c>
      <c r="EW180" s="177" t="b">
        <v>0</v>
      </c>
      <c r="EX180" s="176" t="e">
        <f>(ES180-EJ180)/EJ180</f>
        <v>#DIV/0!</v>
      </c>
      <c r="EY180" s="176" t="e">
        <f>(ER180-EG180)/EG180</f>
        <v>#DIV/0!</v>
      </c>
      <c r="EZ180" s="175"/>
      <c r="FA180" s="175"/>
      <c r="FB180" s="175"/>
      <c r="FC180" s="175"/>
      <c r="FD180" s="175"/>
      <c r="FE180" s="175"/>
      <c r="FF180" s="175"/>
      <c r="FG180" s="175"/>
      <c r="FH180" s="175"/>
      <c r="FI180" s="175"/>
      <c r="FJ180" s="175"/>
      <c r="FK180" s="175"/>
      <c r="FL180" s="175"/>
      <c r="FM180" s="175"/>
      <c r="FN180" s="175"/>
      <c r="FO180" s="175"/>
      <c r="FP180" s="175"/>
      <c r="FQ180" s="801"/>
      <c r="FR180" s="175"/>
      <c r="FS180" s="175"/>
      <c r="FT180" s="175"/>
      <c r="FU180" s="175"/>
      <c r="FV180" s="175"/>
      <c r="FW180" s="175"/>
      <c r="FX180" s="175"/>
      <c r="FY180" s="175"/>
      <c r="FZ180" s="175"/>
      <c r="GA180" s="175"/>
      <c r="GB180" s="175"/>
      <c r="GC180" s="175"/>
      <c r="GD180" s="175"/>
      <c r="GE180" s="175"/>
      <c r="GF180" s="175"/>
      <c r="GG180" s="175"/>
      <c r="GH180" s="175"/>
      <c r="GI180" s="175"/>
      <c r="GJ180" s="175"/>
      <c r="GK180" s="175"/>
      <c r="GL180" s="175"/>
      <c r="GM180" s="175"/>
      <c r="GN180" s="175"/>
      <c r="GO180" s="175"/>
      <c r="GP180" s="175"/>
      <c r="GQ180" s="175"/>
      <c r="GR180" s="175"/>
      <c r="GS180" s="175"/>
      <c r="GT180" s="175"/>
      <c r="GU180" s="175"/>
      <c r="GV180" s="175"/>
      <c r="GW180" s="175"/>
      <c r="GX180" s="175"/>
      <c r="GY180" s="175"/>
      <c r="GZ180" s="175"/>
      <c r="HA180" s="175"/>
      <c r="HB180" s="175"/>
      <c r="HC180" s="175"/>
      <c r="HD180" s="175"/>
      <c r="HE180" s="175"/>
      <c r="HF180" s="175"/>
      <c r="HG180" s="175"/>
      <c r="HH180" s="175"/>
      <c r="HI180" s="175"/>
      <c r="HJ180" s="175"/>
      <c r="HK180" s="175"/>
      <c r="HL180" s="175"/>
      <c r="HM180" s="175"/>
    </row>
    <row r="181" spans="1:221" ht="15">
      <c r="B181" s="175"/>
      <c r="C181" s="800" t="s">
        <v>651</v>
      </c>
      <c r="D181" s="357">
        <v>1450022</v>
      </c>
      <c r="E181" s="357">
        <v>64</v>
      </c>
      <c r="F181" s="357" t="s">
        <v>652</v>
      </c>
      <c r="G181" s="426" t="s">
        <v>653</v>
      </c>
      <c r="H181" s="148" t="s">
        <v>169</v>
      </c>
      <c r="I181" s="448" t="s">
        <v>170</v>
      </c>
      <c r="J181" s="357"/>
      <c r="K181" s="357"/>
      <c r="L181" s="357"/>
      <c r="M181" s="358"/>
      <c r="N181" s="361">
        <v>107</v>
      </c>
      <c r="O181" s="358"/>
      <c r="P181" s="402">
        <v>24635.66</v>
      </c>
      <c r="Q181" s="402"/>
      <c r="R181" s="402">
        <v>488607.35</v>
      </c>
      <c r="S181" s="358">
        <v>17003</v>
      </c>
      <c r="T181" s="188" t="s">
        <v>171</v>
      </c>
      <c r="U181" s="358"/>
      <c r="V181" s="358"/>
      <c r="W181" s="358"/>
      <c r="X181" s="402">
        <f t="shared" si="16"/>
        <v>494847.98000000004</v>
      </c>
      <c r="Y181" s="402">
        <v>-23752.7</v>
      </c>
      <c r="Z181" s="402">
        <v>0</v>
      </c>
      <c r="AA181" s="402">
        <v>471095.28</v>
      </c>
      <c r="AB181" s="450">
        <v>16395</v>
      </c>
      <c r="AC181" s="173" t="s">
        <v>172</v>
      </c>
      <c r="AD181" s="173" t="s">
        <v>173</v>
      </c>
      <c r="AE181" s="164" t="b">
        <v>1</v>
      </c>
      <c r="AF181" s="164" t="b">
        <v>1</v>
      </c>
      <c r="AG181" s="409">
        <f>(AB181-S181)/S181</f>
        <v>-3.5758395577251072E-2</v>
      </c>
      <c r="AH181" s="409">
        <f>(AA181-R181)/R181</f>
        <v>-3.5840782992724016E-2</v>
      </c>
      <c r="AI181" s="402">
        <f t="shared" si="14"/>
        <v>480587.28</v>
      </c>
      <c r="AJ181" s="364">
        <v>-23068.19</v>
      </c>
      <c r="AK181" s="364">
        <v>0</v>
      </c>
      <c r="AL181" s="364">
        <v>457519.09</v>
      </c>
      <c r="AM181" s="1069">
        <v>15464</v>
      </c>
      <c r="AN181" s="407">
        <v>46122</v>
      </c>
      <c r="AO181" s="148" t="s">
        <v>174</v>
      </c>
      <c r="AP181" s="860" t="b">
        <v>1</v>
      </c>
      <c r="AQ181" s="860" t="b">
        <v>1</v>
      </c>
      <c r="AR181" s="409">
        <f t="shared" si="17"/>
        <v>-5.678560536749009E-2</v>
      </c>
      <c r="AS181" s="409">
        <f>(AL181-AA181)/AA181</f>
        <v>-2.8818352839366172E-2</v>
      </c>
      <c r="AT181" s="402">
        <f t="shared" si="15"/>
        <v>0</v>
      </c>
      <c r="AU181" s="402"/>
      <c r="AV181" s="402"/>
      <c r="AW181" s="402"/>
      <c r="AX181" s="358"/>
      <c r="AY181" s="358"/>
      <c r="AZ181" s="358"/>
      <c r="BA181" s="164" t="b">
        <v>0</v>
      </c>
      <c r="BB181" s="164" t="b">
        <v>0</v>
      </c>
      <c r="BC181" s="358">
        <f>(AX181-AM181)/AM181</f>
        <v>-1</v>
      </c>
      <c r="BD181" s="358">
        <f>(AW181-AL181)/AL181</f>
        <v>-1</v>
      </c>
      <c r="BE181" s="402">
        <f>BH181 + ABS(BF181) + ABS(BG181)</f>
        <v>0</v>
      </c>
      <c r="BF181" s="402"/>
      <c r="BG181" s="402"/>
      <c r="BH181" s="402"/>
      <c r="BI181" s="358"/>
      <c r="BJ181" s="358"/>
      <c r="BK181" s="358"/>
      <c r="BL181" s="164" t="b">
        <v>0</v>
      </c>
      <c r="BM181" s="164" t="b">
        <v>0</v>
      </c>
      <c r="BN181" s="358" t="e">
        <f>(BI181-AZ181)/AZ181</f>
        <v>#DIV/0!</v>
      </c>
      <c r="BO181" s="358" t="e">
        <f>(BH181-AW181)/AW181</f>
        <v>#DIV/0!</v>
      </c>
      <c r="BP181" s="402">
        <f>BS181 + ABS(BQ181) + ABS(BR181)</f>
        <v>0</v>
      </c>
      <c r="BQ181" s="402"/>
      <c r="BR181" s="402"/>
      <c r="BS181" s="402"/>
      <c r="BT181" s="358"/>
      <c r="BU181" s="358"/>
      <c r="BV181" s="358"/>
      <c r="BW181" s="164" t="b">
        <v>0</v>
      </c>
      <c r="BX181" s="164" t="b">
        <v>0</v>
      </c>
      <c r="BY181" s="358" t="e">
        <f>(BT181-BI181)/BI181</f>
        <v>#DIV/0!</v>
      </c>
      <c r="BZ181" s="358" t="e">
        <f>(BS181-BH181)/BH181</f>
        <v>#DIV/0!</v>
      </c>
      <c r="CA181" s="402">
        <f>CD181 + ABS(CB181) + ABS(CC181)</f>
        <v>0</v>
      </c>
      <c r="CB181" s="402"/>
      <c r="CC181" s="402"/>
      <c r="CD181" s="402"/>
      <c r="CE181" s="358"/>
      <c r="CF181" s="358"/>
      <c r="CG181" s="358"/>
      <c r="CH181" s="164" t="b">
        <v>0</v>
      </c>
      <c r="CI181" s="164" t="b">
        <v>0</v>
      </c>
      <c r="CJ181" s="358" t="e">
        <f>(CE181-BV181)/BV181</f>
        <v>#DIV/0!</v>
      </c>
      <c r="CK181" s="358" t="e">
        <f>(CD181-BS181)/BS181</f>
        <v>#DIV/0!</v>
      </c>
      <c r="CL181" s="402">
        <f>CO181 + ABS(CM181) + ABS(CN181)</f>
        <v>0</v>
      </c>
      <c r="CM181" s="402"/>
      <c r="CN181" s="402"/>
      <c r="CO181" s="402"/>
      <c r="CP181" s="358"/>
      <c r="CQ181" s="358"/>
      <c r="CR181" s="358"/>
      <c r="CS181" s="164" t="b">
        <v>0</v>
      </c>
      <c r="CT181" s="164" t="b">
        <v>0</v>
      </c>
      <c r="CU181" s="358" t="e">
        <f>(CP181-CE181)/CE181</f>
        <v>#DIV/0!</v>
      </c>
      <c r="CV181" s="358" t="e">
        <f>(CO181-CD181)/CD181</f>
        <v>#DIV/0!</v>
      </c>
      <c r="CW181" s="402">
        <f>CZ181 + ABS(CX181) + ABS(CY181)</f>
        <v>0</v>
      </c>
      <c r="CX181" s="402"/>
      <c r="CY181" s="402"/>
      <c r="CZ181" s="402"/>
      <c r="DA181" s="358"/>
      <c r="DB181" s="358"/>
      <c r="DC181" s="358"/>
      <c r="DD181" s="164" t="b">
        <v>0</v>
      </c>
      <c r="DE181" s="164" t="b">
        <v>0</v>
      </c>
      <c r="DF181" s="358" t="e">
        <f>(DA181-CR181)/CR181</f>
        <v>#DIV/0!</v>
      </c>
      <c r="DG181" s="358" t="e">
        <f>(CZ181-CO181)/CO181</f>
        <v>#DIV/0!</v>
      </c>
      <c r="DH181" s="402">
        <f>DK181 + ABS(DI181) + ABS(DJ181)</f>
        <v>0</v>
      </c>
      <c r="DI181" s="402"/>
      <c r="DJ181" s="402"/>
      <c r="DK181" s="402"/>
      <c r="DL181" s="358"/>
      <c r="DM181" s="358"/>
      <c r="DN181" s="358"/>
      <c r="DO181" s="164" t="b">
        <v>0</v>
      </c>
      <c r="DP181" s="164" t="b">
        <v>0</v>
      </c>
      <c r="DQ181" s="358" t="e">
        <f>(DL181-DA181)/DA181</f>
        <v>#DIV/0!</v>
      </c>
      <c r="DR181" s="358" t="e">
        <f>(DK181-CZ181)/CZ181</f>
        <v>#DIV/0!</v>
      </c>
      <c r="DS181" s="402">
        <f>DV181 + ABS(DT181) + ABS(DU181)</f>
        <v>0</v>
      </c>
      <c r="DT181" s="402"/>
      <c r="DU181" s="402"/>
      <c r="DV181" s="402"/>
      <c r="DW181" s="358"/>
      <c r="DX181" s="358"/>
      <c r="DY181" s="358"/>
      <c r="DZ181" s="164" t="b">
        <v>0</v>
      </c>
      <c r="EA181" s="164" t="b">
        <v>0</v>
      </c>
      <c r="EB181" s="358" t="e">
        <f>(DW181-DN181)/DN181</f>
        <v>#DIV/0!</v>
      </c>
      <c r="EC181" s="358" t="e">
        <f>(DV181-DK181)/DK181</f>
        <v>#DIV/0!</v>
      </c>
      <c r="ED181" s="402">
        <f>EG181 + ABS(EE181) + ABS(EF181)</f>
        <v>0</v>
      </c>
      <c r="EE181" s="402"/>
      <c r="EF181" s="402"/>
      <c r="EG181" s="402"/>
      <c r="EH181" s="358"/>
      <c r="EI181" s="358"/>
      <c r="EJ181" s="358"/>
      <c r="EK181" s="164" t="b">
        <v>0</v>
      </c>
      <c r="EL181" s="164" t="b">
        <v>0</v>
      </c>
      <c r="EM181" s="358" t="e">
        <f>(EH181-DW181)/DW181</f>
        <v>#DIV/0!</v>
      </c>
      <c r="EN181" s="358" t="e">
        <f>(EG181-DV181)/DV181</f>
        <v>#DIV/0!</v>
      </c>
      <c r="EO181" s="402">
        <f>ER181 + ABS(EP181) + ABS(EQ181)</f>
        <v>0</v>
      </c>
      <c r="EP181" s="402"/>
      <c r="EQ181" s="402"/>
      <c r="ER181" s="402"/>
      <c r="ES181" s="358"/>
      <c r="ET181" s="358"/>
      <c r="EU181" s="358"/>
      <c r="EV181" s="164" t="b">
        <v>0</v>
      </c>
      <c r="EW181" s="164" t="b">
        <v>0</v>
      </c>
      <c r="EX181" s="358" t="e">
        <f>(ES181-EJ181)/EJ181</f>
        <v>#DIV/0!</v>
      </c>
      <c r="EY181" s="358" t="e">
        <f>(ER181-EG181)/EG181</f>
        <v>#DIV/0!</v>
      </c>
      <c r="EZ181" s="813"/>
      <c r="FA181" s="813"/>
      <c r="FB181" s="813"/>
      <c r="FC181" s="813"/>
      <c r="FD181" s="813"/>
      <c r="FE181" s="813"/>
      <c r="FF181" s="813"/>
      <c r="FG181" s="813"/>
      <c r="FH181" s="813"/>
      <c r="FI181" s="813"/>
      <c r="FJ181" s="813"/>
      <c r="FK181" s="813"/>
      <c r="FL181" s="813"/>
      <c r="FM181" s="813"/>
      <c r="FN181" s="813"/>
      <c r="FO181" s="813"/>
      <c r="FP181" s="813"/>
      <c r="FQ181" s="814"/>
      <c r="FR181" s="175"/>
      <c r="FS181" s="175"/>
      <c r="FT181" s="175"/>
      <c r="FU181" s="175"/>
      <c r="FV181" s="175"/>
      <c r="FW181" s="175"/>
      <c r="FX181" s="175"/>
      <c r="FY181" s="175"/>
      <c r="FZ181" s="175"/>
      <c r="GA181" s="175"/>
      <c r="GB181" s="175"/>
      <c r="GC181" s="175"/>
      <c r="GD181" s="175"/>
      <c r="GE181" s="175"/>
      <c r="GF181" s="175"/>
      <c r="GG181" s="175"/>
      <c r="GH181" s="175"/>
      <c r="GI181" s="175"/>
      <c r="GJ181" s="175"/>
      <c r="GK181" s="175"/>
      <c r="GL181" s="175"/>
      <c r="GM181" s="175"/>
      <c r="GN181" s="175"/>
      <c r="GO181" s="175"/>
      <c r="GP181" s="175"/>
      <c r="GQ181" s="175"/>
      <c r="GR181" s="175"/>
      <c r="GS181" s="175"/>
      <c r="GT181" s="175"/>
      <c r="GU181" s="175"/>
      <c r="GV181" s="175"/>
      <c r="GW181" s="175"/>
      <c r="GX181" s="175"/>
      <c r="GY181" s="175"/>
      <c r="GZ181" s="175"/>
      <c r="HA181" s="175"/>
      <c r="HB181" s="175"/>
      <c r="HC181" s="175"/>
      <c r="HD181" s="175"/>
      <c r="HE181" s="175"/>
      <c r="HF181" s="175"/>
      <c r="HG181" s="175"/>
      <c r="HH181" s="175"/>
      <c r="HI181" s="175"/>
      <c r="HJ181" s="175"/>
      <c r="HK181" s="175"/>
      <c r="HL181" s="175"/>
      <c r="HM181" s="175"/>
    </row>
    <row r="182" spans="1:221" s="175" customFormat="1" ht="15">
      <c r="A182" s="184"/>
      <c r="C182" s="805" t="s">
        <v>654</v>
      </c>
      <c r="D182" s="702">
        <v>1450022</v>
      </c>
      <c r="E182" s="702">
        <v>110</v>
      </c>
      <c r="F182" s="702" t="s">
        <v>655</v>
      </c>
      <c r="G182" s="806" t="s">
        <v>656</v>
      </c>
      <c r="H182" s="807" t="s">
        <v>169</v>
      </c>
      <c r="I182" s="703" t="s">
        <v>170</v>
      </c>
      <c r="J182" s="702"/>
      <c r="K182" s="702"/>
      <c r="L182" s="702"/>
      <c r="M182" s="808"/>
      <c r="N182" s="809">
        <v>107</v>
      </c>
      <c r="O182" s="808"/>
      <c r="P182" s="810">
        <v>570.78</v>
      </c>
      <c r="Q182" s="810"/>
      <c r="R182" s="810">
        <v>11320.44</v>
      </c>
      <c r="S182" s="808">
        <v>723</v>
      </c>
      <c r="T182" s="808" t="s">
        <v>171</v>
      </c>
      <c r="U182" s="808"/>
      <c r="V182" s="808"/>
      <c r="W182" s="808"/>
      <c r="X182" s="810">
        <f t="shared" si="16"/>
        <v>15002.34</v>
      </c>
      <c r="Y182" s="810">
        <v>-720.11</v>
      </c>
      <c r="Z182" s="810">
        <v>0</v>
      </c>
      <c r="AA182" s="810">
        <v>14282.23</v>
      </c>
      <c r="AB182" s="702">
        <v>894</v>
      </c>
      <c r="AC182" s="806" t="s">
        <v>172</v>
      </c>
      <c r="AD182" s="806" t="s">
        <v>173</v>
      </c>
      <c r="AE182" s="811" t="b">
        <v>1</v>
      </c>
      <c r="AF182" s="811" t="b">
        <v>1</v>
      </c>
      <c r="AG182" s="854">
        <f>(AB182-S182)/S182</f>
        <v>0.23651452282157676</v>
      </c>
      <c r="AH182" s="854">
        <f>(AA182-R182)/R182</f>
        <v>0.26163205670450962</v>
      </c>
      <c r="AI182" s="810">
        <f t="shared" si="14"/>
        <v>13575.27</v>
      </c>
      <c r="AJ182" s="812">
        <v>-651.61</v>
      </c>
      <c r="AK182" s="812">
        <v>0</v>
      </c>
      <c r="AL182" s="812">
        <v>12923.66</v>
      </c>
      <c r="AM182" s="1070">
        <v>783</v>
      </c>
      <c r="AN182" s="862">
        <v>46122</v>
      </c>
      <c r="AO182" s="863" t="s">
        <v>174</v>
      </c>
      <c r="AP182" s="811" t="b">
        <v>1</v>
      </c>
      <c r="AQ182" s="811" t="b">
        <v>1</v>
      </c>
      <c r="AR182" s="854">
        <f t="shared" si="17"/>
        <v>-0.12416107382550336</v>
      </c>
      <c r="AS182" s="854">
        <f>(AL182-AA182)/AA182</f>
        <v>-9.5123100524217838E-2</v>
      </c>
      <c r="AT182" s="810">
        <f t="shared" si="15"/>
        <v>0</v>
      </c>
      <c r="AU182" s="810"/>
      <c r="AV182" s="810"/>
      <c r="AW182" s="810"/>
      <c r="AX182" s="808"/>
      <c r="AY182" s="808"/>
      <c r="AZ182" s="808"/>
      <c r="BA182" s="811" t="b">
        <v>0</v>
      </c>
      <c r="BB182" s="811" t="b">
        <v>0</v>
      </c>
      <c r="BC182" s="808">
        <f>(AX182-AM182)/AM182</f>
        <v>-1</v>
      </c>
      <c r="BD182" s="808">
        <f>(AW182-AL182)/AL182</f>
        <v>-1</v>
      </c>
      <c r="BE182" s="810">
        <f>BH182 + ABS(BF182) + ABS(BG182)</f>
        <v>0</v>
      </c>
      <c r="BF182" s="810"/>
      <c r="BG182" s="810"/>
      <c r="BH182" s="810"/>
      <c r="BI182" s="808"/>
      <c r="BJ182" s="808"/>
      <c r="BK182" s="808"/>
      <c r="BL182" s="811" t="b">
        <v>0</v>
      </c>
      <c r="BM182" s="811" t="b">
        <v>0</v>
      </c>
      <c r="BN182" s="808" t="e">
        <f>(BI182-AZ182)/AZ182</f>
        <v>#DIV/0!</v>
      </c>
      <c r="BO182" s="808" t="e">
        <f>(BH182-AW182)/AW182</f>
        <v>#DIV/0!</v>
      </c>
      <c r="BP182" s="810">
        <f>BS182 + ABS(BQ182) + ABS(BR182)</f>
        <v>0</v>
      </c>
      <c r="BQ182" s="810"/>
      <c r="BR182" s="810"/>
      <c r="BS182" s="810"/>
      <c r="BT182" s="808"/>
      <c r="BU182" s="808"/>
      <c r="BV182" s="808"/>
      <c r="BW182" s="811" t="b">
        <v>0</v>
      </c>
      <c r="BX182" s="811" t="b">
        <v>0</v>
      </c>
      <c r="BY182" s="808" t="e">
        <f>(BT182-BI182)/BI182</f>
        <v>#DIV/0!</v>
      </c>
      <c r="BZ182" s="808" t="e">
        <f>(BS182-BH182)/BH182</f>
        <v>#DIV/0!</v>
      </c>
      <c r="CA182" s="810">
        <f>CD182 + ABS(CB182) + ABS(CC182)</f>
        <v>0</v>
      </c>
      <c r="CB182" s="810"/>
      <c r="CC182" s="810"/>
      <c r="CD182" s="810"/>
      <c r="CE182" s="808"/>
      <c r="CF182" s="808"/>
      <c r="CG182" s="808"/>
      <c r="CH182" s="811" t="b">
        <v>0</v>
      </c>
      <c r="CI182" s="811" t="b">
        <v>0</v>
      </c>
      <c r="CJ182" s="808" t="e">
        <f>(CE182-BV182)/BV182</f>
        <v>#DIV/0!</v>
      </c>
      <c r="CK182" s="808" t="e">
        <f>(CD182-BS182)/BS182</f>
        <v>#DIV/0!</v>
      </c>
      <c r="CL182" s="810">
        <f>CO182 + ABS(CM182) + ABS(CN182)</f>
        <v>0</v>
      </c>
      <c r="CM182" s="810"/>
      <c r="CN182" s="810"/>
      <c r="CO182" s="810"/>
      <c r="CP182" s="808"/>
      <c r="CQ182" s="808"/>
      <c r="CR182" s="808"/>
      <c r="CS182" s="811" t="b">
        <v>0</v>
      </c>
      <c r="CT182" s="811" t="b">
        <v>0</v>
      </c>
      <c r="CU182" s="808" t="e">
        <f>(CP182-CE182)/CE182</f>
        <v>#DIV/0!</v>
      </c>
      <c r="CV182" s="808" t="e">
        <f>(CO182-CD182)/CD182</f>
        <v>#DIV/0!</v>
      </c>
      <c r="CW182" s="810">
        <f>CZ182 + ABS(CX182) + ABS(CY182)</f>
        <v>0</v>
      </c>
      <c r="CX182" s="810"/>
      <c r="CY182" s="810"/>
      <c r="CZ182" s="810"/>
      <c r="DA182" s="808"/>
      <c r="DB182" s="808"/>
      <c r="DC182" s="808"/>
      <c r="DD182" s="811" t="b">
        <v>0</v>
      </c>
      <c r="DE182" s="811" t="b">
        <v>0</v>
      </c>
      <c r="DF182" s="808" t="e">
        <f>(DA182-CR182)/CR182</f>
        <v>#DIV/0!</v>
      </c>
      <c r="DG182" s="808" t="e">
        <f>(CZ182-CO182)/CO182</f>
        <v>#DIV/0!</v>
      </c>
      <c r="DH182" s="810">
        <f>DK182 + ABS(DI182) + ABS(DJ182)</f>
        <v>0</v>
      </c>
      <c r="DI182" s="810"/>
      <c r="DJ182" s="810"/>
      <c r="DK182" s="810"/>
      <c r="DL182" s="808"/>
      <c r="DM182" s="808"/>
      <c r="DN182" s="808"/>
      <c r="DO182" s="811" t="b">
        <v>0</v>
      </c>
      <c r="DP182" s="811" t="b">
        <v>0</v>
      </c>
      <c r="DQ182" s="808" t="e">
        <f>(DL182-DA182)/DA182</f>
        <v>#DIV/0!</v>
      </c>
      <c r="DR182" s="808" t="e">
        <f>(DK182-CZ182)/CZ182</f>
        <v>#DIV/0!</v>
      </c>
      <c r="DS182" s="810">
        <f>DV182 + ABS(DT182) + ABS(DU182)</f>
        <v>0</v>
      </c>
      <c r="DT182" s="810"/>
      <c r="DU182" s="810"/>
      <c r="DV182" s="810"/>
      <c r="DW182" s="808"/>
      <c r="DX182" s="808"/>
      <c r="DY182" s="808"/>
      <c r="DZ182" s="811" t="b">
        <v>0</v>
      </c>
      <c r="EA182" s="811" t="b">
        <v>0</v>
      </c>
      <c r="EB182" s="808" t="e">
        <f>(DW182-DN182)/DN182</f>
        <v>#DIV/0!</v>
      </c>
      <c r="EC182" s="808" t="e">
        <f>(DV182-DK182)/DK182</f>
        <v>#DIV/0!</v>
      </c>
      <c r="ED182" s="810">
        <f>EG182 + ABS(EE182) + ABS(EF182)</f>
        <v>0</v>
      </c>
      <c r="EE182" s="810"/>
      <c r="EF182" s="810"/>
      <c r="EG182" s="810"/>
      <c r="EH182" s="808"/>
      <c r="EI182" s="808"/>
      <c r="EJ182" s="808"/>
      <c r="EK182" s="811" t="b">
        <v>0</v>
      </c>
      <c r="EL182" s="811" t="b">
        <v>0</v>
      </c>
      <c r="EM182" s="808" t="e">
        <f>(EH182-DW182)/DW182</f>
        <v>#DIV/0!</v>
      </c>
      <c r="EN182" s="808" t="e">
        <f>(EG182-DV182)/DV182</f>
        <v>#DIV/0!</v>
      </c>
      <c r="EO182" s="810">
        <f>ER182 + ABS(EP182) + ABS(EQ182)</f>
        <v>0</v>
      </c>
      <c r="EP182" s="810"/>
      <c r="EQ182" s="810"/>
      <c r="ER182" s="810"/>
      <c r="ES182" s="808"/>
      <c r="ET182" s="808"/>
      <c r="EU182" s="808"/>
      <c r="EV182" s="811" t="b">
        <v>0</v>
      </c>
      <c r="EW182" s="811" t="b">
        <v>0</v>
      </c>
      <c r="EX182" s="808" t="e">
        <f>(ES182-EJ182)/EJ182</f>
        <v>#DIV/0!</v>
      </c>
      <c r="EY182" s="808" t="e">
        <f>(ER182-EG182)/EG182</f>
        <v>#DIV/0!</v>
      </c>
    </row>
    <row r="183" spans="1:221" s="175" customFormat="1" ht="15">
      <c r="A183" s="184"/>
      <c r="C183" s="445"/>
      <c r="D183" s="445"/>
      <c r="E183" s="445"/>
      <c r="F183" s="445"/>
      <c r="G183" s="704"/>
      <c r="H183" s="828"/>
      <c r="I183" s="445"/>
      <c r="J183" s="445"/>
      <c r="K183" s="445"/>
      <c r="L183" s="445"/>
      <c r="M183" s="746"/>
      <c r="N183" s="445"/>
      <c r="O183" s="746"/>
      <c r="P183" s="748"/>
      <c r="Q183" s="748"/>
      <c r="R183" s="748"/>
      <c r="S183" s="746"/>
      <c r="T183" s="746"/>
      <c r="U183" s="746"/>
      <c r="V183" s="746"/>
      <c r="W183" s="746"/>
      <c r="X183" s="838">
        <f>SUBTOTAL(109,X5:X182)</f>
        <v>9483998.2199999969</v>
      </c>
      <c r="Y183" s="748"/>
      <c r="Z183" s="748"/>
      <c r="AA183" s="748"/>
      <c r="AB183" s="704"/>
      <c r="AC183" s="829"/>
      <c r="AD183" s="829"/>
      <c r="AE183" s="829"/>
      <c r="AF183" s="829"/>
      <c r="AG183" s="410"/>
      <c r="AH183" s="410"/>
      <c r="AI183" s="838">
        <f>SUBTOTAL(109,AI5:AI182)</f>
        <v>8722803.5500000045</v>
      </c>
      <c r="AJ183" s="455"/>
      <c r="AK183" s="455"/>
      <c r="AL183" s="455"/>
      <c r="AM183" s="456"/>
      <c r="AN183" s="457"/>
      <c r="AO183" s="456"/>
      <c r="AP183" s="829"/>
      <c r="AQ183" s="829"/>
      <c r="AR183" s="410" t="e">
        <f t="shared" si="17"/>
        <v>#DIV/0!</v>
      </c>
      <c r="AS183" s="410"/>
      <c r="AT183" s="748"/>
      <c r="AU183" s="748"/>
      <c r="AV183" s="748"/>
      <c r="AW183" s="748"/>
      <c r="AX183" s="746"/>
      <c r="AY183" s="746"/>
      <c r="AZ183" s="746"/>
      <c r="BA183" s="829"/>
      <c r="BB183" s="829"/>
      <c r="BC183" s="746"/>
      <c r="BD183" s="746"/>
      <c r="BE183" s="748"/>
      <c r="BF183" s="748"/>
      <c r="BG183" s="748"/>
      <c r="BH183" s="748"/>
      <c r="BI183" s="746"/>
      <c r="BJ183" s="746"/>
      <c r="BK183" s="746"/>
      <c r="BL183" s="829"/>
      <c r="BM183" s="829"/>
      <c r="BN183" s="746"/>
      <c r="BO183" s="746"/>
      <c r="BP183" s="748"/>
      <c r="BQ183" s="748"/>
      <c r="BR183" s="748"/>
      <c r="BS183" s="748"/>
      <c r="BT183" s="746"/>
      <c r="BU183" s="746"/>
      <c r="BV183" s="746"/>
      <c r="BW183" s="829"/>
      <c r="BX183" s="829"/>
      <c r="BY183" s="746"/>
      <c r="BZ183" s="746"/>
      <c r="CA183" s="748"/>
      <c r="CB183" s="748"/>
      <c r="CC183" s="748"/>
      <c r="CD183" s="748"/>
      <c r="CE183" s="746"/>
      <c r="CF183" s="746"/>
      <c r="CG183" s="746"/>
      <c r="CH183" s="829"/>
      <c r="CI183" s="829"/>
      <c r="CJ183" s="746"/>
      <c r="CK183" s="746"/>
      <c r="CL183" s="748"/>
      <c r="CM183" s="748"/>
      <c r="CN183" s="748"/>
      <c r="CO183" s="748"/>
      <c r="CP183" s="746"/>
      <c r="CQ183" s="746"/>
      <c r="CR183" s="746"/>
      <c r="CS183" s="829"/>
      <c r="CT183" s="829"/>
      <c r="CU183" s="746"/>
      <c r="CV183" s="746"/>
      <c r="CW183" s="748"/>
      <c r="CX183" s="748"/>
      <c r="CY183" s="748"/>
      <c r="CZ183" s="748"/>
      <c r="DA183" s="746"/>
      <c r="DB183" s="746"/>
      <c r="DC183" s="746"/>
      <c r="DD183" s="829"/>
      <c r="DE183" s="829"/>
      <c r="DF183" s="746"/>
      <c r="DG183" s="746"/>
      <c r="DH183" s="748"/>
      <c r="DI183" s="748"/>
      <c r="DJ183" s="748"/>
      <c r="DK183" s="748"/>
      <c r="DL183" s="746"/>
      <c r="DM183" s="746"/>
      <c r="DN183" s="746"/>
      <c r="DO183" s="829"/>
      <c r="DP183" s="829"/>
      <c r="DQ183" s="746"/>
      <c r="DR183" s="746"/>
      <c r="DS183" s="748"/>
      <c r="DT183" s="748"/>
      <c r="DU183" s="748"/>
      <c r="DV183" s="748"/>
      <c r="DW183" s="746"/>
      <c r="DX183" s="746"/>
      <c r="DY183" s="746"/>
      <c r="DZ183" s="829"/>
      <c r="EA183" s="829"/>
      <c r="EB183" s="746"/>
      <c r="EC183" s="746"/>
      <c r="ED183" s="748"/>
      <c r="EE183" s="748"/>
      <c r="EF183" s="748"/>
      <c r="EG183" s="748"/>
      <c r="EH183" s="746"/>
      <c r="EI183" s="746"/>
      <c r="EJ183" s="746"/>
      <c r="EK183" s="829"/>
      <c r="EL183" s="829"/>
      <c r="EM183" s="746"/>
      <c r="EN183" s="746"/>
      <c r="EO183" s="748"/>
      <c r="EP183" s="748"/>
      <c r="EQ183" s="748"/>
      <c r="ER183" s="748"/>
      <c r="ES183" s="746"/>
      <c r="ET183" s="746"/>
      <c r="EU183" s="746"/>
      <c r="EV183" s="829"/>
      <c r="EW183" s="829"/>
      <c r="EX183" s="746"/>
      <c r="EY183" s="746"/>
    </row>
    <row r="184" spans="1:221" ht="15">
      <c r="C184" s="187"/>
      <c r="D184" s="187"/>
      <c r="E184" s="187"/>
      <c r="F184" s="187"/>
      <c r="G184" s="444"/>
      <c r="H184" s="743"/>
      <c r="I184" s="744"/>
      <c r="J184" s="187"/>
      <c r="K184" s="187"/>
      <c r="L184" s="187"/>
      <c r="M184" s="188"/>
      <c r="N184" s="187"/>
      <c r="O184" s="188"/>
      <c r="P184" s="365"/>
      <c r="Q184" s="365"/>
      <c r="R184" s="365"/>
      <c r="S184" s="188"/>
      <c r="T184" s="188"/>
      <c r="U184" s="188"/>
      <c r="V184" s="188"/>
      <c r="W184" s="188"/>
      <c r="X184" s="365"/>
      <c r="Y184" s="365"/>
      <c r="Z184" s="365"/>
      <c r="AA184" s="365"/>
      <c r="AB184" s="444"/>
      <c r="AC184" s="444"/>
      <c r="AD184" s="444"/>
      <c r="AE184" s="444"/>
      <c r="AF184" s="444"/>
      <c r="AG184" s="393"/>
      <c r="AH184" s="393"/>
      <c r="AI184" s="365"/>
      <c r="AJ184" s="372"/>
      <c r="AK184" s="372"/>
      <c r="AL184" s="372"/>
      <c r="AM184" s="189"/>
      <c r="AN184" s="417"/>
      <c r="AO184" s="189"/>
      <c r="AP184" s="444"/>
      <c r="AQ184" s="444"/>
      <c r="AR184" s="393" t="e">
        <f t="shared" si="17"/>
        <v>#DIV/0!</v>
      </c>
      <c r="AS184" s="393"/>
      <c r="AT184" s="365"/>
      <c r="AU184" s="365"/>
      <c r="AV184" s="365"/>
      <c r="AW184" s="365"/>
      <c r="AX184" s="188"/>
      <c r="AY184" s="188"/>
      <c r="AZ184" s="188"/>
      <c r="BA184" s="444"/>
      <c r="BB184" s="444"/>
      <c r="BC184" s="188"/>
      <c r="BD184" s="188"/>
      <c r="BE184" s="365"/>
      <c r="BF184" s="365"/>
      <c r="BG184" s="365"/>
      <c r="BH184" s="365"/>
      <c r="BI184" s="188"/>
      <c r="BJ184" s="188"/>
      <c r="BK184" s="188"/>
      <c r="BL184" s="444"/>
      <c r="BM184" s="444"/>
      <c r="BN184" s="188"/>
      <c r="BO184" s="188"/>
      <c r="BP184" s="365"/>
      <c r="BQ184" s="365"/>
      <c r="BR184" s="365"/>
      <c r="BS184" s="365"/>
      <c r="BT184" s="188"/>
      <c r="BU184" s="188"/>
      <c r="BV184" s="188"/>
      <c r="BW184" s="444"/>
      <c r="BX184" s="444"/>
      <c r="BY184" s="188"/>
      <c r="BZ184" s="188"/>
      <c r="CA184" s="365"/>
      <c r="CB184" s="365"/>
      <c r="CC184" s="365"/>
      <c r="CD184" s="365"/>
      <c r="CE184" s="188"/>
      <c r="CF184" s="188"/>
      <c r="CG184" s="188"/>
      <c r="CH184" s="444"/>
      <c r="CI184" s="444"/>
      <c r="CJ184" s="188"/>
      <c r="CK184" s="188"/>
      <c r="CL184" s="365"/>
      <c r="CM184" s="365"/>
      <c r="CN184" s="365"/>
      <c r="CO184" s="365"/>
      <c r="CP184" s="188"/>
      <c r="CQ184" s="188"/>
      <c r="CR184" s="188"/>
      <c r="CS184" s="444"/>
      <c r="CT184" s="444"/>
      <c r="CU184" s="188"/>
      <c r="CV184" s="188"/>
      <c r="CW184" s="365"/>
      <c r="CX184" s="365"/>
      <c r="CY184" s="365"/>
      <c r="CZ184" s="365"/>
      <c r="DA184" s="188"/>
      <c r="DB184" s="188"/>
      <c r="DC184" s="188"/>
      <c r="DD184" s="444"/>
      <c r="DE184" s="444"/>
      <c r="DF184" s="188"/>
      <c r="DG184" s="188"/>
      <c r="DH184" s="365"/>
      <c r="DI184" s="365"/>
      <c r="DJ184" s="365"/>
      <c r="DK184" s="365"/>
      <c r="DL184" s="188"/>
      <c r="DM184" s="188"/>
      <c r="DN184" s="188"/>
      <c r="DO184" s="444"/>
      <c r="DP184" s="444"/>
      <c r="DQ184" s="188"/>
      <c r="DR184" s="188"/>
      <c r="DS184" s="365"/>
      <c r="DT184" s="365"/>
      <c r="DU184" s="365"/>
      <c r="DV184" s="365"/>
      <c r="DW184" s="188"/>
      <c r="DX184" s="188"/>
      <c r="DY184" s="188"/>
      <c r="DZ184" s="444"/>
      <c r="EA184" s="444"/>
      <c r="EB184" s="188"/>
      <c r="EC184" s="188"/>
      <c r="ED184" s="365"/>
      <c r="EE184" s="365"/>
      <c r="EF184" s="365"/>
      <c r="EG184" s="365"/>
      <c r="EH184" s="188"/>
      <c r="EI184" s="188"/>
      <c r="EJ184" s="188"/>
      <c r="EK184" s="444"/>
      <c r="EL184" s="444"/>
      <c r="EM184" s="188"/>
      <c r="EN184" s="188"/>
      <c r="EO184" s="365"/>
      <c r="EP184" s="365"/>
      <c r="EQ184" s="365"/>
      <c r="ER184" s="365"/>
      <c r="ES184" s="188"/>
      <c r="ET184" s="188"/>
      <c r="EU184" s="188"/>
      <c r="EV184" s="444"/>
      <c r="EW184" s="444"/>
      <c r="EX184" s="188"/>
      <c r="EY184" s="188"/>
      <c r="EZ184" s="726"/>
      <c r="FA184" s="726"/>
      <c r="FB184" s="726"/>
      <c r="FC184" s="726"/>
      <c r="FD184" s="726"/>
      <c r="FE184" s="726"/>
      <c r="FF184" s="726"/>
      <c r="FG184" s="726"/>
      <c r="FH184" s="726"/>
      <c r="FI184" s="726"/>
      <c r="FJ184" s="726"/>
      <c r="FK184" s="726"/>
      <c r="FL184" s="726"/>
      <c r="FM184" s="726"/>
      <c r="FN184" s="726"/>
      <c r="FO184" s="726"/>
      <c r="FP184" s="727"/>
    </row>
    <row r="185" spans="1:221" ht="15">
      <c r="C185" s="707" t="s">
        <v>657</v>
      </c>
      <c r="D185" s="708">
        <v>1450022</v>
      </c>
      <c r="E185" s="708">
        <v>22</v>
      </c>
      <c r="F185" s="709" t="s">
        <v>658</v>
      </c>
      <c r="G185" s="710" t="s">
        <v>659</v>
      </c>
      <c r="H185" s="711" t="s">
        <v>660</v>
      </c>
      <c r="I185" s="712" t="s">
        <v>661</v>
      </c>
      <c r="J185" s="708"/>
      <c r="K185" s="708"/>
      <c r="L185" s="708"/>
      <c r="M185" s="713"/>
      <c r="N185" s="714">
        <v>138</v>
      </c>
      <c r="O185" s="713"/>
      <c r="P185" s="715"/>
      <c r="Q185" s="715"/>
      <c r="R185" s="715"/>
      <c r="S185" s="713"/>
      <c r="T185" s="713"/>
      <c r="U185" s="713"/>
      <c r="V185" s="713"/>
      <c r="W185" s="713"/>
      <c r="X185" s="716">
        <f t="shared" ref="X185:X190" si="18">SUM(AA185, ABS(Y185))</f>
        <v>53434.020000000004</v>
      </c>
      <c r="Y185" s="717">
        <v>-2564.83</v>
      </c>
      <c r="Z185" s="717">
        <v>0</v>
      </c>
      <c r="AA185" s="717">
        <v>50869.19</v>
      </c>
      <c r="AB185" s="718">
        <v>1819</v>
      </c>
      <c r="AC185" s="719">
        <v>46091</v>
      </c>
      <c r="AD185" s="720" t="s">
        <v>662</v>
      </c>
      <c r="AE185" s="721" t="b">
        <v>1</v>
      </c>
      <c r="AF185" s="721" t="b">
        <v>1</v>
      </c>
      <c r="AG185" s="722" t="e">
        <f>(Z185-S185)/S185</f>
        <v>#DIV/0!</v>
      </c>
      <c r="AH185" s="723" t="e">
        <f>(Y185-R185)/R185</f>
        <v>#DIV/0!</v>
      </c>
      <c r="AI185" s="716">
        <f t="shared" ref="AI185:AI190" si="19">SUM(AL185, ABS(AJ185))</f>
        <v>43556.130000000005</v>
      </c>
      <c r="AJ185" s="724">
        <v>-2090.69</v>
      </c>
      <c r="AK185" s="725">
        <v>0</v>
      </c>
      <c r="AL185" s="725">
        <v>41465.440000000002</v>
      </c>
      <c r="AM185" s="1067">
        <v>1413</v>
      </c>
      <c r="AN185" s="719">
        <v>46122</v>
      </c>
      <c r="AO185" s="709" t="s">
        <v>663</v>
      </c>
      <c r="AP185" s="721" t="b">
        <v>1</v>
      </c>
      <c r="AQ185" s="721" t="b">
        <v>1</v>
      </c>
      <c r="AR185" s="722">
        <f t="shared" si="17"/>
        <v>-0.22319956019791093</v>
      </c>
      <c r="AS185" s="722">
        <f t="shared" ref="AS185:AT190" si="20">SUM(AV185, ABS(AT185))</f>
        <v>0</v>
      </c>
      <c r="AT185" s="716">
        <f t="shared" si="20"/>
        <v>0</v>
      </c>
      <c r="AU185" s="715"/>
      <c r="AV185" s="715"/>
      <c r="AW185" s="715"/>
      <c r="AX185" s="713"/>
      <c r="AY185" s="713"/>
      <c r="AZ185" s="713"/>
      <c r="BA185" s="721" t="b">
        <v>0</v>
      </c>
      <c r="BB185" s="721" t="b">
        <v>0</v>
      </c>
      <c r="BC185" s="713">
        <f>(AX185-AM185)/AM185</f>
        <v>-1</v>
      </c>
      <c r="BD185" s="713">
        <f>(AW185-AL185)/AL185</f>
        <v>-1</v>
      </c>
      <c r="BE185" s="716">
        <f>SUM(BH185, ABS(BF185))</f>
        <v>0</v>
      </c>
      <c r="BF185" s="715"/>
      <c r="BG185" s="715"/>
      <c r="BH185" s="715"/>
      <c r="BI185" s="713"/>
      <c r="BJ185" s="713"/>
      <c r="BK185" s="713"/>
      <c r="BL185" s="721" t="b">
        <v>0</v>
      </c>
      <c r="BM185" s="721" t="b">
        <v>0</v>
      </c>
      <c r="BN185" s="713" t="e">
        <f>(BI185-AZ185)/AZ185</f>
        <v>#DIV/0!</v>
      </c>
      <c r="BO185" s="713" t="e">
        <f>(BH185-AW185)/AW185</f>
        <v>#DIV/0!</v>
      </c>
      <c r="BP185" s="716">
        <f>SUM(BS185, ABS(BQ185))</f>
        <v>0</v>
      </c>
      <c r="BQ185" s="715"/>
      <c r="BR185" s="715"/>
      <c r="BS185" s="715"/>
      <c r="BT185" s="713"/>
      <c r="BU185" s="713"/>
      <c r="BV185" s="713"/>
      <c r="BW185" s="721" t="b">
        <v>0</v>
      </c>
      <c r="BX185" s="721" t="b">
        <v>0</v>
      </c>
      <c r="BY185" s="713" t="e">
        <f>(BT185-BI185)/BI185</f>
        <v>#DIV/0!</v>
      </c>
      <c r="BZ185" s="713" t="e">
        <f>(BS185-BH185)/BH185</f>
        <v>#DIV/0!</v>
      </c>
      <c r="CA185" s="716">
        <f>SUM(CD185, ABS(CB185))</f>
        <v>0</v>
      </c>
      <c r="CB185" s="715"/>
      <c r="CC185" s="715"/>
      <c r="CD185" s="715"/>
      <c r="CE185" s="713"/>
      <c r="CF185" s="713"/>
      <c r="CG185" s="713"/>
      <c r="CH185" s="721" t="b">
        <v>0</v>
      </c>
      <c r="CI185" s="721" t="b">
        <v>0</v>
      </c>
      <c r="CJ185" s="713" t="e">
        <f>(CE185-BV185)/BV185</f>
        <v>#DIV/0!</v>
      </c>
      <c r="CK185" s="713" t="e">
        <f>(CD185-BS185)/BS185</f>
        <v>#DIV/0!</v>
      </c>
      <c r="CL185" s="716">
        <f>SUM(CO185, ABS(CM185))</f>
        <v>0</v>
      </c>
      <c r="CM185" s="715"/>
      <c r="CN185" s="715"/>
      <c r="CO185" s="715"/>
      <c r="CP185" s="713"/>
      <c r="CQ185" s="713"/>
      <c r="CR185" s="713"/>
      <c r="CS185" s="721" t="b">
        <v>0</v>
      </c>
      <c r="CT185" s="721" t="b">
        <v>0</v>
      </c>
      <c r="CU185" s="713" t="e">
        <f>(CP185-CE185)/CE185</f>
        <v>#DIV/0!</v>
      </c>
      <c r="CV185" s="713" t="e">
        <f>(CO185-CD185)/CD185</f>
        <v>#DIV/0!</v>
      </c>
      <c r="CW185" s="716">
        <f>SUM(CZ185, ABS(CX185))</f>
        <v>0</v>
      </c>
      <c r="CX185" s="715"/>
      <c r="CY185" s="715"/>
      <c r="CZ185" s="715"/>
      <c r="DA185" s="713"/>
      <c r="DB185" s="713"/>
      <c r="DC185" s="713"/>
      <c r="DD185" s="721" t="b">
        <v>0</v>
      </c>
      <c r="DE185" s="721" t="b">
        <v>0</v>
      </c>
      <c r="DF185" s="713" t="e">
        <f>(DA185-CR185)/CR185</f>
        <v>#DIV/0!</v>
      </c>
      <c r="DG185" s="713" t="e">
        <f>(CZ185-CO185)/CO185</f>
        <v>#DIV/0!</v>
      </c>
      <c r="DH185" s="716">
        <f>SUM(DK185, ABS(DI185))</f>
        <v>0</v>
      </c>
      <c r="DI185" s="715"/>
      <c r="DJ185" s="715"/>
      <c r="DK185" s="715"/>
      <c r="DL185" s="713"/>
      <c r="DM185" s="713"/>
      <c r="DN185" s="713"/>
      <c r="DO185" s="721" t="b">
        <v>0</v>
      </c>
      <c r="DP185" s="721" t="b">
        <v>0</v>
      </c>
      <c r="DQ185" s="713" t="e">
        <f>(DL185-DA185)/DA185</f>
        <v>#DIV/0!</v>
      </c>
      <c r="DR185" s="713" t="e">
        <f>(DK185-CZ185)/CZ185</f>
        <v>#DIV/0!</v>
      </c>
      <c r="DS185" s="716">
        <f>SUM(DV185, ABS(DT185))</f>
        <v>0</v>
      </c>
      <c r="DT185" s="715"/>
      <c r="DU185" s="715"/>
      <c r="DV185" s="715"/>
      <c r="DW185" s="713"/>
      <c r="DX185" s="713"/>
      <c r="DY185" s="713"/>
      <c r="DZ185" s="721" t="b">
        <v>0</v>
      </c>
      <c r="EA185" s="721" t="b">
        <v>0</v>
      </c>
      <c r="EB185" s="713" t="e">
        <f>(DW185-DN185)/DN185</f>
        <v>#DIV/0!</v>
      </c>
      <c r="EC185" s="713" t="e">
        <f>(DV185-DK185)/DK185</f>
        <v>#DIV/0!</v>
      </c>
      <c r="ED185" s="716">
        <f>SUM(EG185, ABS(EE185))</f>
        <v>0</v>
      </c>
      <c r="EE185" s="715"/>
      <c r="EF185" s="715"/>
      <c r="EG185" s="715"/>
      <c r="EH185" s="713"/>
      <c r="EI185" s="713"/>
      <c r="EJ185" s="713"/>
      <c r="EK185" s="721" t="b">
        <v>0</v>
      </c>
      <c r="EL185" s="721" t="b">
        <v>0</v>
      </c>
      <c r="EM185" s="713" t="e">
        <f>(EH185-DW185)/DW185</f>
        <v>#DIV/0!</v>
      </c>
      <c r="EN185" s="713" t="e">
        <f>(EG185-DV185)/DV185</f>
        <v>#DIV/0!</v>
      </c>
      <c r="EO185" s="716">
        <f>SUM(ER185, ABS(EP185))</f>
        <v>0</v>
      </c>
      <c r="EP185" s="715"/>
      <c r="EQ185" s="715"/>
      <c r="ER185" s="715"/>
      <c r="ES185" s="713"/>
      <c r="ET185" s="713"/>
      <c r="EU185" s="713"/>
      <c r="EV185" s="721" t="b">
        <v>0</v>
      </c>
      <c r="EW185" s="721" t="b">
        <v>0</v>
      </c>
      <c r="EX185" s="713" t="e">
        <f>(ES185-EJ185)/EJ185</f>
        <v>#DIV/0!</v>
      </c>
      <c r="EY185" s="713" t="e">
        <f>(ER185-EG185)/EG185</f>
        <v>#DIV/0!</v>
      </c>
      <c r="EZ185" s="700"/>
      <c r="FA185" s="700"/>
      <c r="FB185" s="700"/>
      <c r="FC185" s="700"/>
      <c r="FD185" s="700"/>
      <c r="FE185" s="700"/>
      <c r="FF185" s="700"/>
      <c r="FG185" s="700"/>
      <c r="FH185" s="700"/>
      <c r="FI185" s="700"/>
      <c r="FJ185" s="700"/>
      <c r="FK185" s="700"/>
      <c r="FL185" s="700"/>
      <c r="FM185" s="700"/>
      <c r="FN185" s="700"/>
      <c r="FO185" s="700"/>
      <c r="FP185" s="701"/>
    </row>
    <row r="186" spans="1:221" ht="15">
      <c r="C186" s="728" t="s">
        <v>664</v>
      </c>
      <c r="D186" s="729">
        <v>1450023</v>
      </c>
      <c r="E186" s="729">
        <v>22</v>
      </c>
      <c r="F186" s="729" t="s">
        <v>665</v>
      </c>
      <c r="G186" s="730" t="s">
        <v>666</v>
      </c>
      <c r="H186" s="729" t="s">
        <v>660</v>
      </c>
      <c r="I186" s="731" t="s">
        <v>661</v>
      </c>
      <c r="J186" s="729"/>
      <c r="K186" s="729"/>
      <c r="L186" s="729"/>
      <c r="M186" s="732"/>
      <c r="N186" s="733">
        <v>138</v>
      </c>
      <c r="O186" s="732"/>
      <c r="P186" s="734"/>
      <c r="Q186" s="734"/>
      <c r="R186" s="734"/>
      <c r="S186" s="732"/>
      <c r="T186" s="732"/>
      <c r="U186" s="732"/>
      <c r="V186" s="732"/>
      <c r="W186" s="732"/>
      <c r="X186" s="735">
        <f t="shared" si="18"/>
        <v>315.08</v>
      </c>
      <c r="Y186" s="736">
        <v>-15.12</v>
      </c>
      <c r="Z186" s="736">
        <v>0</v>
      </c>
      <c r="AA186" s="736">
        <v>299.95999999999998</v>
      </c>
      <c r="AB186" s="737">
        <v>35</v>
      </c>
      <c r="AC186" s="738">
        <v>46091</v>
      </c>
      <c r="AD186" s="737" t="s">
        <v>662</v>
      </c>
      <c r="AE186" s="739" t="b">
        <v>1</v>
      </c>
      <c r="AF186" s="739" t="b">
        <v>1</v>
      </c>
      <c r="AG186" s="740" t="e">
        <f>(Z186-S186)/S186</f>
        <v>#DIV/0!</v>
      </c>
      <c r="AH186" s="741" t="e">
        <f>(Y186-R186)/R186</f>
        <v>#DIV/0!</v>
      </c>
      <c r="AI186" s="735">
        <f t="shared" si="19"/>
        <v>151.4</v>
      </c>
      <c r="AJ186" s="742">
        <v>-7.27</v>
      </c>
      <c r="AK186" s="742">
        <v>0</v>
      </c>
      <c r="AL186" s="742">
        <v>144.13</v>
      </c>
      <c r="AM186" s="737">
        <v>19</v>
      </c>
      <c r="AN186" s="738">
        <v>46122</v>
      </c>
      <c r="AO186" s="737" t="s">
        <v>663</v>
      </c>
      <c r="AP186" s="739" t="b">
        <v>1</v>
      </c>
      <c r="AQ186" s="739" t="b">
        <v>1</v>
      </c>
      <c r="AR186" s="741">
        <f t="shared" si="17"/>
        <v>-0.45714285714285713</v>
      </c>
      <c r="AS186" s="740">
        <f t="shared" si="20"/>
        <v>0</v>
      </c>
      <c r="AT186" s="735">
        <f t="shared" si="20"/>
        <v>0</v>
      </c>
      <c r="AU186" s="734"/>
      <c r="AV186" s="734"/>
      <c r="AW186" s="734"/>
      <c r="AX186" s="732"/>
      <c r="AY186" s="732"/>
      <c r="AZ186" s="732"/>
      <c r="BA186" s="739" t="b">
        <v>0</v>
      </c>
      <c r="BB186" s="739" t="b">
        <v>0</v>
      </c>
      <c r="BC186" s="732">
        <f>(AX186-AM186)/AM186</f>
        <v>-1</v>
      </c>
      <c r="BD186" s="732">
        <f>(AW186-AL186)/AL186</f>
        <v>-1</v>
      </c>
      <c r="BE186" s="735">
        <f>SUM(BH186, ABS(BF186))</f>
        <v>0</v>
      </c>
      <c r="BF186" s="734"/>
      <c r="BG186" s="734"/>
      <c r="BH186" s="734"/>
      <c r="BI186" s="732"/>
      <c r="BJ186" s="732"/>
      <c r="BK186" s="732"/>
      <c r="BL186" s="739" t="b">
        <v>0</v>
      </c>
      <c r="BM186" s="739" t="b">
        <v>0</v>
      </c>
      <c r="BN186" s="732" t="e">
        <f>(BI186-AZ186)/AZ186</f>
        <v>#DIV/0!</v>
      </c>
      <c r="BO186" s="732" t="e">
        <f>(BH186-AW186)/AW186</f>
        <v>#DIV/0!</v>
      </c>
      <c r="BP186" s="735">
        <f>SUM(BS186, ABS(BQ186))</f>
        <v>0</v>
      </c>
      <c r="BQ186" s="734"/>
      <c r="BR186" s="734"/>
      <c r="BS186" s="734"/>
      <c r="BT186" s="732"/>
      <c r="BU186" s="732"/>
      <c r="BV186" s="732"/>
      <c r="BW186" s="739" t="b">
        <v>0</v>
      </c>
      <c r="BX186" s="739" t="b">
        <v>0</v>
      </c>
      <c r="BY186" s="732" t="e">
        <f>(BT186-BI186)/BI186</f>
        <v>#DIV/0!</v>
      </c>
      <c r="BZ186" s="732" t="e">
        <f>(BS186-BH186)/BH186</f>
        <v>#DIV/0!</v>
      </c>
      <c r="CA186" s="735">
        <f>SUM(CD186, ABS(CB186))</f>
        <v>0</v>
      </c>
      <c r="CB186" s="734"/>
      <c r="CC186" s="734"/>
      <c r="CD186" s="734"/>
      <c r="CE186" s="732"/>
      <c r="CF186" s="732"/>
      <c r="CG186" s="732"/>
      <c r="CH186" s="739" t="b">
        <v>0</v>
      </c>
      <c r="CI186" s="739" t="b">
        <v>0</v>
      </c>
      <c r="CJ186" s="732" t="e">
        <f>(CE186-BV186)/BV186</f>
        <v>#DIV/0!</v>
      </c>
      <c r="CK186" s="732" t="e">
        <f>(CD186-BS186)/BS186</f>
        <v>#DIV/0!</v>
      </c>
      <c r="CL186" s="735">
        <f>SUM(CO186, ABS(CM186))</f>
        <v>0</v>
      </c>
      <c r="CM186" s="734"/>
      <c r="CN186" s="734"/>
      <c r="CO186" s="734"/>
      <c r="CP186" s="732"/>
      <c r="CQ186" s="732"/>
      <c r="CR186" s="732"/>
      <c r="CS186" s="739" t="b">
        <v>0</v>
      </c>
      <c r="CT186" s="739" t="b">
        <v>0</v>
      </c>
      <c r="CU186" s="732" t="e">
        <f>(CP186-CE186)/CE186</f>
        <v>#DIV/0!</v>
      </c>
      <c r="CV186" s="732" t="e">
        <f>(CO186-CD186)/CD186</f>
        <v>#DIV/0!</v>
      </c>
      <c r="CW186" s="735">
        <f>SUM(CZ186, ABS(CX186))</f>
        <v>0</v>
      </c>
      <c r="CX186" s="734"/>
      <c r="CY186" s="734"/>
      <c r="CZ186" s="734"/>
      <c r="DA186" s="732"/>
      <c r="DB186" s="732"/>
      <c r="DC186" s="732"/>
      <c r="DD186" s="739" t="b">
        <v>0</v>
      </c>
      <c r="DE186" s="739" t="b">
        <v>0</v>
      </c>
      <c r="DF186" s="732" t="e">
        <f>(DA186-CR186)/CR186</f>
        <v>#DIV/0!</v>
      </c>
      <c r="DG186" s="732" t="e">
        <f>(CZ186-CO186)/CO186</f>
        <v>#DIV/0!</v>
      </c>
      <c r="DH186" s="735">
        <f>SUM(DK186, ABS(DI186))</f>
        <v>0</v>
      </c>
      <c r="DI186" s="734"/>
      <c r="DJ186" s="734"/>
      <c r="DK186" s="734"/>
      <c r="DL186" s="732"/>
      <c r="DM186" s="732"/>
      <c r="DN186" s="732"/>
      <c r="DO186" s="739" t="b">
        <v>0</v>
      </c>
      <c r="DP186" s="739" t="b">
        <v>0</v>
      </c>
      <c r="DQ186" s="732" t="e">
        <f>(DL186-DA186)/DA186</f>
        <v>#DIV/0!</v>
      </c>
      <c r="DR186" s="732" t="e">
        <f>(DK186-CZ186)/CZ186</f>
        <v>#DIV/0!</v>
      </c>
      <c r="DS186" s="735">
        <f>SUM(DV186, ABS(DT186))</f>
        <v>0</v>
      </c>
      <c r="DT186" s="734"/>
      <c r="DU186" s="734"/>
      <c r="DV186" s="734"/>
      <c r="DW186" s="732"/>
      <c r="DX186" s="732"/>
      <c r="DY186" s="732"/>
      <c r="DZ186" s="739" t="b">
        <v>0</v>
      </c>
      <c r="EA186" s="739" t="b">
        <v>0</v>
      </c>
      <c r="EB186" s="732" t="e">
        <f>(DW186-DN186)/DN186</f>
        <v>#DIV/0!</v>
      </c>
      <c r="EC186" s="732" t="e">
        <f>(DV186-DK186)/DK186</f>
        <v>#DIV/0!</v>
      </c>
      <c r="ED186" s="735">
        <f>SUM(EG186, ABS(EE186))</f>
        <v>0</v>
      </c>
      <c r="EE186" s="734"/>
      <c r="EF186" s="734"/>
      <c r="EG186" s="734"/>
      <c r="EH186" s="732"/>
      <c r="EI186" s="732"/>
      <c r="EJ186" s="732"/>
      <c r="EK186" s="739" t="b">
        <v>0</v>
      </c>
      <c r="EL186" s="739" t="b">
        <v>0</v>
      </c>
      <c r="EM186" s="732" t="e">
        <f>(EH186-DW186)/DW186</f>
        <v>#DIV/0!</v>
      </c>
      <c r="EN186" s="732" t="e">
        <f>(EG186-DV186)/DV186</f>
        <v>#DIV/0!</v>
      </c>
      <c r="EO186" s="735">
        <f>SUM(ER186, ABS(EP186))</f>
        <v>0</v>
      </c>
      <c r="EP186" s="734"/>
      <c r="EQ186" s="734"/>
      <c r="ER186" s="734"/>
      <c r="ES186" s="732"/>
      <c r="ET186" s="732"/>
      <c r="EU186" s="732"/>
      <c r="EV186" s="739" t="b">
        <v>0</v>
      </c>
      <c r="EW186" s="739" t="b">
        <v>0</v>
      </c>
      <c r="EX186" s="732" t="e">
        <f>(ES186-EJ186)/EJ186</f>
        <v>#DIV/0!</v>
      </c>
      <c r="EY186" s="732" t="e">
        <f>(ER186-EG186)/EG186</f>
        <v>#DIV/0!</v>
      </c>
    </row>
    <row r="187" spans="1:221" ht="15">
      <c r="C187" s="745"/>
      <c r="D187" s="445"/>
      <c r="E187" s="445"/>
      <c r="F187" s="445"/>
      <c r="G187" s="705"/>
      <c r="H187" s="445"/>
      <c r="I187" s="445"/>
      <c r="J187" s="445"/>
      <c r="K187" s="445"/>
      <c r="L187" s="445"/>
      <c r="M187" s="746"/>
      <c r="N187" s="747"/>
      <c r="O187" s="746"/>
      <c r="P187" s="748"/>
      <c r="Q187" s="748"/>
      <c r="R187" s="748"/>
      <c r="S187" s="746"/>
      <c r="T187" s="746"/>
      <c r="U187" s="746"/>
      <c r="V187" s="746"/>
      <c r="W187" s="746"/>
      <c r="X187" s="455"/>
      <c r="Y187" s="455"/>
      <c r="Z187" s="455"/>
      <c r="AA187" s="455"/>
      <c r="AB187" s="749"/>
      <c r="AC187" s="704"/>
      <c r="AD187" s="704"/>
      <c r="AE187" s="704"/>
      <c r="AF187" s="704"/>
      <c r="AG187" s="410"/>
      <c r="AH187" s="410"/>
      <c r="AI187" s="455"/>
      <c r="AJ187" s="455"/>
      <c r="AK187" s="455"/>
      <c r="AL187" s="455"/>
      <c r="AM187" s="456"/>
      <c r="AN187" s="457"/>
      <c r="AO187" s="456"/>
      <c r="AP187" s="704"/>
      <c r="AQ187" s="704"/>
      <c r="AR187" s="410" t="e">
        <f t="shared" si="17"/>
        <v>#DIV/0!</v>
      </c>
      <c r="AS187" s="410"/>
      <c r="AT187" s="455"/>
      <c r="AU187" s="748"/>
      <c r="AV187" s="748"/>
      <c r="AW187" s="748"/>
      <c r="AX187" s="746"/>
      <c r="AY187" s="746"/>
      <c r="AZ187" s="746"/>
      <c r="BA187" s="704"/>
      <c r="BB187" s="704"/>
      <c r="BC187" s="746"/>
      <c r="BD187" s="746"/>
      <c r="BE187" s="455"/>
      <c r="BF187" s="748"/>
      <c r="BG187" s="748"/>
      <c r="BH187" s="748"/>
      <c r="BI187" s="746"/>
      <c r="BJ187" s="746"/>
      <c r="BK187" s="746"/>
      <c r="BL187" s="704"/>
      <c r="BM187" s="704"/>
      <c r="BN187" s="746"/>
      <c r="BO187" s="746"/>
      <c r="BP187" s="455"/>
      <c r="BQ187" s="748"/>
      <c r="BR187" s="748"/>
      <c r="BS187" s="748"/>
      <c r="BT187" s="746"/>
      <c r="BU187" s="746"/>
      <c r="BV187" s="746"/>
      <c r="BW187" s="704"/>
      <c r="BX187" s="704"/>
      <c r="BY187" s="746"/>
      <c r="BZ187" s="746"/>
      <c r="CA187" s="455"/>
      <c r="CB187" s="748"/>
      <c r="CC187" s="748"/>
      <c r="CD187" s="748"/>
      <c r="CE187" s="746"/>
      <c r="CF187" s="746"/>
      <c r="CG187" s="746"/>
      <c r="CH187" s="704"/>
      <c r="CI187" s="704"/>
      <c r="CJ187" s="746"/>
      <c r="CK187" s="746"/>
      <c r="CL187" s="455"/>
      <c r="CM187" s="748"/>
      <c r="CN187" s="748"/>
      <c r="CO187" s="748"/>
      <c r="CP187" s="746"/>
      <c r="CQ187" s="746"/>
      <c r="CR187" s="746"/>
      <c r="CS187" s="704"/>
      <c r="CT187" s="704"/>
      <c r="CU187" s="746"/>
      <c r="CV187" s="746"/>
      <c r="CW187" s="455"/>
      <c r="CX187" s="748"/>
      <c r="CY187" s="748"/>
      <c r="CZ187" s="748"/>
      <c r="DA187" s="746"/>
      <c r="DB187" s="746"/>
      <c r="DC187" s="746"/>
      <c r="DD187" s="704"/>
      <c r="DE187" s="704"/>
      <c r="DF187" s="746"/>
      <c r="DG187" s="746"/>
      <c r="DH187" s="455"/>
      <c r="DI187" s="748"/>
      <c r="DJ187" s="748"/>
      <c r="DK187" s="748"/>
      <c r="DL187" s="746"/>
      <c r="DM187" s="746"/>
      <c r="DN187" s="746"/>
      <c r="DO187" s="704"/>
      <c r="DP187" s="704"/>
      <c r="DQ187" s="746"/>
      <c r="DR187" s="746"/>
      <c r="DS187" s="455"/>
      <c r="DT187" s="748"/>
      <c r="DU187" s="748"/>
      <c r="DV187" s="748"/>
      <c r="DW187" s="746"/>
      <c r="DX187" s="746"/>
      <c r="DY187" s="746"/>
      <c r="DZ187" s="704"/>
      <c r="EA187" s="704"/>
      <c r="EB187" s="746"/>
      <c r="EC187" s="746"/>
      <c r="ED187" s="455"/>
      <c r="EE187" s="748"/>
      <c r="EF187" s="748"/>
      <c r="EG187" s="748"/>
      <c r="EH187" s="746"/>
      <c r="EI187" s="746"/>
      <c r="EJ187" s="746"/>
      <c r="EK187" s="704"/>
      <c r="EL187" s="704"/>
      <c r="EM187" s="746"/>
      <c r="EN187" s="746"/>
      <c r="EO187" s="455"/>
      <c r="EP187" s="748"/>
      <c r="EQ187" s="748"/>
      <c r="ER187" s="748"/>
      <c r="ES187" s="746"/>
      <c r="ET187" s="746"/>
      <c r="EU187" s="746"/>
      <c r="EV187" s="704"/>
      <c r="EW187" s="704"/>
      <c r="EX187" s="746"/>
      <c r="EY187" s="746"/>
    </row>
    <row r="188" spans="1:221" s="175" customFormat="1" ht="15">
      <c r="A188" s="184"/>
      <c r="C188" s="418"/>
      <c r="D188" s="187"/>
      <c r="E188" s="187"/>
      <c r="F188" s="187"/>
      <c r="G188" s="784"/>
      <c r="H188" s="187"/>
      <c r="I188" s="187"/>
      <c r="J188" s="187"/>
      <c r="K188" s="187"/>
      <c r="L188" s="187"/>
      <c r="M188" s="188"/>
      <c r="N188" s="785"/>
      <c r="O188" s="188"/>
      <c r="P188" s="365"/>
      <c r="Q188" s="365"/>
      <c r="R188" s="365"/>
      <c r="S188" s="188"/>
      <c r="T188" s="188"/>
      <c r="U188" s="188"/>
      <c r="V188" s="188"/>
      <c r="W188" s="188"/>
      <c r="X188" s="372"/>
      <c r="Y188" s="372"/>
      <c r="Z188" s="372"/>
      <c r="AA188" s="372"/>
      <c r="AB188" s="786"/>
      <c r="AC188" s="444"/>
      <c r="AD188" s="444"/>
      <c r="AE188" s="444"/>
      <c r="AF188" s="444"/>
      <c r="AG188" s="393"/>
      <c r="AH188" s="393"/>
      <c r="AI188" s="372"/>
      <c r="AJ188" s="372"/>
      <c r="AK188" s="372"/>
      <c r="AL188" s="372"/>
      <c r="AM188" s="189"/>
      <c r="AN188" s="417"/>
      <c r="AO188" s="189"/>
      <c r="AP188" s="444"/>
      <c r="AQ188" s="444"/>
      <c r="AR188" s="393" t="e">
        <f t="shared" si="17"/>
        <v>#DIV/0!</v>
      </c>
      <c r="AS188" s="393"/>
      <c r="AT188" s="372"/>
      <c r="AU188" s="365"/>
      <c r="AV188" s="365"/>
      <c r="AW188" s="365"/>
      <c r="AX188" s="188"/>
      <c r="AY188" s="188"/>
      <c r="AZ188" s="188"/>
      <c r="BA188" s="444"/>
      <c r="BB188" s="444"/>
      <c r="BC188" s="188"/>
      <c r="BD188" s="188"/>
      <c r="BE188" s="372"/>
      <c r="BF188" s="365"/>
      <c r="BG188" s="365"/>
      <c r="BH188" s="365"/>
      <c r="BI188" s="188"/>
      <c r="BJ188" s="188"/>
      <c r="BK188" s="188"/>
      <c r="BL188" s="444"/>
      <c r="BM188" s="444"/>
      <c r="BN188" s="188"/>
      <c r="BO188" s="188"/>
      <c r="BP188" s="372"/>
      <c r="BQ188" s="365"/>
      <c r="BR188" s="365"/>
      <c r="BS188" s="365"/>
      <c r="BT188" s="188"/>
      <c r="BU188" s="188"/>
      <c r="BV188" s="188"/>
      <c r="BW188" s="444"/>
      <c r="BX188" s="444"/>
      <c r="BY188" s="188"/>
      <c r="BZ188" s="188"/>
      <c r="CA188" s="372"/>
      <c r="CB188" s="365"/>
      <c r="CC188" s="365"/>
      <c r="CD188" s="365"/>
      <c r="CE188" s="188"/>
      <c r="CF188" s="188"/>
      <c r="CG188" s="188"/>
      <c r="CH188" s="444"/>
      <c r="CI188" s="444"/>
      <c r="CJ188" s="188"/>
      <c r="CK188" s="188"/>
      <c r="CL188" s="372"/>
      <c r="CM188" s="365"/>
      <c r="CN188" s="365"/>
      <c r="CO188" s="365"/>
      <c r="CP188" s="188"/>
      <c r="CQ188" s="188"/>
      <c r="CR188" s="188"/>
      <c r="CS188" s="444"/>
      <c r="CT188" s="444"/>
      <c r="CU188" s="188"/>
      <c r="CV188" s="188"/>
      <c r="CW188" s="372"/>
      <c r="CX188" s="365"/>
      <c r="CY188" s="365"/>
      <c r="CZ188" s="365"/>
      <c r="DA188" s="188"/>
      <c r="DB188" s="188"/>
      <c r="DC188" s="188"/>
      <c r="DD188" s="444"/>
      <c r="DE188" s="444"/>
      <c r="DF188" s="188"/>
      <c r="DG188" s="188"/>
      <c r="DH188" s="372"/>
      <c r="DI188" s="365"/>
      <c r="DJ188" s="365"/>
      <c r="DK188" s="365"/>
      <c r="DL188" s="188"/>
      <c r="DM188" s="188"/>
      <c r="DN188" s="188"/>
      <c r="DO188" s="444"/>
      <c r="DP188" s="444"/>
      <c r="DQ188" s="188"/>
      <c r="DR188" s="188"/>
      <c r="DS188" s="372"/>
      <c r="DT188" s="365"/>
      <c r="DU188" s="365"/>
      <c r="DV188" s="365"/>
      <c r="DW188" s="188"/>
      <c r="DX188" s="188"/>
      <c r="DY188" s="188"/>
      <c r="DZ188" s="444"/>
      <c r="EA188" s="444"/>
      <c r="EB188" s="188"/>
      <c r="EC188" s="188"/>
      <c r="ED188" s="372"/>
      <c r="EE188" s="365"/>
      <c r="EF188" s="365"/>
      <c r="EG188" s="365"/>
      <c r="EH188" s="188"/>
      <c r="EI188" s="188"/>
      <c r="EJ188" s="188"/>
      <c r="EK188" s="444"/>
      <c r="EL188" s="444"/>
      <c r="EM188" s="188"/>
      <c r="EN188" s="188"/>
      <c r="EO188" s="372"/>
      <c r="EP188" s="365"/>
      <c r="EQ188" s="365"/>
      <c r="ER188" s="365"/>
      <c r="ES188" s="188"/>
      <c r="ET188" s="188"/>
      <c r="EU188" s="188"/>
      <c r="EV188" s="444"/>
      <c r="EW188" s="444"/>
      <c r="EX188" s="188"/>
      <c r="EY188" s="188"/>
      <c r="EZ188" s="764"/>
      <c r="FA188" s="764"/>
      <c r="FB188" s="764"/>
      <c r="FC188" s="764"/>
      <c r="FD188" s="764"/>
      <c r="FE188" s="764"/>
      <c r="FF188" s="764"/>
      <c r="FG188" s="764"/>
      <c r="FH188" s="764"/>
      <c r="FI188" s="764"/>
      <c r="FJ188" s="764"/>
      <c r="FK188" s="764"/>
      <c r="FL188" s="764"/>
      <c r="FM188" s="764"/>
      <c r="FN188" s="764"/>
      <c r="FO188" s="765"/>
      <c r="FP188" s="706"/>
      <c r="FQ188" s="706"/>
      <c r="FR188" s="706"/>
      <c r="FS188" s="706"/>
    </row>
    <row r="189" spans="1:221" s="175" customFormat="1" ht="15">
      <c r="A189" s="184"/>
      <c r="C189" s="750" t="s">
        <v>667</v>
      </c>
      <c r="D189" s="751">
        <v>1450024</v>
      </c>
      <c r="E189" s="751">
        <v>23</v>
      </c>
      <c r="F189" s="751" t="s">
        <v>668</v>
      </c>
      <c r="G189" s="752" t="s">
        <v>669</v>
      </c>
      <c r="H189" s="753" t="s">
        <v>169</v>
      </c>
      <c r="I189" s="751" t="s">
        <v>170</v>
      </c>
      <c r="J189" s="751"/>
      <c r="K189" s="751"/>
      <c r="L189" s="751"/>
      <c r="M189" s="754"/>
      <c r="N189" s="755">
        <v>140</v>
      </c>
      <c r="O189" s="754"/>
      <c r="P189" s="756"/>
      <c r="Q189" s="756"/>
      <c r="R189" s="756"/>
      <c r="S189" s="754"/>
      <c r="T189" s="754"/>
      <c r="U189" s="754"/>
      <c r="V189" s="754"/>
      <c r="W189" s="754"/>
      <c r="X189" s="757">
        <f t="shared" si="18"/>
        <v>24382.73</v>
      </c>
      <c r="Y189" s="758">
        <v>1170.3699999999999</v>
      </c>
      <c r="Z189" s="757">
        <v>0</v>
      </c>
      <c r="AA189" s="757">
        <v>23212.36</v>
      </c>
      <c r="AB189" s="753">
        <v>845</v>
      </c>
      <c r="AC189" s="759">
        <v>46091</v>
      </c>
      <c r="AD189" s="753" t="s">
        <v>670</v>
      </c>
      <c r="AE189" s="760" t="b">
        <v>1</v>
      </c>
      <c r="AF189" s="760" t="b">
        <v>1</v>
      </c>
      <c r="AG189" s="761" t="e">
        <f>(Z189-S189)/S189</f>
        <v>#DIV/0!</v>
      </c>
      <c r="AH189" s="761" t="e">
        <f>(Y189-R189)/R189</f>
        <v>#DIV/0!</v>
      </c>
      <c r="AI189" s="757">
        <f t="shared" si="19"/>
        <v>25493.64</v>
      </c>
      <c r="AJ189" s="762">
        <v>-1223.69</v>
      </c>
      <c r="AK189" s="762">
        <v>0</v>
      </c>
      <c r="AL189" s="762">
        <v>24269.95</v>
      </c>
      <c r="AM189" s="1066">
        <v>842</v>
      </c>
      <c r="AN189" s="759">
        <v>46122</v>
      </c>
      <c r="AO189" s="763" t="s">
        <v>671</v>
      </c>
      <c r="AP189" s="760" t="b">
        <v>1</v>
      </c>
      <c r="AQ189" s="760" t="b">
        <v>1</v>
      </c>
      <c r="AR189" s="761">
        <f t="shared" si="17"/>
        <v>-3.5502958579881655E-3</v>
      </c>
      <c r="AS189" s="761">
        <f t="shared" si="20"/>
        <v>0</v>
      </c>
      <c r="AT189" s="757">
        <f t="shared" si="20"/>
        <v>0</v>
      </c>
      <c r="AU189" s="756"/>
      <c r="AV189" s="756"/>
      <c r="AW189" s="756"/>
      <c r="AX189" s="754"/>
      <c r="AY189" s="754"/>
      <c r="AZ189" s="754"/>
      <c r="BA189" s="760" t="b">
        <v>0</v>
      </c>
      <c r="BB189" s="760" t="b">
        <v>0</v>
      </c>
      <c r="BC189" s="754"/>
      <c r="BD189" s="754"/>
      <c r="BE189" s="757">
        <f>SUM(BH189, ABS(BF189))</f>
        <v>0</v>
      </c>
      <c r="BF189" s="756"/>
      <c r="BG189" s="756"/>
      <c r="BH189" s="756"/>
      <c r="BI189" s="754"/>
      <c r="BJ189" s="754"/>
      <c r="BK189" s="754"/>
      <c r="BL189" s="760" t="b">
        <v>0</v>
      </c>
      <c r="BM189" s="760" t="b">
        <v>0</v>
      </c>
      <c r="BN189" s="754"/>
      <c r="BO189" s="754"/>
      <c r="BP189" s="757">
        <f>SUM(BS189, ABS(BQ189))</f>
        <v>0</v>
      </c>
      <c r="BQ189" s="756"/>
      <c r="BR189" s="756"/>
      <c r="BS189" s="756"/>
      <c r="BT189" s="754"/>
      <c r="BU189" s="754"/>
      <c r="BV189" s="754"/>
      <c r="BW189" s="760" t="b">
        <v>0</v>
      </c>
      <c r="BX189" s="760" t="b">
        <v>0</v>
      </c>
      <c r="BY189" s="754"/>
      <c r="BZ189" s="754"/>
      <c r="CA189" s="757">
        <f>SUM(CD189, ABS(CB189))</f>
        <v>0</v>
      </c>
      <c r="CB189" s="756"/>
      <c r="CC189" s="756"/>
      <c r="CD189" s="756"/>
      <c r="CE189" s="754"/>
      <c r="CF189" s="754"/>
      <c r="CG189" s="754"/>
      <c r="CH189" s="760" t="b">
        <v>0</v>
      </c>
      <c r="CI189" s="760" t="b">
        <v>0</v>
      </c>
      <c r="CJ189" s="754"/>
      <c r="CK189" s="754"/>
      <c r="CL189" s="757">
        <f>SUM(CO189, ABS(CM189))</f>
        <v>0</v>
      </c>
      <c r="CM189" s="756"/>
      <c r="CN189" s="756"/>
      <c r="CO189" s="756"/>
      <c r="CP189" s="754"/>
      <c r="CQ189" s="754"/>
      <c r="CR189" s="754"/>
      <c r="CS189" s="760" t="b">
        <v>0</v>
      </c>
      <c r="CT189" s="760" t="b">
        <v>0</v>
      </c>
      <c r="CU189" s="754"/>
      <c r="CV189" s="754"/>
      <c r="CW189" s="757">
        <f>SUM(CZ189, ABS(CX189))</f>
        <v>0</v>
      </c>
      <c r="CX189" s="756"/>
      <c r="CY189" s="756"/>
      <c r="CZ189" s="756"/>
      <c r="DA189" s="754"/>
      <c r="DB189" s="754"/>
      <c r="DC189" s="754"/>
      <c r="DD189" s="760" t="b">
        <v>0</v>
      </c>
      <c r="DE189" s="760" t="b">
        <v>0</v>
      </c>
      <c r="DF189" s="754"/>
      <c r="DG189" s="754"/>
      <c r="DH189" s="757">
        <f>SUM(DK189, ABS(DI189))</f>
        <v>0</v>
      </c>
      <c r="DI189" s="756"/>
      <c r="DJ189" s="756"/>
      <c r="DK189" s="756"/>
      <c r="DL189" s="754"/>
      <c r="DM189" s="754"/>
      <c r="DN189" s="754"/>
      <c r="DO189" s="760" t="b">
        <v>0</v>
      </c>
      <c r="DP189" s="760" t="b">
        <v>0</v>
      </c>
      <c r="DQ189" s="754"/>
      <c r="DR189" s="754"/>
      <c r="DS189" s="757">
        <f>SUM(DV189, ABS(DT189))</f>
        <v>0</v>
      </c>
      <c r="DT189" s="756"/>
      <c r="DU189" s="756"/>
      <c r="DV189" s="756"/>
      <c r="DW189" s="754"/>
      <c r="DX189" s="754"/>
      <c r="DY189" s="754"/>
      <c r="DZ189" s="760" t="b">
        <v>0</v>
      </c>
      <c r="EA189" s="760" t="b">
        <v>0</v>
      </c>
      <c r="EB189" s="754"/>
      <c r="EC189" s="754"/>
      <c r="ED189" s="757">
        <f>SUM(EG189, ABS(EE189))</f>
        <v>0</v>
      </c>
      <c r="EE189" s="756"/>
      <c r="EF189" s="756"/>
      <c r="EG189" s="756"/>
      <c r="EH189" s="754"/>
      <c r="EI189" s="754"/>
      <c r="EJ189" s="754"/>
      <c r="EK189" s="760" t="b">
        <v>0</v>
      </c>
      <c r="EL189" s="760" t="b">
        <v>0</v>
      </c>
      <c r="EM189" s="754"/>
      <c r="EN189" s="754"/>
      <c r="EO189" s="757">
        <f>SUM(ER189, ABS(EP189))</f>
        <v>0</v>
      </c>
      <c r="EP189" s="756"/>
      <c r="EQ189" s="756"/>
      <c r="ER189" s="756"/>
      <c r="ES189" s="754"/>
      <c r="ET189" s="754"/>
      <c r="EU189" s="754"/>
      <c r="EV189" s="760" t="b">
        <v>0</v>
      </c>
      <c r="EW189" s="760" t="b">
        <v>0</v>
      </c>
      <c r="EX189" s="754"/>
      <c r="EY189" s="754"/>
      <c r="EZ189" s="782"/>
      <c r="FA189" s="782"/>
      <c r="FB189" s="782"/>
      <c r="FC189" s="782"/>
      <c r="FD189" s="782"/>
      <c r="FE189" s="782"/>
      <c r="FF189" s="782"/>
      <c r="FG189" s="782"/>
      <c r="FH189" s="782"/>
      <c r="FI189" s="782"/>
      <c r="FJ189" s="782"/>
      <c r="FK189" s="782"/>
      <c r="FL189" s="782"/>
      <c r="FM189" s="782"/>
      <c r="FN189" s="782"/>
      <c r="FO189" s="783"/>
      <c r="FP189" s="706"/>
      <c r="FQ189" s="706"/>
      <c r="FR189" s="706"/>
      <c r="FS189" s="706"/>
    </row>
    <row r="190" spans="1:221" s="175" customFormat="1" ht="15">
      <c r="A190" s="184"/>
      <c r="C190" s="766" t="s">
        <v>672</v>
      </c>
      <c r="D190" s="767">
        <v>1450025</v>
      </c>
      <c r="E190" s="767">
        <v>137</v>
      </c>
      <c r="F190" s="767" t="s">
        <v>673</v>
      </c>
      <c r="G190" s="768" t="s">
        <v>674</v>
      </c>
      <c r="H190" s="769" t="s">
        <v>169</v>
      </c>
      <c r="I190" s="770" t="s">
        <v>170</v>
      </c>
      <c r="J190" s="767"/>
      <c r="K190" s="767"/>
      <c r="L190" s="767"/>
      <c r="M190" s="771"/>
      <c r="N190" s="772">
        <v>140</v>
      </c>
      <c r="O190" s="771"/>
      <c r="P190" s="773"/>
      <c r="Q190" s="773"/>
      <c r="R190" s="773"/>
      <c r="S190" s="771"/>
      <c r="T190" s="771"/>
      <c r="U190" s="771"/>
      <c r="V190" s="771"/>
      <c r="W190" s="771"/>
      <c r="X190" s="774">
        <f t="shared" si="18"/>
        <v>11494.09</v>
      </c>
      <c r="Y190" s="775">
        <v>-551.72</v>
      </c>
      <c r="Z190" s="775">
        <v>0</v>
      </c>
      <c r="AA190" s="775">
        <v>10942.37</v>
      </c>
      <c r="AB190" s="776">
        <v>419</v>
      </c>
      <c r="AC190" s="777">
        <v>46091</v>
      </c>
      <c r="AD190" s="776" t="s">
        <v>670</v>
      </c>
      <c r="AE190" s="778" t="b">
        <v>1</v>
      </c>
      <c r="AF190" s="778" t="b">
        <v>1</v>
      </c>
      <c r="AG190" s="779" t="e">
        <f>(Z190-S190)/S190</f>
        <v>#DIV/0!</v>
      </c>
      <c r="AH190" s="780" t="e">
        <f>(Y190-R190)/R190</f>
        <v>#DIV/0!</v>
      </c>
      <c r="AI190" s="774">
        <f t="shared" si="19"/>
        <v>10934.31</v>
      </c>
      <c r="AJ190" s="781">
        <v>-524.85</v>
      </c>
      <c r="AK190" s="781">
        <v>0</v>
      </c>
      <c r="AL190" s="781">
        <v>10409.459999999999</v>
      </c>
      <c r="AM190" s="776">
        <v>392</v>
      </c>
      <c r="AN190" s="777">
        <v>46122</v>
      </c>
      <c r="AO190" s="776" t="s">
        <v>671</v>
      </c>
      <c r="AP190" s="778" t="b">
        <v>1</v>
      </c>
      <c r="AQ190" s="778" t="b">
        <v>1</v>
      </c>
      <c r="AR190" s="780">
        <f t="shared" si="17"/>
        <v>-6.4439140811455853E-2</v>
      </c>
      <c r="AS190" s="779">
        <f t="shared" si="20"/>
        <v>0</v>
      </c>
      <c r="AT190" s="774">
        <f t="shared" si="20"/>
        <v>0</v>
      </c>
      <c r="AU190" s="773"/>
      <c r="AV190" s="773"/>
      <c r="AW190" s="773"/>
      <c r="AX190" s="771"/>
      <c r="AY190" s="771"/>
      <c r="AZ190" s="771"/>
      <c r="BA190" s="778" t="b">
        <v>0</v>
      </c>
      <c r="BB190" s="778" t="b">
        <v>0</v>
      </c>
      <c r="BC190" s="771"/>
      <c r="BD190" s="771"/>
      <c r="BE190" s="774">
        <f>SUM(BH190, ABS(BF190))</f>
        <v>0</v>
      </c>
      <c r="BF190" s="773"/>
      <c r="BG190" s="773"/>
      <c r="BH190" s="773"/>
      <c r="BI190" s="771"/>
      <c r="BJ190" s="771"/>
      <c r="BK190" s="771"/>
      <c r="BL190" s="778" t="b">
        <v>0</v>
      </c>
      <c r="BM190" s="778" t="b">
        <v>0</v>
      </c>
      <c r="BN190" s="771"/>
      <c r="BO190" s="771"/>
      <c r="BP190" s="774">
        <f>SUM(BS190, ABS(BQ190))</f>
        <v>0</v>
      </c>
      <c r="BQ190" s="773"/>
      <c r="BR190" s="773"/>
      <c r="BS190" s="773"/>
      <c r="BT190" s="771"/>
      <c r="BU190" s="771"/>
      <c r="BV190" s="771"/>
      <c r="BW190" s="778" t="b">
        <v>0</v>
      </c>
      <c r="BX190" s="778" t="b">
        <v>0</v>
      </c>
      <c r="BY190" s="771"/>
      <c r="BZ190" s="771"/>
      <c r="CA190" s="774">
        <f>SUM(CD190, ABS(CB190))</f>
        <v>0</v>
      </c>
      <c r="CB190" s="773"/>
      <c r="CC190" s="773"/>
      <c r="CD190" s="773"/>
      <c r="CE190" s="771"/>
      <c r="CF190" s="771"/>
      <c r="CG190" s="771"/>
      <c r="CH190" s="778" t="b">
        <v>0</v>
      </c>
      <c r="CI190" s="778" t="b">
        <v>0</v>
      </c>
      <c r="CJ190" s="771"/>
      <c r="CK190" s="771"/>
      <c r="CL190" s="774">
        <f>SUM(CO190, ABS(CM190))</f>
        <v>0</v>
      </c>
      <c r="CM190" s="773"/>
      <c r="CN190" s="773"/>
      <c r="CO190" s="773"/>
      <c r="CP190" s="771"/>
      <c r="CQ190" s="771"/>
      <c r="CR190" s="771"/>
      <c r="CS190" s="778" t="b">
        <v>0</v>
      </c>
      <c r="CT190" s="778" t="b">
        <v>0</v>
      </c>
      <c r="CU190" s="771"/>
      <c r="CV190" s="771"/>
      <c r="CW190" s="774">
        <f>SUM(CZ190, ABS(CX190))</f>
        <v>0</v>
      </c>
      <c r="CX190" s="773"/>
      <c r="CY190" s="773"/>
      <c r="CZ190" s="773"/>
      <c r="DA190" s="771"/>
      <c r="DB190" s="771"/>
      <c r="DC190" s="771"/>
      <c r="DD190" s="778" t="b">
        <v>0</v>
      </c>
      <c r="DE190" s="778" t="b">
        <v>0</v>
      </c>
      <c r="DF190" s="771"/>
      <c r="DG190" s="771"/>
      <c r="DH190" s="774">
        <f>SUM(DK190, ABS(DI190))</f>
        <v>0</v>
      </c>
      <c r="DI190" s="773"/>
      <c r="DJ190" s="773"/>
      <c r="DK190" s="773"/>
      <c r="DL190" s="771"/>
      <c r="DM190" s="771"/>
      <c r="DN190" s="771"/>
      <c r="DO190" s="778" t="b">
        <v>0</v>
      </c>
      <c r="DP190" s="778" t="b">
        <v>0</v>
      </c>
      <c r="DQ190" s="771"/>
      <c r="DR190" s="771"/>
      <c r="DS190" s="774">
        <f>SUM(DV190, ABS(DT190))</f>
        <v>0</v>
      </c>
      <c r="DT190" s="773"/>
      <c r="DU190" s="773"/>
      <c r="DV190" s="773"/>
      <c r="DW190" s="771"/>
      <c r="DX190" s="771"/>
      <c r="DY190" s="771"/>
      <c r="DZ190" s="778" t="b">
        <v>0</v>
      </c>
      <c r="EA190" s="778" t="b">
        <v>0</v>
      </c>
      <c r="EB190" s="771"/>
      <c r="EC190" s="771"/>
      <c r="ED190" s="774">
        <f>SUM(EG190, ABS(EE190))</f>
        <v>0</v>
      </c>
      <c r="EE190" s="773"/>
      <c r="EF190" s="773"/>
      <c r="EG190" s="773"/>
      <c r="EH190" s="771"/>
      <c r="EI190" s="771"/>
      <c r="EJ190" s="771"/>
      <c r="EK190" s="778" t="b">
        <v>0</v>
      </c>
      <c r="EL190" s="778" t="b">
        <v>0</v>
      </c>
      <c r="EM190" s="771"/>
      <c r="EN190" s="771"/>
      <c r="EO190" s="774">
        <f>SUM(ER190, ABS(EP190))</f>
        <v>0</v>
      </c>
      <c r="EP190" s="773"/>
      <c r="EQ190" s="773"/>
      <c r="ER190" s="773"/>
      <c r="ES190" s="771"/>
      <c r="ET190" s="771"/>
      <c r="EU190" s="771"/>
      <c r="EV190" s="778" t="b">
        <v>0</v>
      </c>
      <c r="EW190" s="778" t="b">
        <v>0</v>
      </c>
      <c r="EX190" s="771"/>
      <c r="EY190" s="771"/>
    </row>
    <row r="191" spans="1:221" s="175" customFormat="1" ht="15">
      <c r="A191" s="184"/>
      <c r="C191" s="745"/>
      <c r="D191" s="445"/>
      <c r="E191" s="445"/>
      <c r="F191" s="445"/>
      <c r="G191" s="705"/>
      <c r="H191" s="445"/>
      <c r="I191" s="445"/>
      <c r="J191" s="445"/>
      <c r="K191" s="445"/>
      <c r="L191" s="445"/>
      <c r="M191" s="746"/>
      <c r="N191" s="747"/>
      <c r="O191" s="746"/>
      <c r="P191" s="748"/>
      <c r="Q191" s="748"/>
      <c r="R191" s="748"/>
      <c r="S191" s="746"/>
      <c r="T191" s="746"/>
      <c r="U191" s="746"/>
      <c r="V191" s="746"/>
      <c r="W191" s="746"/>
      <c r="X191" s="455"/>
      <c r="Y191" s="455"/>
      <c r="Z191" s="455"/>
      <c r="AA191" s="455"/>
      <c r="AB191" s="749"/>
      <c r="AC191" s="704"/>
      <c r="AD191" s="704"/>
      <c r="AE191" s="704"/>
      <c r="AF191" s="704"/>
      <c r="AG191" s="410"/>
      <c r="AH191" s="410"/>
      <c r="AI191" s="455"/>
      <c r="AJ191" s="455"/>
      <c r="AK191" s="455"/>
      <c r="AL191" s="455"/>
      <c r="AM191" s="456"/>
      <c r="AN191" s="457"/>
      <c r="AO191" s="456"/>
      <c r="AP191" s="704"/>
      <c r="AQ191" s="704"/>
      <c r="AR191" s="410" t="e">
        <f t="shared" si="17"/>
        <v>#DIV/0!</v>
      </c>
      <c r="AS191" s="410"/>
      <c r="AT191" s="455"/>
      <c r="AU191" s="748"/>
      <c r="AV191" s="748"/>
      <c r="AW191" s="748"/>
      <c r="AX191" s="746"/>
      <c r="AY191" s="746"/>
      <c r="AZ191" s="746"/>
      <c r="BA191" s="704"/>
      <c r="BB191" s="704"/>
      <c r="BC191" s="746"/>
      <c r="BD191" s="746"/>
      <c r="BE191" s="455"/>
      <c r="BF191" s="748"/>
      <c r="BG191" s="748"/>
      <c r="BH191" s="748"/>
      <c r="BI191" s="746"/>
      <c r="BJ191" s="746"/>
      <c r="BK191" s="746"/>
      <c r="BL191" s="704"/>
      <c r="BM191" s="704"/>
      <c r="BN191" s="746"/>
      <c r="BO191" s="746"/>
      <c r="BP191" s="455"/>
      <c r="BQ191" s="748"/>
      <c r="BR191" s="748"/>
      <c r="BS191" s="748"/>
      <c r="BT191" s="746"/>
      <c r="BU191" s="746"/>
      <c r="BV191" s="746"/>
      <c r="BW191" s="704"/>
      <c r="BX191" s="704"/>
      <c r="BY191" s="746"/>
      <c r="BZ191" s="746"/>
      <c r="CA191" s="455"/>
      <c r="CB191" s="748"/>
      <c r="CC191" s="748"/>
      <c r="CD191" s="748"/>
      <c r="CE191" s="746"/>
      <c r="CF191" s="746"/>
      <c r="CG191" s="746"/>
      <c r="CH191" s="704"/>
      <c r="CI191" s="704"/>
      <c r="CJ191" s="746"/>
      <c r="CK191" s="746"/>
      <c r="CL191" s="455"/>
      <c r="CM191" s="748"/>
      <c r="CN191" s="748"/>
      <c r="CO191" s="748"/>
      <c r="CP191" s="746"/>
      <c r="CQ191" s="746"/>
      <c r="CR191" s="746"/>
      <c r="CS191" s="704"/>
      <c r="CT191" s="704"/>
      <c r="CU191" s="746"/>
      <c r="CV191" s="746"/>
      <c r="CW191" s="455"/>
      <c r="CX191" s="748"/>
      <c r="CY191" s="748"/>
      <c r="CZ191" s="748"/>
      <c r="DA191" s="746"/>
      <c r="DB191" s="746"/>
      <c r="DC191" s="746"/>
      <c r="DD191" s="704"/>
      <c r="DE191" s="704"/>
      <c r="DF191" s="746"/>
      <c r="DG191" s="746"/>
      <c r="DH191" s="455"/>
      <c r="DI191" s="748"/>
      <c r="DJ191" s="748"/>
      <c r="DK191" s="748"/>
      <c r="DL191" s="746"/>
      <c r="DM191" s="746"/>
      <c r="DN191" s="746"/>
      <c r="DO191" s="704"/>
      <c r="DP191" s="704"/>
      <c r="DQ191" s="746"/>
      <c r="DR191" s="746"/>
      <c r="DS191" s="455"/>
      <c r="DT191" s="748"/>
      <c r="DU191" s="748"/>
      <c r="DV191" s="748"/>
      <c r="DW191" s="746"/>
      <c r="DX191" s="746"/>
      <c r="DY191" s="746"/>
      <c r="DZ191" s="704"/>
      <c r="EA191" s="704"/>
      <c r="EB191" s="746"/>
      <c r="EC191" s="746"/>
      <c r="ED191" s="455"/>
      <c r="EE191" s="748"/>
      <c r="EF191" s="748"/>
      <c r="EG191" s="748"/>
      <c r="EH191" s="746"/>
      <c r="EI191" s="746"/>
      <c r="EJ191" s="746"/>
      <c r="EK191" s="704"/>
      <c r="EL191" s="704"/>
      <c r="EM191" s="746"/>
      <c r="EN191" s="746"/>
      <c r="EO191" s="455"/>
      <c r="EP191" s="748"/>
      <c r="EQ191" s="748"/>
      <c r="ER191" s="748"/>
      <c r="ES191" s="746"/>
      <c r="ET191" s="746"/>
      <c r="EU191" s="746"/>
      <c r="EV191" s="704"/>
      <c r="EW191" s="704"/>
      <c r="EX191" s="746"/>
      <c r="EY191" s="746"/>
    </row>
    <row r="192" spans="1:221" ht="15" customHeight="1">
      <c r="C192" s="418"/>
      <c r="D192" s="187"/>
      <c r="E192" s="187"/>
      <c r="F192" s="187"/>
      <c r="G192" s="784"/>
      <c r="H192" s="187"/>
      <c r="I192" s="187"/>
      <c r="J192" s="187"/>
      <c r="K192" s="187"/>
      <c r="L192" s="187"/>
      <c r="M192" s="188"/>
      <c r="N192" s="785"/>
      <c r="O192" s="188"/>
      <c r="P192" s="365"/>
      <c r="Q192" s="365"/>
      <c r="R192" s="365"/>
      <c r="S192" s="188"/>
      <c r="T192" s="188"/>
      <c r="U192" s="188"/>
      <c r="V192" s="188"/>
      <c r="W192" s="188"/>
      <c r="X192" s="372"/>
      <c r="Y192" s="372"/>
      <c r="Z192" s="372"/>
      <c r="AA192" s="372"/>
      <c r="AB192" s="786"/>
      <c r="AC192" s="444"/>
      <c r="AD192" s="444"/>
      <c r="AE192" s="444"/>
      <c r="AF192" s="444"/>
      <c r="AG192" s="393"/>
      <c r="AH192" s="393"/>
      <c r="AI192" s="372"/>
      <c r="AJ192" s="372"/>
      <c r="AK192" s="372"/>
      <c r="AL192" s="372"/>
      <c r="AM192" s="189"/>
      <c r="AN192" s="417"/>
      <c r="AO192" s="189"/>
      <c r="AP192" s="444"/>
      <c r="AQ192" s="444"/>
      <c r="AR192" s="393" t="e">
        <f t="shared" si="17"/>
        <v>#DIV/0!</v>
      </c>
      <c r="AS192" s="393"/>
      <c r="AT192" s="372"/>
      <c r="AU192" s="365"/>
      <c r="AV192" s="365"/>
      <c r="AW192" s="365"/>
      <c r="AX192" s="188"/>
      <c r="AY192" s="188"/>
      <c r="AZ192" s="188"/>
      <c r="BA192" s="444"/>
      <c r="BB192" s="444"/>
      <c r="BC192" s="188"/>
      <c r="BD192" s="188"/>
      <c r="BE192" s="372"/>
      <c r="BF192" s="365"/>
      <c r="BG192" s="365"/>
      <c r="BH192" s="365"/>
      <c r="BI192" s="188"/>
      <c r="BJ192" s="188"/>
      <c r="BK192" s="188"/>
      <c r="BL192" s="444"/>
      <c r="BM192" s="444"/>
      <c r="BN192" s="188"/>
      <c r="BO192" s="188"/>
      <c r="BP192" s="372"/>
      <c r="BQ192" s="365"/>
      <c r="BR192" s="365"/>
      <c r="BS192" s="365"/>
      <c r="BT192" s="188"/>
      <c r="BU192" s="188"/>
      <c r="BV192" s="188"/>
      <c r="BW192" s="444"/>
      <c r="BX192" s="444"/>
      <c r="BY192" s="188"/>
      <c r="BZ192" s="188"/>
      <c r="CA192" s="372"/>
      <c r="CB192" s="365"/>
      <c r="CC192" s="365"/>
      <c r="CD192" s="365"/>
      <c r="CE192" s="188"/>
      <c r="CF192" s="188"/>
      <c r="CG192" s="188"/>
      <c r="CH192" s="444"/>
      <c r="CI192" s="444"/>
      <c r="CJ192" s="188"/>
      <c r="CK192" s="188"/>
      <c r="CL192" s="372"/>
      <c r="CM192" s="365"/>
      <c r="CN192" s="365"/>
      <c r="CO192" s="365"/>
      <c r="CP192" s="188"/>
      <c r="CQ192" s="188"/>
      <c r="CR192" s="188"/>
      <c r="CS192" s="444"/>
      <c r="CT192" s="444"/>
      <c r="CU192" s="188"/>
      <c r="CV192" s="188"/>
      <c r="CW192" s="372"/>
      <c r="CX192" s="365"/>
      <c r="CY192" s="365"/>
      <c r="CZ192" s="365"/>
      <c r="DA192" s="188"/>
      <c r="DB192" s="188"/>
      <c r="DC192" s="188"/>
      <c r="DD192" s="444"/>
      <c r="DE192" s="444"/>
      <c r="DF192" s="188"/>
      <c r="DG192" s="188"/>
      <c r="DH192" s="372"/>
      <c r="DI192" s="365"/>
      <c r="DJ192" s="365"/>
      <c r="DK192" s="365"/>
      <c r="DL192" s="188"/>
      <c r="DM192" s="188"/>
      <c r="DN192" s="188"/>
      <c r="DO192" s="444"/>
      <c r="DP192" s="444"/>
      <c r="DQ192" s="188"/>
      <c r="DR192" s="188"/>
      <c r="DS192" s="372"/>
      <c r="DT192" s="365"/>
      <c r="DU192" s="365"/>
      <c r="DV192" s="365"/>
      <c r="DW192" s="188"/>
      <c r="DX192" s="188"/>
      <c r="DY192" s="188"/>
      <c r="DZ192" s="444"/>
      <c r="EA192" s="444"/>
      <c r="EB192" s="188"/>
      <c r="EC192" s="188"/>
      <c r="ED192" s="372"/>
      <c r="EE192" s="365"/>
      <c r="EF192" s="365"/>
      <c r="EG192" s="365"/>
      <c r="EH192" s="188"/>
      <c r="EI192" s="188"/>
      <c r="EJ192" s="188"/>
      <c r="EK192" s="444"/>
      <c r="EL192" s="444"/>
      <c r="EM192" s="188"/>
      <c r="EN192" s="188"/>
      <c r="EO192" s="372"/>
      <c r="EP192" s="365"/>
      <c r="EQ192" s="365"/>
      <c r="ER192" s="365"/>
      <c r="ES192" s="188"/>
      <c r="ET192" s="188"/>
      <c r="EU192" s="188"/>
      <c r="EV192" s="444"/>
      <c r="EW192" s="444"/>
      <c r="EX192" s="188"/>
      <c r="EY192" s="188"/>
      <c r="EZ192" s="787"/>
      <c r="FA192" s="787"/>
      <c r="FB192" s="787"/>
      <c r="FC192" s="787"/>
      <c r="FD192" s="787"/>
      <c r="FE192" s="787"/>
      <c r="FF192" s="787"/>
      <c r="FG192" s="787"/>
      <c r="FH192" s="787"/>
      <c r="FI192" s="787"/>
      <c r="FJ192" s="787"/>
      <c r="FK192" s="787"/>
      <c r="FL192" s="787"/>
      <c r="FM192" s="787"/>
      <c r="FN192" s="787"/>
      <c r="FO192" s="787"/>
      <c r="FP192" s="787"/>
      <c r="FQ192" s="787"/>
      <c r="FR192" s="787"/>
      <c r="FS192" s="787"/>
      <c r="FT192" s="787"/>
      <c r="FU192" s="788"/>
    </row>
    <row r="193" spans="42:153" ht="15" customHeight="1">
      <c r="AP193" s="356"/>
      <c r="AQ193" s="356"/>
      <c r="DH193" s="37"/>
      <c r="DI193" s="37"/>
      <c r="DP193" s="37"/>
      <c r="DQ193" s="37"/>
      <c r="DR193" s="37"/>
      <c r="DX193"/>
      <c r="EA193" s="37"/>
      <c r="ED193" s="37"/>
      <c r="EF193"/>
      <c r="EG193"/>
      <c r="EL193" s="37"/>
      <c r="EM193" s="37"/>
      <c r="EO193"/>
      <c r="EP193"/>
      <c r="EU193" s="37"/>
      <c r="EV193" s="37"/>
      <c r="EW193" s="37"/>
    </row>
    <row r="194" spans="42:153" ht="15" customHeight="1">
      <c r="AP194" s="356"/>
      <c r="AQ194" s="356"/>
      <c r="DH194" s="37"/>
      <c r="DI194" s="37"/>
      <c r="DP194" s="37"/>
      <c r="DQ194" s="37"/>
      <c r="DR194" s="37"/>
      <c r="DX194"/>
      <c r="EA194" s="37"/>
      <c r="ED194" s="37"/>
      <c r="EF194"/>
      <c r="EG194"/>
      <c r="EL194" s="37"/>
      <c r="EM194" s="37"/>
      <c r="EO194"/>
      <c r="EP194"/>
      <c r="EU194" s="37"/>
      <c r="EV194" s="37"/>
      <c r="EW194" s="37"/>
    </row>
    <row r="195" spans="42:153" ht="15" customHeight="1">
      <c r="AP195" s="356"/>
      <c r="AQ195" s="356"/>
      <c r="DH195" s="37"/>
      <c r="DI195" s="37"/>
      <c r="DP195" s="37"/>
      <c r="DQ195" s="37"/>
      <c r="DR195" s="37"/>
      <c r="DX195"/>
      <c r="EA195" s="37"/>
      <c r="ED195" s="37"/>
      <c r="EF195"/>
      <c r="EG195"/>
      <c r="EL195" s="37"/>
      <c r="EM195" s="37"/>
      <c r="EO195"/>
      <c r="EP195"/>
      <c r="EU195" s="37"/>
      <c r="EV195" s="37"/>
      <c r="EW195" s="37"/>
    </row>
    <row r="196" spans="42:153" ht="15" customHeight="1">
      <c r="AP196" s="356"/>
      <c r="AQ196" s="356"/>
      <c r="DH196" s="37"/>
      <c r="DI196" s="37"/>
      <c r="DP196" s="37"/>
      <c r="DQ196" s="37"/>
      <c r="DR196" s="37"/>
      <c r="DX196"/>
      <c r="EA196" s="37"/>
      <c r="ED196" s="37"/>
      <c r="EF196"/>
      <c r="EG196"/>
      <c r="EL196" s="37"/>
      <c r="EM196" s="37"/>
      <c r="EO196"/>
      <c r="EP196"/>
      <c r="EU196" s="37"/>
      <c r="EV196" s="37"/>
      <c r="EW196" s="37"/>
    </row>
    <row r="197" spans="42:153" ht="15" customHeight="1">
      <c r="AP197" s="356"/>
      <c r="AQ197" s="356"/>
      <c r="DH197" s="37"/>
      <c r="DI197" s="37"/>
      <c r="DP197" s="37"/>
      <c r="DQ197" s="37"/>
      <c r="DR197" s="37"/>
      <c r="DX197"/>
      <c r="EA197" s="37"/>
      <c r="ED197" s="37"/>
      <c r="EF197"/>
      <c r="EG197"/>
      <c r="EL197" s="37"/>
      <c r="EM197" s="37"/>
      <c r="EO197"/>
      <c r="EP197"/>
      <c r="EU197" s="37"/>
      <c r="EV197" s="37"/>
      <c r="EW197" s="37"/>
    </row>
    <row r="198" spans="42:153" ht="15" customHeight="1">
      <c r="AP198" s="356"/>
      <c r="AQ198" s="356"/>
      <c r="DH198" s="37"/>
      <c r="DI198" s="37"/>
      <c r="DP198" s="37"/>
      <c r="DQ198" s="37"/>
      <c r="DR198" s="37"/>
      <c r="DX198"/>
      <c r="EA198" s="37"/>
      <c r="ED198" s="37"/>
      <c r="EF198"/>
      <c r="EG198"/>
      <c r="EL198" s="37"/>
      <c r="EM198" s="37"/>
      <c r="EO198"/>
      <c r="EP198"/>
      <c r="EU198" s="37"/>
      <c r="EV198" s="37"/>
      <c r="EW198" s="37"/>
    </row>
    <row r="199" spans="42:153" ht="15" customHeight="1">
      <c r="AP199" s="356"/>
      <c r="AQ199" s="356"/>
      <c r="DH199" s="37"/>
      <c r="DI199" s="37"/>
      <c r="DP199" s="37"/>
      <c r="DQ199" s="37"/>
      <c r="DR199" s="37"/>
      <c r="DX199"/>
      <c r="EA199" s="37"/>
      <c r="ED199" s="37"/>
      <c r="EF199"/>
      <c r="EG199"/>
      <c r="EL199" s="37"/>
      <c r="EM199" s="37"/>
      <c r="EO199"/>
      <c r="EP199"/>
      <c r="EU199" s="37"/>
      <c r="EV199" s="37"/>
      <c r="EW199" s="37"/>
    </row>
    <row r="200" spans="42:153" ht="15" customHeight="1">
      <c r="AP200" s="356"/>
      <c r="AQ200" s="356"/>
      <c r="DH200" s="37"/>
      <c r="DI200" s="37"/>
      <c r="DP200" s="37"/>
      <c r="DQ200" s="37"/>
      <c r="DR200" s="37"/>
      <c r="DX200"/>
      <c r="EA200" s="37"/>
      <c r="ED200" s="37"/>
      <c r="EF200"/>
      <c r="EG200"/>
      <c r="EL200" s="37"/>
      <c r="EM200" s="37"/>
      <c r="EO200"/>
      <c r="EP200"/>
      <c r="EU200" s="37"/>
      <c r="EV200" s="37"/>
      <c r="EW200" s="37"/>
    </row>
    <row r="201" spans="42:153" ht="15" customHeight="1">
      <c r="AP201" s="356"/>
      <c r="AQ201" s="356"/>
      <c r="DH201" s="37"/>
      <c r="DI201" s="37"/>
      <c r="DP201" s="37"/>
      <c r="DQ201" s="37"/>
      <c r="DR201" s="37"/>
      <c r="DX201"/>
      <c r="EA201" s="37"/>
      <c r="ED201" s="37"/>
      <c r="EF201"/>
      <c r="EG201"/>
      <c r="EL201" s="37"/>
      <c r="EM201" s="37"/>
      <c r="EO201"/>
      <c r="EP201"/>
      <c r="EU201" s="37"/>
      <c r="EV201" s="37"/>
      <c r="EW201" s="37"/>
    </row>
    <row r="202" spans="42:153" ht="15" customHeight="1">
      <c r="AP202" s="356"/>
      <c r="AQ202" s="356"/>
      <c r="DH202" s="37"/>
      <c r="DI202" s="37"/>
      <c r="DP202" s="37"/>
      <c r="DQ202" s="37"/>
      <c r="DR202" s="37"/>
      <c r="DX202"/>
      <c r="EA202" s="37"/>
      <c r="ED202" s="37"/>
      <c r="EF202"/>
      <c r="EG202"/>
      <c r="EL202" s="37"/>
      <c r="EM202" s="37"/>
      <c r="EO202"/>
      <c r="EP202"/>
      <c r="EU202" s="37"/>
      <c r="EV202" s="37"/>
      <c r="EW202" s="37"/>
    </row>
    <row r="203" spans="42:153" ht="15" customHeight="1">
      <c r="AP203" s="356"/>
      <c r="AQ203" s="356"/>
      <c r="DH203" s="37"/>
      <c r="DI203" s="37"/>
      <c r="DP203" s="37"/>
      <c r="DQ203" s="37"/>
      <c r="DR203" s="37"/>
      <c r="DX203"/>
      <c r="EA203" s="37"/>
      <c r="ED203" s="37"/>
      <c r="EF203"/>
      <c r="EG203"/>
      <c r="EL203" s="37"/>
      <c r="EM203" s="37"/>
      <c r="EO203"/>
      <c r="EP203"/>
      <c r="EU203" s="37"/>
      <c r="EV203" s="37"/>
      <c r="EW203" s="37"/>
    </row>
    <row r="204" spans="42:153" ht="15" customHeight="1">
      <c r="AP204" s="356"/>
      <c r="AQ204" s="356"/>
      <c r="DH204" s="37"/>
      <c r="DI204" s="37"/>
      <c r="DP204" s="37"/>
      <c r="DQ204" s="37"/>
      <c r="DR204" s="37"/>
      <c r="DX204"/>
      <c r="EA204" s="37"/>
      <c r="ED204" s="37"/>
      <c r="EF204"/>
      <c r="EG204"/>
      <c r="EL204" s="37"/>
      <c r="EM204" s="37"/>
      <c r="EO204"/>
      <c r="EP204"/>
      <c r="EU204" s="37"/>
      <c r="EV204" s="37"/>
      <c r="EW204" s="37"/>
    </row>
    <row r="205" spans="42:153" ht="15" customHeight="1">
      <c r="AP205" s="356"/>
      <c r="AQ205" s="356"/>
      <c r="DH205" s="37"/>
      <c r="DI205" s="37"/>
      <c r="DP205" s="37"/>
      <c r="DQ205" s="37"/>
      <c r="DR205" s="37"/>
      <c r="DX205"/>
      <c r="EA205" s="37"/>
      <c r="ED205" s="37"/>
      <c r="EF205"/>
      <c r="EG205"/>
      <c r="EL205" s="37"/>
      <c r="EM205" s="37"/>
      <c r="EO205"/>
      <c r="EP205"/>
      <c r="EU205" s="37"/>
      <c r="EV205" s="37"/>
      <c r="EW205" s="37"/>
    </row>
    <row r="206" spans="42:153" ht="15" customHeight="1">
      <c r="AP206" s="356"/>
      <c r="AQ206" s="356"/>
      <c r="DH206" s="37"/>
      <c r="DI206" s="37"/>
      <c r="DP206" s="37"/>
      <c r="DQ206" s="37"/>
      <c r="DR206" s="37"/>
      <c r="DX206"/>
      <c r="EA206" s="37"/>
      <c r="ED206" s="37"/>
      <c r="EF206"/>
      <c r="EG206"/>
      <c r="EL206" s="37"/>
      <c r="EM206" s="37"/>
      <c r="EO206"/>
      <c r="EP206"/>
      <c r="EU206" s="37"/>
      <c r="EV206" s="37"/>
      <c r="EW206" s="37"/>
    </row>
    <row r="207" spans="42:153" ht="15" customHeight="1">
      <c r="AP207" s="356"/>
      <c r="AQ207" s="356"/>
      <c r="DH207" s="37"/>
      <c r="DI207" s="37"/>
      <c r="DP207" s="37"/>
      <c r="DQ207" s="37"/>
      <c r="DR207" s="37"/>
      <c r="DX207"/>
      <c r="EA207" s="37"/>
      <c r="ED207" s="37"/>
      <c r="EF207"/>
      <c r="EG207"/>
      <c r="EL207" s="37"/>
      <c r="EM207" s="37"/>
      <c r="EO207"/>
      <c r="EP207"/>
      <c r="EU207" s="37"/>
      <c r="EV207" s="37"/>
      <c r="EW207" s="37"/>
    </row>
    <row r="208" spans="42:153" ht="15" customHeight="1">
      <c r="AP208" s="356"/>
      <c r="AQ208" s="356"/>
      <c r="DH208" s="37"/>
      <c r="DI208" s="37"/>
      <c r="DP208" s="37"/>
      <c r="DQ208" s="37"/>
      <c r="DR208" s="37"/>
      <c r="DX208"/>
      <c r="EA208" s="37"/>
      <c r="ED208" s="37"/>
      <c r="EF208"/>
      <c r="EG208"/>
      <c r="EL208" s="37"/>
      <c r="EM208" s="37"/>
      <c r="EO208"/>
      <c r="EP208"/>
      <c r="EU208" s="37"/>
      <c r="EV208" s="37"/>
      <c r="EW208" s="37"/>
    </row>
    <row r="209" spans="42:153" ht="15" customHeight="1">
      <c r="AP209" s="356"/>
      <c r="AQ209" s="356"/>
      <c r="DH209" s="37"/>
      <c r="DI209" s="37"/>
      <c r="DP209" s="37"/>
      <c r="DQ209" s="37"/>
      <c r="DR209" s="37"/>
      <c r="DX209"/>
      <c r="EA209" s="37"/>
      <c r="ED209" s="37"/>
      <c r="EF209"/>
      <c r="EG209"/>
      <c r="EL209" s="37"/>
      <c r="EM209" s="37"/>
      <c r="EO209"/>
      <c r="EP209"/>
      <c r="EU209" s="37"/>
      <c r="EV209" s="37"/>
      <c r="EW209" s="37"/>
    </row>
    <row r="210" spans="42:153" ht="15" hidden="1" customHeight="1">
      <c r="AP210" s="356"/>
      <c r="AQ210" s="356"/>
      <c r="DH210" s="37"/>
      <c r="DI210" s="37"/>
      <c r="DP210" s="37"/>
      <c r="DQ210" s="37"/>
      <c r="DR210" s="37"/>
      <c r="DX210"/>
      <c r="EA210" s="37"/>
      <c r="ED210" s="37"/>
      <c r="EF210"/>
      <c r="EG210"/>
      <c r="EL210" s="37"/>
      <c r="EM210" s="37"/>
      <c r="EO210"/>
      <c r="EP210"/>
      <c r="EU210" s="37"/>
      <c r="EV210" s="37"/>
      <c r="EW210" s="37"/>
    </row>
    <row r="211" spans="42:153" ht="15" hidden="1" customHeight="1">
      <c r="AP211" s="356"/>
      <c r="AQ211" s="356"/>
      <c r="DH211" s="37"/>
      <c r="DI211" s="37"/>
      <c r="DP211" s="37"/>
      <c r="DQ211" s="37"/>
      <c r="DR211" s="37"/>
      <c r="DX211"/>
      <c r="EA211" s="37"/>
      <c r="ED211" s="37"/>
      <c r="EF211"/>
      <c r="EG211"/>
      <c r="EL211" s="37"/>
      <c r="EM211" s="37"/>
      <c r="EO211"/>
      <c r="EP211"/>
      <c r="EU211" s="37"/>
      <c r="EV211" s="37"/>
      <c r="EW211" s="37"/>
    </row>
    <row r="212" spans="42:153" ht="15" hidden="1" customHeight="1">
      <c r="AP212" s="356"/>
      <c r="AQ212" s="356"/>
      <c r="DH212" s="37"/>
      <c r="DI212" s="37"/>
      <c r="DP212" s="37"/>
      <c r="DQ212" s="37"/>
      <c r="DR212" s="37"/>
      <c r="DX212"/>
      <c r="EA212" s="37"/>
      <c r="ED212" s="37"/>
      <c r="EF212"/>
      <c r="EG212"/>
      <c r="EL212" s="37"/>
      <c r="EM212" s="37"/>
      <c r="EO212"/>
      <c r="EP212"/>
      <c r="EU212" s="37"/>
      <c r="EV212" s="37"/>
      <c r="EW212" s="37"/>
    </row>
    <row r="213" spans="42:153" ht="15" hidden="1" customHeight="1">
      <c r="AP213" s="356"/>
      <c r="AQ213" s="356"/>
      <c r="DH213" s="37"/>
      <c r="DI213" s="37"/>
      <c r="DP213" s="37"/>
      <c r="DQ213" s="37"/>
      <c r="DR213" s="37"/>
      <c r="DX213"/>
      <c r="EA213" s="37"/>
      <c r="ED213" s="37"/>
      <c r="EF213"/>
      <c r="EG213"/>
      <c r="EL213" s="37"/>
      <c r="EM213" s="37"/>
      <c r="EO213"/>
      <c r="EP213"/>
      <c r="EU213" s="37"/>
      <c r="EV213" s="37"/>
      <c r="EW213" s="37"/>
    </row>
    <row r="214" spans="42:153" ht="15" hidden="1" customHeight="1">
      <c r="AP214" s="356"/>
      <c r="AQ214" s="356"/>
      <c r="DH214" s="37"/>
      <c r="DI214" s="37"/>
      <c r="DP214" s="37"/>
      <c r="DQ214" s="37"/>
      <c r="DR214" s="37"/>
      <c r="DX214"/>
      <c r="EA214" s="37"/>
      <c r="ED214" s="37"/>
      <c r="EF214"/>
      <c r="EG214"/>
      <c r="EL214" s="37"/>
      <c r="EM214" s="37"/>
      <c r="EO214"/>
      <c r="EP214"/>
      <c r="EU214" s="37"/>
      <c r="EV214" s="37"/>
      <c r="EW214" s="37"/>
    </row>
    <row r="215" spans="42:153" ht="15" hidden="1" customHeight="1">
      <c r="AP215" s="356"/>
      <c r="AQ215" s="356"/>
      <c r="DH215" s="37"/>
      <c r="DI215" s="37"/>
      <c r="DP215" s="37"/>
      <c r="DQ215" s="37"/>
      <c r="DR215" s="37"/>
      <c r="DX215"/>
      <c r="EA215" s="37"/>
      <c r="ED215" s="37"/>
      <c r="EF215"/>
      <c r="EG215"/>
      <c r="EL215" s="37"/>
      <c r="EM215" s="37"/>
      <c r="EO215"/>
      <c r="EP215"/>
      <c r="EU215" s="37"/>
      <c r="EV215" s="37"/>
      <c r="EW215" s="37"/>
    </row>
    <row r="216" spans="42:153" ht="15" hidden="1" customHeight="1">
      <c r="AP216" s="356"/>
      <c r="AQ216" s="356"/>
      <c r="DH216" s="37"/>
      <c r="DI216" s="37"/>
      <c r="DP216" s="37"/>
      <c r="DQ216" s="37"/>
      <c r="DR216" s="37"/>
      <c r="DX216"/>
      <c r="EA216" s="37"/>
      <c r="ED216" s="37"/>
      <c r="EF216"/>
      <c r="EG216"/>
      <c r="EL216" s="37"/>
      <c r="EM216" s="37"/>
      <c r="EO216"/>
      <c r="EP216"/>
      <c r="EU216" s="37"/>
      <c r="EV216" s="37"/>
      <c r="EW216" s="37"/>
    </row>
    <row r="217" spans="42:153" ht="15" hidden="1" customHeight="1">
      <c r="AP217" s="356"/>
      <c r="AQ217" s="356"/>
      <c r="DH217" s="37"/>
      <c r="DI217" s="37"/>
      <c r="DP217" s="37"/>
      <c r="DQ217" s="37"/>
      <c r="DR217" s="37"/>
      <c r="DX217"/>
      <c r="EA217" s="37"/>
      <c r="ED217" s="37"/>
      <c r="EF217"/>
      <c r="EG217"/>
      <c r="EL217" s="37"/>
      <c r="EM217" s="37"/>
      <c r="EO217"/>
      <c r="EP217"/>
      <c r="EU217" s="37"/>
      <c r="EV217" s="37"/>
      <c r="EW217" s="37"/>
    </row>
    <row r="218" spans="42:153" ht="15" hidden="1" customHeight="1">
      <c r="AP218" s="356"/>
      <c r="AQ218" s="356"/>
      <c r="DH218" s="37"/>
      <c r="DI218" s="37"/>
      <c r="DP218" s="37"/>
      <c r="DQ218" s="37"/>
      <c r="DR218" s="37"/>
      <c r="DX218"/>
      <c r="EA218" s="37"/>
      <c r="ED218" s="37"/>
      <c r="EF218"/>
      <c r="EG218"/>
      <c r="EL218" s="37"/>
      <c r="EM218" s="37"/>
      <c r="EO218"/>
      <c r="EP218"/>
      <c r="EU218" s="37"/>
      <c r="EV218" s="37"/>
      <c r="EW218" s="37"/>
    </row>
    <row r="219" spans="42:153" ht="15" hidden="1" customHeight="1">
      <c r="AP219" s="356"/>
      <c r="AQ219" s="356"/>
      <c r="DH219" s="37"/>
      <c r="DI219" s="37"/>
      <c r="DP219" s="37"/>
      <c r="DQ219" s="37"/>
      <c r="DR219" s="37"/>
      <c r="DX219"/>
      <c r="EA219" s="37"/>
      <c r="ED219" s="37"/>
      <c r="EF219"/>
      <c r="EG219"/>
      <c r="EL219" s="37"/>
      <c r="EM219" s="37"/>
      <c r="EO219"/>
      <c r="EP219"/>
      <c r="EU219" s="37"/>
      <c r="EV219" s="37"/>
      <c r="EW219" s="37"/>
    </row>
    <row r="220" spans="42:153" ht="15" hidden="1" customHeight="1">
      <c r="AP220" s="356"/>
      <c r="AQ220" s="356"/>
      <c r="DH220" s="37"/>
      <c r="DI220" s="37"/>
      <c r="DP220" s="37"/>
      <c r="DQ220" s="37"/>
      <c r="DR220" s="37"/>
      <c r="DX220"/>
      <c r="EA220" s="37"/>
      <c r="ED220" s="37"/>
      <c r="EF220"/>
      <c r="EG220"/>
      <c r="EL220" s="37"/>
      <c r="EM220" s="37"/>
      <c r="EO220"/>
      <c r="EP220"/>
      <c r="EU220" s="37"/>
      <c r="EV220" s="37"/>
      <c r="EW220" s="37"/>
    </row>
    <row r="221" spans="42:153" ht="15" hidden="1" customHeight="1">
      <c r="AP221" s="356"/>
      <c r="AQ221" s="356"/>
      <c r="DH221" s="37"/>
      <c r="DI221" s="37"/>
      <c r="DP221" s="37"/>
      <c r="DQ221" s="37"/>
      <c r="DR221" s="37"/>
      <c r="DX221"/>
      <c r="EA221" s="37"/>
      <c r="ED221" s="37"/>
      <c r="EF221"/>
      <c r="EG221"/>
      <c r="EL221" s="37"/>
      <c r="EM221" s="37"/>
      <c r="EO221"/>
      <c r="EP221"/>
      <c r="EU221" s="37"/>
      <c r="EV221" s="37"/>
      <c r="EW221" s="37"/>
    </row>
    <row r="222" spans="42:153" ht="15" hidden="1" customHeight="1">
      <c r="AP222" s="356"/>
      <c r="AQ222" s="356"/>
      <c r="DH222" s="37"/>
      <c r="DI222" s="37"/>
      <c r="DP222" s="37"/>
      <c r="DQ222" s="37"/>
      <c r="DR222" s="37"/>
      <c r="DX222"/>
      <c r="EA222" s="37"/>
      <c r="ED222" s="37"/>
      <c r="EF222"/>
      <c r="EG222"/>
      <c r="EL222" s="37"/>
      <c r="EM222" s="37"/>
      <c r="EO222"/>
      <c r="EP222"/>
      <c r="EU222" s="37"/>
      <c r="EV222" s="37"/>
      <c r="EW222" s="37"/>
    </row>
    <row r="223" spans="42:153" ht="15" hidden="1" customHeight="1">
      <c r="AP223" s="356"/>
      <c r="AQ223" s="356"/>
      <c r="DH223" s="37"/>
      <c r="DI223" s="37"/>
      <c r="DP223" s="37"/>
      <c r="DQ223" s="37"/>
      <c r="DR223" s="37"/>
      <c r="DX223"/>
      <c r="EA223" s="37"/>
      <c r="ED223" s="37"/>
      <c r="EF223"/>
      <c r="EG223"/>
      <c r="EL223" s="37"/>
      <c r="EM223" s="37"/>
      <c r="EO223"/>
      <c r="EP223"/>
      <c r="EU223" s="37"/>
      <c r="EV223" s="37"/>
      <c r="EW223" s="37"/>
    </row>
    <row r="224" spans="42:153" ht="15" hidden="1" customHeight="1">
      <c r="AP224" s="356"/>
      <c r="AQ224" s="356"/>
      <c r="DH224" s="37"/>
      <c r="DI224" s="37"/>
      <c r="DP224" s="37"/>
      <c r="DQ224" s="37"/>
      <c r="DR224" s="37"/>
      <c r="DX224"/>
      <c r="EA224" s="37"/>
      <c r="ED224" s="37"/>
      <c r="EF224"/>
      <c r="EG224"/>
      <c r="EL224" s="37"/>
      <c r="EM224" s="37"/>
      <c r="EO224"/>
      <c r="EP224"/>
      <c r="EU224" s="37"/>
      <c r="EV224" s="37"/>
      <c r="EW224" s="37"/>
    </row>
    <row r="225" spans="42:153" ht="15" hidden="1" customHeight="1">
      <c r="AP225" s="356"/>
      <c r="AQ225" s="356"/>
      <c r="DH225" s="37"/>
      <c r="DI225" s="37"/>
      <c r="DP225" s="37"/>
      <c r="DQ225" s="37"/>
      <c r="DR225" s="37"/>
      <c r="DX225"/>
      <c r="EA225" s="37"/>
      <c r="ED225" s="37"/>
      <c r="EF225"/>
      <c r="EG225"/>
      <c r="EL225" s="37"/>
      <c r="EM225" s="37"/>
      <c r="EO225"/>
      <c r="EP225"/>
      <c r="EU225" s="37"/>
      <c r="EV225" s="37"/>
      <c r="EW225" s="37"/>
    </row>
    <row r="226" spans="42:153" ht="15" hidden="1" customHeight="1">
      <c r="AP226" s="356"/>
      <c r="AQ226" s="356"/>
      <c r="DH226" s="37"/>
      <c r="DI226" s="37"/>
      <c r="DP226" s="37"/>
      <c r="DQ226" s="37"/>
      <c r="DR226" s="37"/>
      <c r="DX226"/>
      <c r="EA226" s="37"/>
      <c r="ED226" s="37"/>
      <c r="EF226"/>
      <c r="EG226"/>
      <c r="EL226" s="37"/>
      <c r="EM226" s="37"/>
      <c r="EO226"/>
      <c r="EP226"/>
      <c r="EU226" s="37"/>
      <c r="EV226" s="37"/>
      <c r="EW226" s="37"/>
    </row>
    <row r="227" spans="42:153" ht="15" hidden="1" customHeight="1">
      <c r="AP227" s="356"/>
      <c r="AQ227" s="356"/>
      <c r="DH227" s="37"/>
      <c r="DI227" s="37"/>
      <c r="DP227" s="37"/>
      <c r="DQ227" s="37"/>
      <c r="DR227" s="37"/>
      <c r="DX227"/>
      <c r="EA227" s="37"/>
      <c r="ED227" s="37"/>
      <c r="EF227"/>
      <c r="EG227"/>
      <c r="EL227" s="37"/>
      <c r="EM227" s="37"/>
      <c r="EO227"/>
      <c r="EP227"/>
      <c r="EU227" s="37"/>
      <c r="EV227" s="37"/>
      <c r="EW227" s="37"/>
    </row>
    <row r="228" spans="42:153" ht="15" hidden="1" customHeight="1">
      <c r="AP228" s="356"/>
      <c r="AQ228" s="356"/>
      <c r="DH228" s="37"/>
      <c r="DI228" s="37"/>
      <c r="DP228" s="37"/>
      <c r="DQ228" s="37"/>
      <c r="DR228" s="37"/>
      <c r="DX228"/>
      <c r="EA228" s="37"/>
      <c r="ED228" s="37"/>
      <c r="EF228"/>
      <c r="EG228"/>
      <c r="EL228" s="37"/>
      <c r="EM228" s="37"/>
      <c r="EO228"/>
      <c r="EP228"/>
      <c r="EU228" s="37"/>
      <c r="EV228" s="37"/>
      <c r="EW228" s="37"/>
    </row>
    <row r="229" spans="42:153" ht="15" hidden="1" customHeight="1">
      <c r="AP229" s="356"/>
      <c r="AQ229" s="356"/>
      <c r="DH229" s="37"/>
      <c r="DI229" s="37"/>
      <c r="DP229" s="37"/>
      <c r="DQ229" s="37"/>
      <c r="DR229" s="37"/>
      <c r="DX229"/>
      <c r="EA229" s="37"/>
      <c r="ED229" s="37"/>
      <c r="EF229"/>
      <c r="EG229"/>
      <c r="EL229" s="37"/>
      <c r="EM229" s="37"/>
      <c r="EO229"/>
      <c r="EP229"/>
      <c r="EU229" s="37"/>
      <c r="EV229" s="37"/>
      <c r="EW229" s="37"/>
    </row>
    <row r="230" spans="42:153" ht="15" hidden="1" customHeight="1">
      <c r="AP230" s="356"/>
      <c r="AQ230" s="356"/>
      <c r="DH230" s="37"/>
      <c r="DI230" s="37"/>
      <c r="DP230" s="37"/>
      <c r="DQ230" s="37"/>
      <c r="DR230" s="37"/>
      <c r="DX230"/>
      <c r="EA230" s="37"/>
      <c r="ED230" s="37"/>
      <c r="EF230"/>
      <c r="EG230"/>
      <c r="EL230" s="37"/>
      <c r="EM230" s="37"/>
      <c r="EO230"/>
      <c r="EP230"/>
      <c r="EU230" s="37"/>
      <c r="EV230" s="37"/>
      <c r="EW230" s="37"/>
    </row>
    <row r="231" spans="42:153" ht="15" hidden="1" customHeight="1">
      <c r="AP231" s="356"/>
      <c r="AQ231" s="356"/>
      <c r="DH231" s="37"/>
      <c r="DI231" s="37"/>
      <c r="DP231" s="37"/>
      <c r="DQ231" s="37"/>
      <c r="DR231" s="37"/>
      <c r="DX231"/>
      <c r="EA231" s="37"/>
      <c r="ED231" s="37"/>
      <c r="EF231"/>
      <c r="EG231"/>
      <c r="EL231" s="37"/>
      <c r="EM231" s="37"/>
      <c r="EO231"/>
      <c r="EP231"/>
      <c r="EU231" s="37"/>
      <c r="EV231" s="37"/>
      <c r="EW231" s="37"/>
    </row>
    <row r="232" spans="42:153" ht="15" hidden="1" customHeight="1">
      <c r="AP232" s="356"/>
      <c r="AQ232" s="356"/>
      <c r="DH232" s="37"/>
      <c r="DI232" s="37"/>
      <c r="DP232" s="37"/>
      <c r="DQ232" s="37"/>
      <c r="DR232" s="37"/>
      <c r="DX232"/>
      <c r="EA232" s="37"/>
      <c r="ED232" s="37"/>
      <c r="EF232"/>
      <c r="EG232"/>
      <c r="EL232" s="37"/>
      <c r="EM232" s="37"/>
      <c r="EO232"/>
      <c r="EP232"/>
      <c r="EU232" s="37"/>
      <c r="EV232" s="37"/>
      <c r="EW232" s="37"/>
    </row>
    <row r="233" spans="42:153" ht="15" hidden="1" customHeight="1">
      <c r="AP233" s="356"/>
      <c r="AQ233" s="356"/>
      <c r="DH233" s="37"/>
      <c r="DI233" s="37"/>
      <c r="DP233" s="37"/>
      <c r="DQ233" s="37"/>
      <c r="DR233" s="37"/>
      <c r="DX233"/>
      <c r="EA233" s="37"/>
      <c r="ED233" s="37"/>
      <c r="EF233"/>
      <c r="EG233"/>
      <c r="EL233" s="37"/>
      <c r="EM233" s="37"/>
      <c r="EO233"/>
      <c r="EP233"/>
      <c r="EU233" s="37"/>
      <c r="EV233" s="37"/>
      <c r="EW233" s="37"/>
    </row>
    <row r="234" spans="42:153" ht="15" hidden="1" customHeight="1">
      <c r="AP234" s="356"/>
      <c r="AQ234" s="356"/>
      <c r="DH234" s="37"/>
      <c r="DI234" s="37"/>
      <c r="DP234" s="37"/>
      <c r="DQ234" s="37"/>
      <c r="DR234" s="37"/>
      <c r="DX234"/>
      <c r="EA234" s="37"/>
      <c r="ED234" s="37"/>
      <c r="EF234"/>
      <c r="EG234"/>
      <c r="EL234" s="37"/>
      <c r="EM234" s="37"/>
      <c r="EO234"/>
      <c r="EP234"/>
      <c r="EU234" s="37"/>
      <c r="EV234" s="37"/>
      <c r="EW234" s="37"/>
    </row>
    <row r="235" spans="42:153" ht="15" hidden="1" customHeight="1">
      <c r="AP235" s="356"/>
      <c r="AQ235" s="356"/>
      <c r="DH235" s="37"/>
      <c r="DI235" s="37"/>
      <c r="DP235" s="37"/>
      <c r="DQ235" s="37"/>
      <c r="DR235" s="37"/>
      <c r="DX235"/>
      <c r="EA235" s="37"/>
      <c r="ED235" s="37"/>
      <c r="EF235"/>
      <c r="EG235"/>
      <c r="EL235" s="37"/>
      <c r="EM235" s="37"/>
      <c r="EO235"/>
      <c r="EP235"/>
      <c r="EU235" s="37"/>
      <c r="EV235" s="37"/>
      <c r="EW235" s="37"/>
    </row>
    <row r="236" spans="42:153" ht="15" hidden="1" customHeight="1">
      <c r="AP236" s="356"/>
      <c r="AQ236" s="356"/>
      <c r="DH236" s="37"/>
      <c r="DI236" s="37"/>
      <c r="DP236" s="37"/>
      <c r="DQ236" s="37"/>
      <c r="DR236" s="37"/>
      <c r="DX236"/>
      <c r="EA236" s="37"/>
      <c r="ED236" s="37"/>
      <c r="EF236"/>
      <c r="EG236"/>
      <c r="EL236" s="37"/>
      <c r="EM236" s="37"/>
      <c r="EO236"/>
      <c r="EP236"/>
      <c r="EU236" s="37"/>
      <c r="EV236" s="37"/>
      <c r="EW236" s="37"/>
    </row>
    <row r="237" spans="42:153" ht="15" hidden="1" customHeight="1">
      <c r="AP237" s="356"/>
      <c r="AQ237" s="356"/>
      <c r="DH237" s="37"/>
      <c r="DI237" s="37"/>
      <c r="DP237" s="37"/>
      <c r="DQ237" s="37"/>
      <c r="DR237" s="37"/>
      <c r="DX237"/>
      <c r="EA237" s="37"/>
      <c r="ED237" s="37"/>
      <c r="EF237"/>
      <c r="EG237"/>
      <c r="EL237" s="37"/>
      <c r="EM237" s="37"/>
      <c r="EO237"/>
      <c r="EP237"/>
      <c r="EU237" s="37"/>
      <c r="EV237" s="37"/>
      <c r="EW237" s="37"/>
    </row>
    <row r="238" spans="42:153" ht="15" hidden="1" customHeight="1">
      <c r="AP238" s="356"/>
      <c r="AQ238" s="356"/>
      <c r="DH238" s="37"/>
      <c r="DI238" s="37"/>
      <c r="DP238" s="37"/>
      <c r="DQ238" s="37"/>
      <c r="DR238" s="37"/>
      <c r="DX238"/>
      <c r="EA238" s="37"/>
      <c r="ED238" s="37"/>
      <c r="EF238"/>
      <c r="EG238"/>
      <c r="EL238" s="37"/>
      <c r="EM238" s="37"/>
      <c r="EO238"/>
      <c r="EP238"/>
      <c r="EU238" s="37"/>
      <c r="EV238" s="37"/>
      <c r="EW238" s="37"/>
    </row>
    <row r="239" spans="42:153" ht="15" hidden="1" customHeight="1">
      <c r="AP239" s="356"/>
      <c r="AQ239" s="356"/>
      <c r="DH239" s="37"/>
      <c r="DI239" s="37"/>
      <c r="DP239" s="37"/>
      <c r="DQ239" s="37"/>
      <c r="DR239" s="37"/>
      <c r="DX239"/>
      <c r="EA239" s="37"/>
      <c r="ED239" s="37"/>
      <c r="EF239"/>
      <c r="EG239"/>
      <c r="EL239" s="37"/>
      <c r="EM239" s="37"/>
      <c r="EO239"/>
      <c r="EP239"/>
      <c r="EU239" s="37"/>
      <c r="EV239" s="37"/>
      <c r="EW239" s="37"/>
    </row>
    <row r="240" spans="42:153" ht="15" hidden="1" customHeight="1">
      <c r="AP240" s="356"/>
      <c r="AQ240" s="356"/>
      <c r="DH240" s="37"/>
      <c r="DI240" s="37"/>
      <c r="DP240" s="37"/>
      <c r="DQ240" s="37"/>
      <c r="DR240" s="37"/>
      <c r="DX240"/>
      <c r="EA240" s="37"/>
      <c r="ED240" s="37"/>
      <c r="EF240"/>
      <c r="EG240"/>
      <c r="EL240" s="37"/>
      <c r="EM240" s="37"/>
      <c r="EO240"/>
      <c r="EP240"/>
      <c r="EU240" s="37"/>
      <c r="EV240" s="37"/>
      <c r="EW240" s="37"/>
    </row>
    <row r="241" spans="42:153" ht="15" hidden="1" customHeight="1">
      <c r="AP241" s="356"/>
      <c r="AQ241" s="356"/>
      <c r="DH241" s="37"/>
      <c r="DI241" s="37"/>
      <c r="DP241" s="37"/>
      <c r="DQ241" s="37"/>
      <c r="DR241" s="37"/>
      <c r="DX241"/>
      <c r="EA241" s="37"/>
      <c r="ED241" s="37"/>
      <c r="EF241"/>
      <c r="EG241"/>
      <c r="EL241" s="37"/>
      <c r="EM241" s="37"/>
      <c r="EO241"/>
      <c r="EP241"/>
      <c r="EU241" s="37"/>
      <c r="EV241" s="37"/>
      <c r="EW241" s="37"/>
    </row>
    <row r="242" spans="42:153" ht="15" hidden="1" customHeight="1">
      <c r="AP242" s="356"/>
      <c r="AQ242" s="356"/>
      <c r="DH242" s="37"/>
      <c r="DI242" s="37"/>
      <c r="DP242" s="37"/>
      <c r="DQ242" s="37"/>
      <c r="DR242" s="37"/>
      <c r="DX242"/>
      <c r="EA242" s="37"/>
      <c r="ED242" s="37"/>
      <c r="EF242"/>
      <c r="EG242"/>
      <c r="EL242" s="37"/>
      <c r="EM242" s="37"/>
      <c r="EO242"/>
      <c r="EP242"/>
      <c r="EU242" s="37"/>
      <c r="EV242" s="37"/>
      <c r="EW242" s="37"/>
    </row>
    <row r="243" spans="42:153" ht="15" hidden="1" customHeight="1">
      <c r="AP243" s="356"/>
      <c r="AQ243" s="356"/>
      <c r="DH243" s="37"/>
      <c r="DI243" s="37"/>
      <c r="DP243" s="37"/>
      <c r="DQ243" s="37"/>
      <c r="DR243" s="37"/>
      <c r="DX243"/>
      <c r="EA243" s="37"/>
      <c r="ED243" s="37"/>
      <c r="EF243"/>
      <c r="EG243"/>
      <c r="EL243" s="37"/>
      <c r="EM243" s="37"/>
      <c r="EO243"/>
      <c r="EP243"/>
      <c r="EU243" s="37"/>
      <c r="EV243" s="37"/>
      <c r="EW243" s="37"/>
    </row>
    <row r="244" spans="42:153" ht="15" hidden="1" customHeight="1">
      <c r="AP244" s="356"/>
      <c r="AQ244" s="356"/>
      <c r="DH244" s="37"/>
      <c r="DI244" s="37"/>
      <c r="DP244" s="37"/>
      <c r="DQ244" s="37"/>
      <c r="DR244" s="37"/>
      <c r="DX244"/>
      <c r="EA244" s="37"/>
      <c r="ED244" s="37"/>
      <c r="EF244"/>
      <c r="EG244"/>
      <c r="EL244" s="37"/>
      <c r="EM244" s="37"/>
      <c r="EO244"/>
      <c r="EP244"/>
      <c r="EU244" s="37"/>
      <c r="EV244" s="37"/>
      <c r="EW244" s="37"/>
    </row>
    <row r="245" spans="42:153" ht="15" hidden="1" customHeight="1">
      <c r="AP245" s="356"/>
      <c r="AQ245" s="356"/>
      <c r="DH245" s="37"/>
      <c r="DI245" s="37"/>
      <c r="DP245" s="37"/>
      <c r="DQ245" s="37"/>
      <c r="DR245" s="37"/>
      <c r="DX245"/>
      <c r="EA245" s="37"/>
      <c r="ED245" s="37"/>
      <c r="EF245"/>
      <c r="EG245"/>
      <c r="EL245" s="37"/>
      <c r="EM245" s="37"/>
      <c r="EO245"/>
      <c r="EP245"/>
      <c r="EU245" s="37"/>
      <c r="EV245" s="37"/>
      <c r="EW245" s="37"/>
    </row>
    <row r="246" spans="42:153" ht="15" hidden="1" customHeight="1">
      <c r="AP246" s="356"/>
      <c r="AQ246" s="356"/>
      <c r="DH246" s="37"/>
      <c r="DI246" s="37"/>
      <c r="DP246" s="37"/>
      <c r="DQ246" s="37"/>
      <c r="DR246" s="37"/>
      <c r="DX246"/>
      <c r="EA246" s="37"/>
      <c r="ED246" s="37"/>
      <c r="EF246"/>
      <c r="EG246"/>
      <c r="EL246" s="37"/>
      <c r="EM246" s="37"/>
      <c r="EO246"/>
      <c r="EP246"/>
      <c r="EU246" s="37"/>
      <c r="EV246" s="37"/>
      <c r="EW246" s="37"/>
    </row>
    <row r="247" spans="42:153" ht="15" hidden="1" customHeight="1">
      <c r="AP247" s="356"/>
      <c r="AQ247" s="356"/>
      <c r="DH247" s="37"/>
      <c r="DI247" s="37"/>
      <c r="DP247" s="37"/>
      <c r="DQ247" s="37"/>
      <c r="DR247" s="37"/>
      <c r="DX247"/>
      <c r="EA247" s="37"/>
      <c r="ED247" s="37"/>
      <c r="EF247"/>
      <c r="EG247"/>
      <c r="EL247" s="37"/>
      <c r="EM247" s="37"/>
      <c r="EO247"/>
      <c r="EP247"/>
      <c r="EU247" s="37"/>
      <c r="EV247" s="37"/>
      <c r="EW247" s="37"/>
    </row>
    <row r="248" spans="42:153" ht="15" hidden="1" customHeight="1">
      <c r="AP248" s="356"/>
      <c r="AQ248" s="356"/>
      <c r="DH248" s="37"/>
      <c r="DI248" s="37"/>
      <c r="DP248" s="37"/>
      <c r="DQ248" s="37"/>
      <c r="DR248" s="37"/>
      <c r="DX248"/>
      <c r="EA248" s="37"/>
      <c r="ED248" s="37"/>
      <c r="EF248"/>
      <c r="EG248"/>
      <c r="EL248" s="37"/>
      <c r="EM248" s="37"/>
      <c r="EO248"/>
      <c r="EP248"/>
      <c r="EU248" s="37"/>
      <c r="EV248" s="37"/>
      <c r="EW248" s="37"/>
    </row>
    <row r="249" spans="42:153" ht="15" hidden="1" customHeight="1">
      <c r="AP249" s="356"/>
      <c r="AQ249" s="356"/>
      <c r="DH249" s="37"/>
      <c r="DI249" s="37"/>
      <c r="DP249" s="37"/>
      <c r="DQ249" s="37"/>
      <c r="DR249" s="37"/>
      <c r="DX249"/>
      <c r="EA249" s="37"/>
      <c r="ED249" s="37"/>
      <c r="EF249"/>
      <c r="EG249"/>
      <c r="EL249" s="37"/>
      <c r="EM249" s="37"/>
      <c r="EO249"/>
      <c r="EP249"/>
      <c r="EU249" s="37"/>
      <c r="EV249" s="37"/>
      <c r="EW249" s="37"/>
    </row>
    <row r="250" spans="42:153" ht="15" hidden="1" customHeight="1">
      <c r="AP250" s="356"/>
      <c r="AQ250" s="356"/>
      <c r="DH250" s="37"/>
      <c r="DI250" s="37"/>
      <c r="DP250" s="37"/>
      <c r="DQ250" s="37"/>
      <c r="DR250" s="37"/>
      <c r="DX250"/>
      <c r="EA250" s="37"/>
      <c r="ED250" s="37"/>
      <c r="EF250"/>
      <c r="EG250"/>
      <c r="EL250" s="37"/>
      <c r="EM250" s="37"/>
      <c r="EO250"/>
      <c r="EP250"/>
      <c r="EU250" s="37"/>
      <c r="EV250" s="37"/>
      <c r="EW250" s="37"/>
    </row>
    <row r="251" spans="42:153" ht="15" hidden="1" customHeight="1">
      <c r="AP251" s="356"/>
      <c r="AQ251" s="356"/>
      <c r="DH251" s="37"/>
      <c r="DI251" s="37"/>
      <c r="DP251" s="37"/>
      <c r="DQ251" s="37"/>
      <c r="DR251" s="37"/>
      <c r="DX251"/>
      <c r="EA251" s="37"/>
      <c r="ED251" s="37"/>
      <c r="EF251"/>
      <c r="EG251"/>
      <c r="EL251" s="37"/>
      <c r="EM251" s="37"/>
      <c r="EO251"/>
      <c r="EP251"/>
      <c r="EU251" s="37"/>
      <c r="EV251" s="37"/>
      <c r="EW251" s="37"/>
    </row>
    <row r="252" spans="42:153" ht="15" hidden="1" customHeight="1">
      <c r="AP252" s="356"/>
      <c r="AQ252" s="356"/>
      <c r="DH252" s="37"/>
      <c r="DI252" s="37"/>
      <c r="DP252" s="37"/>
      <c r="DQ252" s="37"/>
      <c r="DR252" s="37"/>
      <c r="DX252"/>
      <c r="EA252" s="37"/>
      <c r="ED252" s="37"/>
      <c r="EF252"/>
      <c r="EG252"/>
      <c r="EL252" s="37"/>
      <c r="EM252" s="37"/>
      <c r="EO252"/>
      <c r="EP252"/>
      <c r="EU252" s="37"/>
      <c r="EV252" s="37"/>
      <c r="EW252" s="37"/>
    </row>
    <row r="253" spans="42:153" ht="15" hidden="1" customHeight="1">
      <c r="AP253" s="356"/>
      <c r="AQ253" s="356"/>
      <c r="DH253" s="37"/>
      <c r="DI253" s="37"/>
      <c r="DP253" s="37"/>
      <c r="DQ253" s="37"/>
      <c r="DR253" s="37"/>
      <c r="DX253"/>
      <c r="EA253" s="37"/>
      <c r="ED253" s="37"/>
      <c r="EF253"/>
      <c r="EG253"/>
      <c r="EL253" s="37"/>
      <c r="EM253" s="37"/>
      <c r="EO253"/>
      <c r="EP253"/>
      <c r="EU253" s="37"/>
      <c r="EV253" s="37"/>
      <c r="EW253" s="37"/>
    </row>
    <row r="254" spans="42:153" ht="15" hidden="1" customHeight="1">
      <c r="AP254" s="356"/>
      <c r="AQ254" s="356"/>
      <c r="DH254" s="37"/>
      <c r="DI254" s="37"/>
      <c r="DP254" s="37"/>
      <c r="DQ254" s="37"/>
      <c r="DR254" s="37"/>
      <c r="DX254"/>
      <c r="EA254" s="37"/>
      <c r="ED254" s="37"/>
      <c r="EF254"/>
      <c r="EG254"/>
      <c r="EL254" s="37"/>
      <c r="EM254" s="37"/>
      <c r="EO254"/>
      <c r="EP254"/>
      <c r="EU254" s="37"/>
      <c r="EV254" s="37"/>
      <c r="EW254" s="37"/>
    </row>
    <row r="255" spans="42:153" ht="15" hidden="1" customHeight="1">
      <c r="AP255" s="356"/>
      <c r="AQ255" s="356"/>
      <c r="DH255" s="37"/>
      <c r="DI255" s="37"/>
      <c r="DP255" s="37"/>
      <c r="DQ255" s="37"/>
      <c r="DR255" s="37"/>
      <c r="DX255"/>
      <c r="EA255" s="37"/>
      <c r="ED255" s="37"/>
      <c r="EF255"/>
      <c r="EG255"/>
      <c r="EL255" s="37"/>
      <c r="EM255" s="37"/>
      <c r="EO255"/>
      <c r="EP255"/>
      <c r="EU255" s="37"/>
      <c r="EV255" s="37"/>
      <c r="EW255" s="37"/>
    </row>
    <row r="256" spans="42:153" ht="15" hidden="1" customHeight="1">
      <c r="AP256" s="356"/>
      <c r="AQ256" s="356"/>
      <c r="DH256" s="37"/>
      <c r="DI256" s="37"/>
      <c r="DP256" s="37"/>
      <c r="DQ256" s="37"/>
      <c r="DR256" s="37"/>
      <c r="DX256"/>
      <c r="EA256" s="37"/>
      <c r="ED256" s="37"/>
      <c r="EF256"/>
      <c r="EG256"/>
      <c r="EL256" s="37"/>
      <c r="EM256" s="37"/>
      <c r="EO256"/>
      <c r="EP256"/>
      <c r="EU256" s="37"/>
      <c r="EV256" s="37"/>
      <c r="EW256" s="37"/>
    </row>
    <row r="257" spans="42:153" ht="15" hidden="1" customHeight="1">
      <c r="AP257" s="356"/>
      <c r="AQ257" s="356"/>
      <c r="DH257" s="37"/>
      <c r="DI257" s="37"/>
      <c r="DP257" s="37"/>
      <c r="DQ257" s="37"/>
      <c r="DR257" s="37"/>
      <c r="DX257"/>
      <c r="EA257" s="37"/>
      <c r="ED257" s="37"/>
      <c r="EF257"/>
      <c r="EG257"/>
      <c r="EL257" s="37"/>
      <c r="EM257" s="37"/>
      <c r="EO257"/>
      <c r="EP257"/>
      <c r="EU257" s="37"/>
      <c r="EV257" s="37"/>
      <c r="EW257" s="37"/>
    </row>
    <row r="258" spans="42:153" ht="15" hidden="1" customHeight="1">
      <c r="AP258" s="356"/>
      <c r="AQ258" s="356"/>
      <c r="DH258" s="37"/>
      <c r="DI258" s="37"/>
      <c r="DP258" s="37"/>
      <c r="DQ258" s="37"/>
      <c r="DR258" s="37"/>
      <c r="DX258"/>
      <c r="EA258" s="37"/>
      <c r="ED258" s="37"/>
      <c r="EF258"/>
      <c r="EG258"/>
      <c r="EL258" s="37"/>
      <c r="EM258" s="37"/>
      <c r="EO258"/>
      <c r="EP258"/>
      <c r="EU258" s="37"/>
      <c r="EV258" s="37"/>
      <c r="EW258" s="37"/>
    </row>
    <row r="259" spans="42:153" ht="15" hidden="1" customHeight="1">
      <c r="AP259" s="356"/>
      <c r="AQ259" s="356"/>
      <c r="DH259" s="37"/>
      <c r="DI259" s="37"/>
      <c r="DP259" s="37"/>
      <c r="DQ259" s="37"/>
      <c r="DR259" s="37"/>
      <c r="DX259"/>
      <c r="EA259" s="37"/>
      <c r="ED259" s="37"/>
      <c r="EF259"/>
      <c r="EG259"/>
      <c r="EL259" s="37"/>
      <c r="EM259" s="37"/>
      <c r="EO259"/>
      <c r="EP259"/>
      <c r="EU259" s="37"/>
      <c r="EV259" s="37"/>
      <c r="EW259" s="37"/>
    </row>
    <row r="260" spans="42:153" ht="15" hidden="1" customHeight="1">
      <c r="AP260" s="356"/>
      <c r="AQ260" s="356"/>
      <c r="DH260" s="37"/>
      <c r="DI260" s="37"/>
      <c r="DP260" s="37"/>
      <c r="DQ260" s="37"/>
      <c r="DR260" s="37"/>
      <c r="DX260"/>
      <c r="EA260" s="37"/>
      <c r="ED260" s="37"/>
      <c r="EF260"/>
      <c r="EG260"/>
      <c r="EL260" s="37"/>
      <c r="EM260" s="37"/>
      <c r="EO260"/>
      <c r="EP260"/>
      <c r="EU260" s="37"/>
      <c r="EV260" s="37"/>
      <c r="EW260" s="37"/>
    </row>
    <row r="261" spans="42:153" ht="15" hidden="1" customHeight="1">
      <c r="AP261" s="356"/>
      <c r="AQ261" s="356"/>
      <c r="DH261" s="37"/>
      <c r="DI261" s="37"/>
      <c r="DP261" s="37"/>
      <c r="DQ261" s="37"/>
      <c r="DR261" s="37"/>
      <c r="DX261"/>
      <c r="EA261" s="37"/>
      <c r="ED261" s="37"/>
      <c r="EF261"/>
      <c r="EG261"/>
      <c r="EL261" s="37"/>
      <c r="EM261" s="37"/>
      <c r="EO261"/>
      <c r="EP261"/>
      <c r="EU261" s="37"/>
      <c r="EV261" s="37"/>
      <c r="EW261" s="37"/>
    </row>
    <row r="262" spans="42:153" ht="15" hidden="1" customHeight="1">
      <c r="AP262" s="356"/>
      <c r="AQ262" s="356"/>
      <c r="DH262" s="37"/>
      <c r="DI262" s="37"/>
      <c r="DP262" s="37"/>
      <c r="DQ262" s="37"/>
      <c r="DR262" s="37"/>
      <c r="DX262"/>
      <c r="EA262" s="37"/>
      <c r="ED262" s="37"/>
      <c r="EF262"/>
      <c r="EG262"/>
      <c r="EL262" s="37"/>
      <c r="EM262" s="37"/>
      <c r="EO262"/>
      <c r="EP262"/>
      <c r="EU262" s="37"/>
      <c r="EV262" s="37"/>
      <c r="EW262" s="37"/>
    </row>
    <row r="263" spans="42:153" ht="15" hidden="1" customHeight="1">
      <c r="AP263" s="356"/>
      <c r="AQ263" s="356"/>
      <c r="DH263" s="37"/>
      <c r="DI263" s="37"/>
      <c r="DP263" s="37"/>
      <c r="DQ263" s="37"/>
      <c r="DR263" s="37"/>
      <c r="DX263"/>
      <c r="EA263" s="37"/>
      <c r="ED263" s="37"/>
      <c r="EF263"/>
      <c r="EG263"/>
      <c r="EL263" s="37"/>
      <c r="EM263" s="37"/>
      <c r="EO263"/>
      <c r="EP263"/>
      <c r="EU263" s="37"/>
      <c r="EV263" s="37"/>
      <c r="EW263" s="37"/>
    </row>
    <row r="264" spans="42:153" ht="15" hidden="1" customHeight="1">
      <c r="AP264" s="356"/>
      <c r="AQ264" s="356"/>
      <c r="DH264" s="37"/>
      <c r="DI264" s="37"/>
      <c r="DP264" s="37"/>
      <c r="DQ264" s="37"/>
      <c r="DR264" s="37"/>
      <c r="DX264"/>
      <c r="EA264" s="37"/>
      <c r="ED264" s="37"/>
      <c r="EF264"/>
      <c r="EG264"/>
      <c r="EL264" s="37"/>
      <c r="EM264" s="37"/>
      <c r="EO264"/>
      <c r="EP264"/>
      <c r="EU264" s="37"/>
      <c r="EV264" s="37"/>
      <c r="EW264" s="37"/>
    </row>
    <row r="265" spans="42:153" ht="15" hidden="1" customHeight="1">
      <c r="AP265" s="356"/>
      <c r="AQ265" s="356"/>
      <c r="DH265" s="37"/>
      <c r="DI265" s="37"/>
      <c r="DP265" s="37"/>
      <c r="DQ265" s="37"/>
      <c r="DR265" s="37"/>
      <c r="DX265"/>
      <c r="EA265" s="37"/>
      <c r="ED265" s="37"/>
      <c r="EF265"/>
      <c r="EG265"/>
      <c r="EL265" s="37"/>
      <c r="EM265" s="37"/>
      <c r="EO265"/>
      <c r="EP265"/>
      <c r="EU265" s="37"/>
      <c r="EV265" s="37"/>
      <c r="EW265" s="37"/>
    </row>
    <row r="266" spans="42:153" ht="15" hidden="1" customHeight="1">
      <c r="AP266" s="356"/>
      <c r="AQ266" s="356"/>
      <c r="DH266" s="37"/>
      <c r="DI266" s="37"/>
      <c r="DP266" s="37"/>
      <c r="DQ266" s="37"/>
      <c r="DR266" s="37"/>
      <c r="DX266"/>
      <c r="EA266" s="37"/>
      <c r="ED266" s="37"/>
      <c r="EF266"/>
      <c r="EG266"/>
      <c r="EL266" s="37"/>
      <c r="EM266" s="37"/>
      <c r="EO266"/>
      <c r="EP266"/>
      <c r="EU266" s="37"/>
      <c r="EV266" s="37"/>
      <c r="EW266" s="37"/>
    </row>
    <row r="267" spans="42:153" ht="15" hidden="1" customHeight="1">
      <c r="AP267" s="356"/>
      <c r="AQ267" s="356"/>
      <c r="DH267" s="37"/>
      <c r="DI267" s="37"/>
      <c r="DP267" s="37"/>
      <c r="DQ267" s="37"/>
      <c r="DR267" s="37"/>
      <c r="DX267"/>
      <c r="EA267" s="37"/>
      <c r="ED267" s="37"/>
      <c r="EF267"/>
      <c r="EG267"/>
      <c r="EL267" s="37"/>
      <c r="EM267" s="37"/>
      <c r="EO267"/>
      <c r="EP267"/>
      <c r="EU267" s="37"/>
      <c r="EV267" s="37"/>
      <c r="EW267" s="37"/>
    </row>
    <row r="268" spans="42:153" ht="15" hidden="1" customHeight="1">
      <c r="AP268" s="356"/>
      <c r="AQ268" s="356"/>
      <c r="DH268" s="37"/>
      <c r="DI268" s="37"/>
      <c r="DP268" s="37"/>
      <c r="DQ268" s="37"/>
      <c r="DR268" s="37"/>
      <c r="DX268"/>
      <c r="EA268" s="37"/>
      <c r="ED268" s="37"/>
      <c r="EF268"/>
      <c r="EG268"/>
      <c r="EL268" s="37"/>
      <c r="EM268" s="37"/>
      <c r="EO268"/>
      <c r="EP268"/>
      <c r="EU268" s="37"/>
      <c r="EV268" s="37"/>
      <c r="EW268" s="37"/>
    </row>
    <row r="269" spans="42:153" ht="15" hidden="1" customHeight="1">
      <c r="AP269" s="356"/>
      <c r="AQ269" s="356"/>
      <c r="DH269" s="37"/>
      <c r="DI269" s="37"/>
      <c r="DP269" s="37"/>
      <c r="DQ269" s="37"/>
      <c r="DR269" s="37"/>
      <c r="DX269"/>
      <c r="EA269" s="37"/>
      <c r="ED269" s="37"/>
      <c r="EF269"/>
      <c r="EG269"/>
      <c r="EL269" s="37"/>
      <c r="EM269" s="37"/>
      <c r="EO269"/>
      <c r="EP269"/>
      <c r="EU269" s="37"/>
      <c r="EV269" s="37"/>
      <c r="EW269" s="37"/>
    </row>
    <row r="270" spans="42:153" ht="15" hidden="1" customHeight="1">
      <c r="AP270" s="356"/>
      <c r="AQ270" s="356"/>
      <c r="DH270" s="37"/>
      <c r="DI270" s="37"/>
      <c r="DP270" s="37"/>
      <c r="DQ270" s="37"/>
      <c r="DR270" s="37"/>
      <c r="DX270"/>
      <c r="EA270" s="37"/>
      <c r="ED270" s="37"/>
      <c r="EF270"/>
      <c r="EG270"/>
      <c r="EL270" s="37"/>
      <c r="EM270" s="37"/>
      <c r="EO270"/>
      <c r="EP270"/>
      <c r="EU270" s="37"/>
      <c r="EV270" s="37"/>
      <c r="EW270" s="37"/>
    </row>
    <row r="271" spans="42:153" ht="15" hidden="1" customHeight="1">
      <c r="AP271" s="356"/>
      <c r="AQ271" s="356"/>
      <c r="DH271" s="37"/>
      <c r="DI271" s="37"/>
      <c r="DP271" s="37"/>
      <c r="DQ271" s="37"/>
      <c r="DR271" s="37"/>
      <c r="DX271"/>
      <c r="EA271" s="37"/>
      <c r="ED271" s="37"/>
      <c r="EF271"/>
      <c r="EG271"/>
      <c r="EL271" s="37"/>
      <c r="EM271" s="37"/>
      <c r="EO271"/>
      <c r="EP271"/>
      <c r="EU271" s="37"/>
      <c r="EV271" s="37"/>
      <c r="EW271" s="37"/>
    </row>
    <row r="272" spans="42:153" ht="15" hidden="1" customHeight="1">
      <c r="AP272" s="356"/>
      <c r="AQ272" s="356"/>
      <c r="DH272" s="37"/>
      <c r="DI272" s="37"/>
      <c r="DP272" s="37"/>
      <c r="DQ272" s="37"/>
      <c r="DR272" s="37"/>
      <c r="DX272"/>
      <c r="EA272" s="37"/>
      <c r="ED272" s="37"/>
      <c r="EF272"/>
      <c r="EG272"/>
      <c r="EL272" s="37"/>
      <c r="EM272" s="37"/>
      <c r="EO272"/>
      <c r="EP272"/>
      <c r="EU272" s="37"/>
      <c r="EV272" s="37"/>
      <c r="EW272" s="37"/>
    </row>
    <row r="273" spans="42:153" ht="15" hidden="1" customHeight="1">
      <c r="AP273" s="356"/>
      <c r="AQ273" s="356"/>
      <c r="DH273" s="37"/>
      <c r="DI273" s="37"/>
      <c r="DP273" s="37"/>
      <c r="DQ273" s="37"/>
      <c r="DR273" s="37"/>
      <c r="DX273"/>
      <c r="EA273" s="37"/>
      <c r="ED273" s="37"/>
      <c r="EF273"/>
      <c r="EG273"/>
      <c r="EL273" s="37"/>
      <c r="EM273" s="37"/>
      <c r="EO273"/>
      <c r="EP273"/>
      <c r="EU273" s="37"/>
      <c r="EV273" s="37"/>
      <c r="EW273" s="37"/>
    </row>
    <row r="274" spans="42:153" ht="15" hidden="1" customHeight="1">
      <c r="AP274" s="356"/>
      <c r="AQ274" s="356"/>
      <c r="DH274" s="37"/>
      <c r="DI274" s="37"/>
      <c r="DP274" s="37"/>
      <c r="DQ274" s="37"/>
      <c r="DR274" s="37"/>
      <c r="DX274"/>
      <c r="EA274" s="37"/>
      <c r="ED274" s="37"/>
      <c r="EF274"/>
      <c r="EG274"/>
      <c r="EL274" s="37"/>
      <c r="EM274" s="37"/>
      <c r="EO274"/>
      <c r="EP274"/>
      <c r="EU274" s="37"/>
      <c r="EV274" s="37"/>
      <c r="EW274" s="37"/>
    </row>
    <row r="275" spans="42:153" ht="15" hidden="1" customHeight="1">
      <c r="AP275" s="356"/>
      <c r="AQ275" s="356"/>
      <c r="DH275" s="37"/>
      <c r="DI275" s="37"/>
      <c r="DP275" s="37"/>
      <c r="DQ275" s="37"/>
      <c r="DR275" s="37"/>
      <c r="DX275"/>
      <c r="EA275" s="37"/>
      <c r="ED275" s="37"/>
      <c r="EF275"/>
      <c r="EG275"/>
      <c r="EL275" s="37"/>
      <c r="EM275" s="37"/>
      <c r="EO275"/>
      <c r="EP275"/>
      <c r="EU275" s="37"/>
      <c r="EV275" s="37"/>
      <c r="EW275" s="37"/>
    </row>
    <row r="276" spans="42:153" ht="15" hidden="1" customHeight="1">
      <c r="AP276" s="356"/>
      <c r="AQ276" s="356"/>
      <c r="DH276" s="37"/>
      <c r="DI276" s="37"/>
      <c r="DP276" s="37"/>
      <c r="DQ276" s="37"/>
      <c r="DR276" s="37"/>
      <c r="DX276"/>
      <c r="EA276" s="37"/>
      <c r="ED276" s="37"/>
      <c r="EF276"/>
      <c r="EG276"/>
      <c r="EL276" s="37"/>
      <c r="EM276" s="37"/>
      <c r="EO276"/>
      <c r="EP276"/>
      <c r="EU276" s="37"/>
      <c r="EV276" s="37"/>
      <c r="EW276" s="37"/>
    </row>
    <row r="277" spans="42:153" ht="15" hidden="1" customHeight="1">
      <c r="AP277" s="356"/>
      <c r="AQ277" s="356"/>
      <c r="DH277" s="37"/>
      <c r="DI277" s="37"/>
      <c r="DP277" s="37"/>
      <c r="DQ277" s="37"/>
      <c r="DR277" s="37"/>
      <c r="DX277"/>
      <c r="EA277" s="37"/>
      <c r="ED277" s="37"/>
      <c r="EF277"/>
      <c r="EG277"/>
      <c r="EL277" s="37"/>
      <c r="EM277" s="37"/>
      <c r="EO277"/>
      <c r="EP277"/>
      <c r="EU277" s="37"/>
      <c r="EV277" s="37"/>
      <c r="EW277" s="37"/>
    </row>
    <row r="278" spans="42:153" ht="15" hidden="1" customHeight="1">
      <c r="AP278" s="356"/>
      <c r="AQ278" s="356"/>
      <c r="DH278" s="37"/>
      <c r="DI278" s="37"/>
      <c r="DP278" s="37"/>
      <c r="DQ278" s="37"/>
      <c r="DR278" s="37"/>
      <c r="DX278"/>
      <c r="EA278" s="37"/>
      <c r="ED278" s="37"/>
      <c r="EF278"/>
      <c r="EG278"/>
      <c r="EL278" s="37"/>
      <c r="EM278" s="37"/>
      <c r="EO278"/>
      <c r="EP278"/>
      <c r="EU278" s="37"/>
      <c r="EV278" s="37"/>
      <c r="EW278" s="37"/>
    </row>
    <row r="279" spans="42:153" ht="15" hidden="1" customHeight="1">
      <c r="AP279" s="356"/>
      <c r="AQ279" s="356"/>
      <c r="DH279" s="37"/>
      <c r="DI279" s="37"/>
      <c r="DP279" s="37"/>
      <c r="DQ279" s="37"/>
      <c r="DR279" s="37"/>
      <c r="DX279"/>
      <c r="EA279" s="37"/>
      <c r="ED279" s="37"/>
      <c r="EF279"/>
      <c r="EG279"/>
      <c r="EL279" s="37"/>
      <c r="EM279" s="37"/>
      <c r="EO279"/>
      <c r="EP279"/>
      <c r="EU279" s="37"/>
      <c r="EV279" s="37"/>
      <c r="EW279" s="37"/>
    </row>
    <row r="280" spans="42:153" ht="15" hidden="1" customHeight="1">
      <c r="AP280" s="356"/>
      <c r="AQ280" s="356"/>
      <c r="DH280" s="37"/>
      <c r="DI280" s="37"/>
      <c r="DP280" s="37"/>
      <c r="DQ280" s="37"/>
      <c r="DR280" s="37"/>
      <c r="DX280"/>
      <c r="EA280" s="37"/>
      <c r="ED280" s="37"/>
      <c r="EF280"/>
      <c r="EG280"/>
      <c r="EL280" s="37"/>
      <c r="EM280" s="37"/>
      <c r="EO280"/>
      <c r="EP280"/>
      <c r="EU280" s="37"/>
      <c r="EV280" s="37"/>
      <c r="EW280" s="37"/>
    </row>
    <row r="281" spans="42:153" ht="15" hidden="1" customHeight="1">
      <c r="AP281" s="356"/>
      <c r="AQ281" s="356"/>
      <c r="DH281" s="37"/>
      <c r="DI281" s="37"/>
      <c r="DP281" s="37"/>
      <c r="DQ281" s="37"/>
      <c r="DR281" s="37"/>
      <c r="DX281"/>
      <c r="EA281" s="37"/>
      <c r="ED281" s="37"/>
      <c r="EF281"/>
      <c r="EG281"/>
      <c r="EL281" s="37"/>
      <c r="EM281" s="37"/>
      <c r="EO281"/>
      <c r="EP281"/>
      <c r="EU281" s="37"/>
      <c r="EV281" s="37"/>
      <c r="EW281" s="37"/>
    </row>
    <row r="282" spans="42:153" ht="15" hidden="1" customHeight="1">
      <c r="AP282" s="356"/>
      <c r="AQ282" s="356"/>
      <c r="DH282" s="37"/>
      <c r="DI282" s="37"/>
      <c r="DP282" s="37"/>
      <c r="DQ282" s="37"/>
      <c r="DR282" s="37"/>
      <c r="DX282"/>
      <c r="EA282" s="37"/>
      <c r="ED282" s="37"/>
      <c r="EF282"/>
      <c r="EG282"/>
      <c r="EL282" s="37"/>
      <c r="EM282" s="37"/>
      <c r="EO282"/>
      <c r="EP282"/>
      <c r="EU282" s="37"/>
      <c r="EV282" s="37"/>
      <c r="EW282" s="37"/>
    </row>
    <row r="283" spans="42:153" ht="15" hidden="1" customHeight="1">
      <c r="AP283" s="356"/>
      <c r="AQ283" s="356"/>
      <c r="DH283" s="37"/>
      <c r="DI283" s="37"/>
      <c r="DP283" s="37"/>
      <c r="DQ283" s="37"/>
      <c r="DR283" s="37"/>
      <c r="DX283"/>
      <c r="EA283" s="37"/>
      <c r="ED283" s="37"/>
      <c r="EF283"/>
      <c r="EG283"/>
      <c r="EL283" s="37"/>
      <c r="EM283" s="37"/>
      <c r="EO283"/>
      <c r="EP283"/>
      <c r="EU283" s="37"/>
      <c r="EV283" s="37"/>
      <c r="EW283" s="37"/>
    </row>
    <row r="284" spans="42:153" ht="15" hidden="1" customHeight="1">
      <c r="AP284" s="356"/>
      <c r="AQ284" s="356"/>
      <c r="DH284" s="37"/>
      <c r="DI284" s="37"/>
      <c r="DP284" s="37"/>
      <c r="DQ284" s="37"/>
      <c r="DR284" s="37"/>
      <c r="DX284"/>
      <c r="EA284" s="37"/>
      <c r="ED284" s="37"/>
      <c r="EF284"/>
      <c r="EG284"/>
      <c r="EL284" s="37"/>
      <c r="EM284" s="37"/>
      <c r="EO284"/>
      <c r="EP284"/>
      <c r="EU284" s="37"/>
      <c r="EV284" s="37"/>
      <c r="EW284" s="37"/>
    </row>
    <row r="285" spans="42:153" ht="15" hidden="1" customHeight="1">
      <c r="AP285" s="356"/>
      <c r="AQ285" s="356"/>
      <c r="DH285" s="37"/>
      <c r="DI285" s="37"/>
      <c r="DP285" s="37"/>
      <c r="DQ285" s="37"/>
      <c r="DR285" s="37"/>
      <c r="DX285"/>
      <c r="EA285" s="37"/>
      <c r="ED285" s="37"/>
      <c r="EF285"/>
      <c r="EG285"/>
      <c r="EL285" s="37"/>
      <c r="EM285" s="37"/>
      <c r="EO285"/>
      <c r="EP285"/>
      <c r="EU285" s="37"/>
      <c r="EV285" s="37"/>
      <c r="EW285" s="37"/>
    </row>
    <row r="286" spans="42:153" ht="15" hidden="1" customHeight="1">
      <c r="AP286" s="356"/>
      <c r="AQ286" s="356"/>
      <c r="DH286" s="37"/>
      <c r="DI286" s="37"/>
      <c r="DP286" s="37"/>
      <c r="DQ286" s="37"/>
      <c r="DR286" s="37"/>
      <c r="DX286"/>
      <c r="EA286" s="37"/>
      <c r="ED286" s="37"/>
      <c r="EF286"/>
      <c r="EG286"/>
      <c r="EL286" s="37"/>
      <c r="EM286" s="37"/>
      <c r="EO286"/>
      <c r="EP286"/>
      <c r="EU286" s="37"/>
      <c r="EV286" s="37"/>
      <c r="EW286" s="37"/>
    </row>
    <row r="287" spans="42:153" ht="15" hidden="1" customHeight="1">
      <c r="AP287" s="356"/>
      <c r="AQ287" s="356"/>
      <c r="DH287" s="37"/>
      <c r="DI287" s="37"/>
      <c r="DP287" s="37"/>
      <c r="DQ287" s="37"/>
      <c r="DR287" s="37"/>
      <c r="DX287"/>
      <c r="EA287" s="37"/>
      <c r="ED287" s="37"/>
      <c r="EF287"/>
      <c r="EG287"/>
      <c r="EL287" s="37"/>
      <c r="EM287" s="37"/>
      <c r="EO287"/>
      <c r="EP287"/>
      <c r="EU287" s="37"/>
      <c r="EV287" s="37"/>
      <c r="EW287" s="37"/>
    </row>
    <row r="288" spans="42:153" ht="15" hidden="1" customHeight="1">
      <c r="AP288" s="356"/>
      <c r="AQ288" s="356"/>
      <c r="DH288" s="37"/>
      <c r="DI288" s="37"/>
      <c r="DP288" s="37"/>
      <c r="DQ288" s="37"/>
      <c r="DR288" s="37"/>
      <c r="DX288"/>
      <c r="EA288" s="37"/>
      <c r="ED288" s="37"/>
      <c r="EF288"/>
      <c r="EG288"/>
      <c r="EL288" s="37"/>
      <c r="EM288" s="37"/>
      <c r="EO288"/>
      <c r="EP288"/>
      <c r="EU288" s="37"/>
      <c r="EV288" s="37"/>
      <c r="EW288" s="37"/>
    </row>
    <row r="289" spans="42:153" ht="15" hidden="1" customHeight="1">
      <c r="AP289" s="356"/>
      <c r="AQ289" s="356"/>
      <c r="DH289" s="37"/>
      <c r="DI289" s="37"/>
      <c r="DP289" s="37"/>
      <c r="DQ289" s="37"/>
      <c r="DR289" s="37"/>
      <c r="DX289"/>
      <c r="EA289" s="37"/>
      <c r="ED289" s="37"/>
      <c r="EF289"/>
      <c r="EG289"/>
      <c r="EL289" s="37"/>
      <c r="EM289" s="37"/>
      <c r="EO289"/>
      <c r="EP289"/>
      <c r="EU289" s="37"/>
      <c r="EV289" s="37"/>
      <c r="EW289" s="37"/>
    </row>
    <row r="290" spans="42:153" ht="15" hidden="1" customHeight="1">
      <c r="AP290" s="356"/>
      <c r="AQ290" s="356"/>
      <c r="DH290" s="37"/>
      <c r="DI290" s="37"/>
      <c r="DP290" s="37"/>
      <c r="DQ290" s="37"/>
      <c r="DR290" s="37"/>
      <c r="DX290"/>
      <c r="EA290" s="37"/>
      <c r="ED290" s="37"/>
      <c r="EF290"/>
      <c r="EG290"/>
      <c r="EL290" s="37"/>
      <c r="EM290" s="37"/>
      <c r="EO290"/>
      <c r="EP290"/>
      <c r="EU290" s="37"/>
      <c r="EV290" s="37"/>
      <c r="EW290" s="37"/>
    </row>
    <row r="291" spans="42:153" ht="15" hidden="1" customHeight="1">
      <c r="AP291" s="356"/>
      <c r="AQ291" s="356"/>
      <c r="DH291" s="37"/>
      <c r="DI291" s="37"/>
      <c r="DP291" s="37"/>
      <c r="DQ291" s="37"/>
      <c r="DR291" s="37"/>
      <c r="DX291"/>
      <c r="EA291" s="37"/>
      <c r="ED291" s="37"/>
      <c r="EF291"/>
      <c r="EG291"/>
      <c r="EL291" s="37"/>
      <c r="EM291" s="37"/>
      <c r="EO291"/>
      <c r="EP291"/>
      <c r="EU291" s="37"/>
      <c r="EV291" s="37"/>
      <c r="EW291" s="37"/>
    </row>
    <row r="292" spans="42:153" ht="15" hidden="1" customHeight="1">
      <c r="AP292" s="356"/>
      <c r="AQ292" s="356"/>
      <c r="DH292" s="37"/>
      <c r="DI292" s="37"/>
      <c r="DP292" s="37"/>
      <c r="DQ292" s="37"/>
      <c r="DR292" s="37"/>
      <c r="DX292"/>
      <c r="EA292" s="37"/>
      <c r="ED292" s="37"/>
      <c r="EF292"/>
      <c r="EG292"/>
      <c r="EL292" s="37"/>
      <c r="EM292" s="37"/>
      <c r="EO292"/>
      <c r="EP292"/>
      <c r="EU292" s="37"/>
      <c r="EV292" s="37"/>
      <c r="EW292" s="37"/>
    </row>
    <row r="293" spans="42:153" ht="15" hidden="1" customHeight="1">
      <c r="AP293" s="356"/>
      <c r="AQ293" s="356"/>
      <c r="DH293" s="37"/>
      <c r="DI293" s="37"/>
      <c r="DP293" s="37"/>
      <c r="DQ293" s="37"/>
      <c r="DR293" s="37"/>
      <c r="DX293"/>
      <c r="EA293" s="37"/>
      <c r="ED293" s="37"/>
      <c r="EF293"/>
      <c r="EG293"/>
      <c r="EL293" s="37"/>
      <c r="EM293" s="37"/>
      <c r="EO293"/>
      <c r="EP293"/>
      <c r="EU293" s="37"/>
      <c r="EV293" s="37"/>
      <c r="EW293" s="37"/>
    </row>
    <row r="294" spans="42:153" ht="0" hidden="1" customHeight="1">
      <c r="AP294" s="356"/>
      <c r="AQ294" s="356"/>
      <c r="DH294" s="37"/>
      <c r="DI294" s="37"/>
      <c r="DP294" s="37"/>
      <c r="DQ294" s="37"/>
      <c r="DR294" s="37"/>
      <c r="DX294"/>
      <c r="EA294" s="37"/>
      <c r="ED294" s="37"/>
      <c r="EF294"/>
      <c r="EG294"/>
      <c r="EL294" s="37"/>
      <c r="EM294" s="37"/>
      <c r="EO294"/>
      <c r="EP294"/>
      <c r="EU294" s="37"/>
      <c r="EV294" s="37"/>
      <c r="EW294" s="37"/>
    </row>
    <row r="295" spans="42:153" ht="0" hidden="1" customHeight="1">
      <c r="AP295" s="356"/>
      <c r="AQ295" s="356"/>
      <c r="DH295" s="37"/>
      <c r="DI295" s="37"/>
      <c r="DP295" s="37"/>
      <c r="DQ295" s="37"/>
      <c r="DR295" s="37"/>
      <c r="DX295"/>
      <c r="EA295" s="37"/>
      <c r="ED295" s="37"/>
      <c r="EF295"/>
      <c r="EG295"/>
      <c r="EL295" s="37"/>
      <c r="EM295" s="37"/>
      <c r="EO295"/>
      <c r="EP295"/>
      <c r="EU295" s="37"/>
      <c r="EV295" s="37"/>
      <c r="EW295" s="37"/>
    </row>
    <row r="296" spans="42:153" ht="0" hidden="1" customHeight="1">
      <c r="AP296" s="356"/>
      <c r="AQ296" s="356"/>
      <c r="DH296" s="37"/>
      <c r="DI296" s="37"/>
      <c r="DP296" s="37"/>
      <c r="DQ296" s="37"/>
      <c r="DR296" s="37"/>
      <c r="DX296"/>
      <c r="EA296" s="37"/>
      <c r="ED296" s="37"/>
      <c r="EF296"/>
      <c r="EG296"/>
      <c r="EL296" s="37"/>
      <c r="EM296" s="37"/>
      <c r="EO296"/>
      <c r="EP296"/>
      <c r="EU296" s="37"/>
      <c r="EV296" s="37"/>
      <c r="EW296" s="37"/>
    </row>
    <row r="297" spans="42:153" ht="0" hidden="1" customHeight="1">
      <c r="AP297" s="356"/>
      <c r="AQ297" s="356"/>
      <c r="DH297" s="37"/>
      <c r="DI297" s="37"/>
      <c r="DP297" s="37"/>
      <c r="DQ297" s="37"/>
      <c r="DR297" s="37"/>
      <c r="DX297"/>
      <c r="EA297" s="37"/>
      <c r="ED297" s="37"/>
      <c r="EF297"/>
      <c r="EG297"/>
      <c r="EL297" s="37"/>
      <c r="EM297" s="37"/>
      <c r="EO297"/>
      <c r="EP297"/>
      <c r="EU297" s="37"/>
      <c r="EV297" s="37"/>
      <c r="EW297" s="37"/>
    </row>
    <row r="298" spans="42:153" ht="0" hidden="1" customHeight="1">
      <c r="DH298" s="37"/>
      <c r="DI298" s="37"/>
      <c r="DP298" s="37"/>
      <c r="DQ298" s="37"/>
      <c r="DR298" s="37"/>
      <c r="DX298"/>
      <c r="EA298" s="37"/>
      <c r="ED298" s="37"/>
      <c r="EF298"/>
      <c r="EG298"/>
      <c r="EL298" s="37"/>
      <c r="EM298" s="37"/>
      <c r="EO298"/>
      <c r="EP298"/>
      <c r="EU298" s="37"/>
      <c r="EV298" s="37"/>
      <c r="EW298" s="37"/>
    </row>
  </sheetData>
  <mergeCells count="14">
    <mergeCell ref="DH2:DR3"/>
    <mergeCell ref="DS2:EC3"/>
    <mergeCell ref="ED2:EN3"/>
    <mergeCell ref="EO2:EY3"/>
    <mergeCell ref="BE2:BO3"/>
    <mergeCell ref="BP2:BZ3"/>
    <mergeCell ref="CA2:CK3"/>
    <mergeCell ref="CL2:CV3"/>
    <mergeCell ref="CW2:DG3"/>
    <mergeCell ref="C2:O3"/>
    <mergeCell ref="P2:W3"/>
    <mergeCell ref="X2:AH3"/>
    <mergeCell ref="AI2:AS3"/>
    <mergeCell ref="AT2:BD3"/>
  </mergeCells>
  <conditionalFormatting sqref="AJ185:AJ192">
    <cfRule type="cellIs" dxfId="1044" priority="4" operator="greaterThanOrEqual">
      <formula>0.15</formula>
    </cfRule>
  </conditionalFormatting>
  <conditionalFormatting sqref="AG185:AH192">
    <cfRule type="cellIs" dxfId="1043" priority="3" operator="greaterThanOrEqual">
      <formula>0.15</formula>
    </cfRule>
  </conditionalFormatting>
  <conditionalFormatting sqref="AG5:AH1048576">
    <cfRule type="cellIs" dxfId="1042" priority="2" operator="greaterThanOrEqual">
      <formula>0.15</formula>
    </cfRule>
  </conditionalFormatting>
  <conditionalFormatting sqref="AR5:AS1048576">
    <cfRule type="cellIs" dxfId="1041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98C1-EC0B-4644-901F-FECF2BAB4CCD}">
  <dimension ref="A1:EW184"/>
  <sheetViews>
    <sheetView showGridLines="0" topLeftCell="AE1" workbookViewId="0">
      <selection activeCell="AL16" sqref="AL16"/>
    </sheetView>
  </sheetViews>
  <sheetFormatPr defaultRowHeight="15" customHeight="1" zeroHeight="1"/>
  <cols>
    <col min="1" max="1" width="42.7109375" style="2" customWidth="1"/>
    <col min="2" max="2" width="9.140625" customWidth="1"/>
    <col min="3" max="3" width="66.5703125" bestFit="1" customWidth="1"/>
    <col min="4" max="4" width="23.140625" customWidth="1"/>
    <col min="5" max="5" width="12.42578125" customWidth="1"/>
    <col min="6" max="6" width="24.7109375" customWidth="1"/>
    <col min="7" max="7" width="28" customWidth="1"/>
    <col min="8" max="8" width="50.42578125" customWidth="1"/>
    <col min="9" max="9" width="20" customWidth="1"/>
    <col min="10" max="10" width="23" bestFit="1" customWidth="1"/>
    <col min="11" max="11" width="37" customWidth="1"/>
    <col min="12" max="12" width="18.85546875" style="355" customWidth="1"/>
    <col min="13" max="18" width="18.85546875" customWidth="1"/>
    <col min="19" max="19" width="24.7109375" customWidth="1"/>
    <col min="20" max="20" width="19" customWidth="1"/>
    <col min="21" max="21" width="18.85546875" customWidth="1"/>
    <col min="22" max="23" width="24.7109375" customWidth="1"/>
    <col min="24" max="24" width="16.5703125" customWidth="1"/>
    <col min="25" max="25" width="19.42578125" customWidth="1"/>
    <col min="26" max="27" width="19.7109375" customWidth="1"/>
    <col min="28" max="28" width="29.42578125" customWidth="1"/>
    <col min="29" max="29" width="21.85546875" customWidth="1"/>
    <col min="30" max="30" width="19.7109375" customWidth="1"/>
    <col min="31" max="31" width="23.140625" customWidth="1"/>
    <col min="32" max="33" width="24.140625" customWidth="1"/>
    <col min="34" max="34" width="24.7109375" customWidth="1"/>
    <col min="35" max="35" width="16.5703125" customWidth="1"/>
    <col min="36" max="36" width="19.42578125" customWidth="1"/>
    <col min="37" max="38" width="19.7109375" customWidth="1"/>
    <col min="39" max="39" width="26.42578125" customWidth="1"/>
    <col min="40" max="40" width="21.85546875" customWidth="1"/>
    <col min="41" max="41" width="19.7109375" customWidth="1"/>
    <col min="42" max="42" width="23.140625" customWidth="1"/>
    <col min="43" max="44" width="24.140625" customWidth="1"/>
    <col min="45" max="45" width="24.7109375" customWidth="1"/>
    <col min="46" max="46" width="16.5703125" customWidth="1"/>
    <col min="47" max="47" width="19.42578125" customWidth="1"/>
    <col min="48" max="50" width="19.7109375" customWidth="1"/>
    <col min="51" max="51" width="21.85546875" customWidth="1"/>
    <col min="52" max="52" width="19.7109375" customWidth="1"/>
    <col min="53" max="53" width="23.140625" customWidth="1"/>
    <col min="54" max="55" width="24.140625" customWidth="1"/>
    <col min="56" max="56" width="24.7109375" customWidth="1"/>
    <col min="57" max="57" width="16.5703125" customWidth="1"/>
    <col min="58" max="58" width="19.42578125" customWidth="1"/>
    <col min="59" max="61" width="19.7109375" customWidth="1"/>
    <col min="62" max="62" width="23" customWidth="1"/>
    <col min="63" max="63" width="19.7109375" customWidth="1"/>
    <col min="64" max="64" width="23.140625" customWidth="1"/>
    <col min="65" max="66" width="24.140625" customWidth="1"/>
    <col min="67" max="67" width="24.7109375" customWidth="1"/>
    <col min="68" max="68" width="16.5703125" customWidth="1"/>
    <col min="69" max="69" width="19.42578125" customWidth="1"/>
    <col min="70" max="72" width="19.7109375" customWidth="1"/>
    <col min="73" max="73" width="21.85546875" customWidth="1"/>
    <col min="74" max="74" width="19.7109375" customWidth="1"/>
    <col min="75" max="75" width="23.140625" customWidth="1"/>
    <col min="76" max="77" width="24.140625" customWidth="1"/>
    <col min="78" max="78" width="24.7109375" customWidth="1"/>
    <col min="79" max="79" width="16.5703125" customWidth="1"/>
    <col min="80" max="80" width="19.42578125" customWidth="1"/>
    <col min="81" max="83" width="19.7109375" customWidth="1"/>
    <col min="84" max="84" width="21.85546875" customWidth="1"/>
    <col min="85" max="85" width="19.7109375" customWidth="1"/>
    <col min="86" max="86" width="23.140625" customWidth="1"/>
    <col min="87" max="88" width="24.140625" customWidth="1"/>
    <col min="89" max="89" width="24.7109375" customWidth="1"/>
    <col min="90" max="90" width="16.5703125" customWidth="1"/>
    <col min="91" max="91" width="19.42578125" customWidth="1"/>
    <col min="92" max="94" width="19.7109375" customWidth="1"/>
    <col min="95" max="95" width="21.85546875" customWidth="1"/>
    <col min="96" max="96" width="19.7109375" customWidth="1"/>
    <col min="97" max="97" width="23.140625" customWidth="1"/>
    <col min="98" max="99" width="24.140625" customWidth="1"/>
    <col min="100" max="100" width="24.7109375" customWidth="1"/>
    <col min="101" max="101" width="16.5703125" customWidth="1"/>
    <col min="102" max="102" width="19.42578125" customWidth="1"/>
    <col min="103" max="105" width="19.7109375" customWidth="1"/>
    <col min="106" max="106" width="21.85546875" customWidth="1"/>
    <col min="107" max="107" width="19.7109375" customWidth="1"/>
    <col min="108" max="108" width="23.140625" customWidth="1"/>
    <col min="109" max="110" width="24.140625" customWidth="1"/>
    <col min="111" max="111" width="24.7109375" customWidth="1"/>
    <col min="112" max="112" width="16.5703125" customWidth="1"/>
    <col min="113" max="113" width="19.42578125" customWidth="1"/>
    <col min="114" max="116" width="19.7109375" customWidth="1"/>
    <col min="117" max="117" width="21.85546875" customWidth="1"/>
    <col min="118" max="118" width="19.7109375" customWidth="1"/>
    <col min="119" max="119" width="23.140625" customWidth="1"/>
    <col min="120" max="121" width="24.140625" customWidth="1"/>
    <col min="122" max="122" width="9.140625" customWidth="1"/>
    <col min="123" max="123" width="17.5703125" customWidth="1"/>
    <col min="124" max="124" width="20.5703125" bestFit="1" customWidth="1"/>
    <col min="125" max="125" width="19.7109375" bestFit="1" customWidth="1"/>
    <col min="126" max="127" width="19.7109375" customWidth="1"/>
    <col min="128" max="128" width="23" customWidth="1"/>
    <col min="129" max="129" width="19.7109375" customWidth="1"/>
    <col min="130" max="130" width="24.28515625" bestFit="1" customWidth="1"/>
    <col min="131" max="131" width="25.140625" bestFit="1" customWidth="1"/>
    <col min="132" max="132" width="25.140625" customWidth="1"/>
    <col min="133" max="133" width="14.140625" bestFit="1" customWidth="1"/>
    <col min="134" max="134" width="17.5703125" customWidth="1"/>
    <col min="135" max="135" width="20.5703125" bestFit="1" customWidth="1"/>
    <col min="136" max="136" width="19.7109375" bestFit="1" customWidth="1"/>
    <col min="137" max="138" width="19.7109375" customWidth="1"/>
    <col min="139" max="139" width="23" customWidth="1"/>
    <col min="140" max="140" width="19.7109375" customWidth="1"/>
    <col min="141" max="141" width="24.28515625" bestFit="1" customWidth="1"/>
    <col min="142" max="142" width="25.140625" bestFit="1" customWidth="1"/>
    <col min="143" max="143" width="25.140625" customWidth="1"/>
    <col min="144" max="144" width="14.140625" bestFit="1" customWidth="1"/>
    <col min="145" max="145" width="17.5703125" customWidth="1"/>
    <col min="146" max="146" width="20.5703125" bestFit="1" customWidth="1"/>
    <col min="147" max="147" width="19.7109375" bestFit="1" customWidth="1"/>
    <col min="148" max="149" width="19.7109375" customWidth="1"/>
    <col min="150" max="150" width="23" bestFit="1" customWidth="1"/>
    <col min="151" max="151" width="19.7109375" customWidth="1"/>
    <col min="152" max="152" width="24.28515625" bestFit="1" customWidth="1"/>
    <col min="153" max="153" width="25.140625" bestFit="1" customWidth="1"/>
  </cols>
  <sheetData>
    <row r="1" spans="1:153" ht="15" customHeight="1"/>
    <row r="2" spans="1:153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22"/>
      <c r="M2" s="1231" t="s">
        <v>675</v>
      </c>
      <c r="N2" s="1231"/>
      <c r="O2" s="1231"/>
      <c r="P2" s="1231"/>
      <c r="Q2" s="1231"/>
      <c r="R2" s="1231"/>
      <c r="S2" s="1231"/>
      <c r="T2" s="1231"/>
      <c r="U2" s="1231"/>
      <c r="V2" s="1223" t="s">
        <v>2</v>
      </c>
      <c r="W2" s="1224"/>
      <c r="X2" s="1224"/>
      <c r="Y2" s="1224"/>
      <c r="Z2" s="1224"/>
      <c r="AA2" s="1224"/>
      <c r="AB2" s="1224"/>
      <c r="AC2" s="1224"/>
      <c r="AD2" s="1224"/>
      <c r="AE2" s="1224"/>
      <c r="AF2" s="1224"/>
      <c r="AG2" s="1225" t="s">
        <v>3</v>
      </c>
      <c r="AH2" s="1226"/>
      <c r="AI2" s="1226"/>
      <c r="AJ2" s="1226"/>
      <c r="AK2" s="1226"/>
      <c r="AL2" s="1226"/>
      <c r="AM2" s="1226"/>
      <c r="AN2" s="1226"/>
      <c r="AO2" s="1226"/>
      <c r="AP2" s="1226"/>
      <c r="AQ2" s="1227"/>
      <c r="AR2" s="1232" t="s">
        <v>4</v>
      </c>
      <c r="AS2" s="1205"/>
      <c r="AT2" s="1205"/>
      <c r="AU2" s="1205"/>
      <c r="AV2" s="1205"/>
      <c r="AW2" s="1205"/>
      <c r="AX2" s="1205"/>
      <c r="AY2" s="1205"/>
      <c r="AZ2" s="1205"/>
      <c r="BA2" s="1205"/>
      <c r="BB2" s="1205"/>
      <c r="BC2" s="1208" t="s">
        <v>5</v>
      </c>
      <c r="BD2" s="1208"/>
      <c r="BE2" s="1208"/>
      <c r="BF2" s="1208"/>
      <c r="BG2" s="1208"/>
      <c r="BH2" s="1208"/>
      <c r="BI2" s="1208"/>
      <c r="BJ2" s="1208"/>
      <c r="BK2" s="1208"/>
      <c r="BL2" s="1208"/>
      <c r="BM2" s="1208"/>
      <c r="BN2" s="1205" t="s">
        <v>6</v>
      </c>
      <c r="BO2" s="1205"/>
      <c r="BP2" s="1205"/>
      <c r="BQ2" s="1205"/>
      <c r="BR2" s="1205"/>
      <c r="BS2" s="1205"/>
      <c r="BT2" s="1205"/>
      <c r="BU2" s="1205"/>
      <c r="BV2" s="1205"/>
      <c r="BW2" s="1205"/>
      <c r="BX2" s="1205"/>
      <c r="BY2" s="1208" t="s">
        <v>7</v>
      </c>
      <c r="BZ2" s="1208"/>
      <c r="CA2" s="1208"/>
      <c r="CB2" s="1208"/>
      <c r="CC2" s="1208"/>
      <c r="CD2" s="1208"/>
      <c r="CE2" s="1208"/>
      <c r="CF2" s="1208"/>
      <c r="CG2" s="1208"/>
      <c r="CH2" s="1208"/>
      <c r="CI2" s="1208"/>
      <c r="CJ2" s="1205" t="s">
        <v>8</v>
      </c>
      <c r="CK2" s="1205"/>
      <c r="CL2" s="1205"/>
      <c r="CM2" s="1205"/>
      <c r="CN2" s="1205"/>
      <c r="CO2" s="1205"/>
      <c r="CP2" s="1205"/>
      <c r="CQ2" s="1205"/>
      <c r="CR2" s="1205"/>
      <c r="CS2" s="1205"/>
      <c r="CT2" s="1205"/>
      <c r="CU2" s="1208" t="s">
        <v>9</v>
      </c>
      <c r="CV2" s="1208"/>
      <c r="CW2" s="1208"/>
      <c r="CX2" s="1208"/>
      <c r="CY2" s="1208"/>
      <c r="CZ2" s="1208"/>
      <c r="DA2" s="1208"/>
      <c r="DB2" s="1208"/>
      <c r="DC2" s="1208"/>
      <c r="DD2" s="1208"/>
      <c r="DE2" s="1208"/>
      <c r="DF2" s="1205" t="s">
        <v>10</v>
      </c>
      <c r="DG2" s="1205"/>
      <c r="DH2" s="1205"/>
      <c r="DI2" s="1205"/>
      <c r="DJ2" s="1205"/>
      <c r="DK2" s="1205"/>
      <c r="DL2" s="1205"/>
      <c r="DM2" s="1205"/>
      <c r="DN2" s="1205"/>
      <c r="DO2" s="1205"/>
      <c r="DP2" s="1205"/>
      <c r="DQ2" s="1208" t="s">
        <v>11</v>
      </c>
      <c r="DR2" s="1208"/>
      <c r="DS2" s="1208"/>
      <c r="DT2" s="1208"/>
      <c r="DU2" s="1208"/>
      <c r="DV2" s="1208"/>
      <c r="DW2" s="1208"/>
      <c r="DX2" s="1208"/>
      <c r="DY2" s="1208"/>
      <c r="DZ2" s="1208"/>
      <c r="EA2" s="1208"/>
      <c r="EB2" s="1205" t="s">
        <v>12</v>
      </c>
      <c r="EC2" s="1205"/>
      <c r="ED2" s="1205"/>
      <c r="EE2" s="1205"/>
      <c r="EF2" s="1205"/>
      <c r="EG2" s="1205"/>
      <c r="EH2" s="1205"/>
      <c r="EI2" s="1205"/>
      <c r="EJ2" s="1205"/>
      <c r="EK2" s="1205"/>
      <c r="EL2" s="1205"/>
      <c r="EM2" s="1208" t="s">
        <v>1</v>
      </c>
      <c r="EN2" s="1208"/>
      <c r="EO2" s="1208"/>
      <c r="EP2" s="1208"/>
      <c r="EQ2" s="1208"/>
      <c r="ER2" s="1208"/>
      <c r="ES2" s="1208"/>
      <c r="ET2" s="1208"/>
      <c r="EU2" s="1208"/>
      <c r="EV2" s="1208"/>
      <c r="EW2" s="1208"/>
    </row>
    <row r="3" spans="1:153" ht="21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22"/>
      <c r="M3" s="1231"/>
      <c r="N3" s="1231"/>
      <c r="O3" s="1231"/>
      <c r="P3" s="1231"/>
      <c r="Q3" s="1231"/>
      <c r="R3" s="1231"/>
      <c r="S3" s="1231"/>
      <c r="T3" s="1231"/>
      <c r="U3" s="1231"/>
      <c r="V3" s="1223"/>
      <c r="W3" s="1224"/>
      <c r="X3" s="1224"/>
      <c r="Y3" s="1224"/>
      <c r="Z3" s="1224"/>
      <c r="AA3" s="1224"/>
      <c r="AB3" s="1224"/>
      <c r="AC3" s="1224"/>
      <c r="AD3" s="1224"/>
      <c r="AE3" s="1224"/>
      <c r="AF3" s="1224"/>
      <c r="AG3" s="1228"/>
      <c r="AH3" s="1229"/>
      <c r="AI3" s="1229"/>
      <c r="AJ3" s="1229"/>
      <c r="AK3" s="1229"/>
      <c r="AL3" s="1229"/>
      <c r="AM3" s="1229"/>
      <c r="AN3" s="1229"/>
      <c r="AO3" s="1229"/>
      <c r="AP3" s="1229"/>
      <c r="AQ3" s="1230"/>
      <c r="AR3" s="1233"/>
      <c r="AS3" s="1206"/>
      <c r="AT3" s="1206"/>
      <c r="AU3" s="1206"/>
      <c r="AV3" s="1206"/>
      <c r="AW3" s="1206"/>
      <c r="AX3" s="1206"/>
      <c r="AY3" s="1206"/>
      <c r="AZ3" s="1206"/>
      <c r="BA3" s="1206"/>
      <c r="BB3" s="1206"/>
      <c r="BC3" s="1209"/>
      <c r="BD3" s="1209"/>
      <c r="BE3" s="1209"/>
      <c r="BF3" s="1209"/>
      <c r="BG3" s="1209"/>
      <c r="BH3" s="1209"/>
      <c r="BI3" s="1209"/>
      <c r="BJ3" s="1209"/>
      <c r="BK3" s="1209"/>
      <c r="BL3" s="1209"/>
      <c r="BM3" s="1209"/>
      <c r="BN3" s="1206"/>
      <c r="BO3" s="1206"/>
      <c r="BP3" s="1206"/>
      <c r="BQ3" s="1206"/>
      <c r="BR3" s="1206"/>
      <c r="BS3" s="1206"/>
      <c r="BT3" s="1206"/>
      <c r="BU3" s="1206"/>
      <c r="BV3" s="1206"/>
      <c r="BW3" s="1206"/>
      <c r="BX3" s="1206"/>
      <c r="BY3" s="1209"/>
      <c r="BZ3" s="1209"/>
      <c r="CA3" s="1209"/>
      <c r="CB3" s="1209"/>
      <c r="CC3" s="1209"/>
      <c r="CD3" s="1209"/>
      <c r="CE3" s="1209"/>
      <c r="CF3" s="1209"/>
      <c r="CG3" s="1209"/>
      <c r="CH3" s="1209"/>
      <c r="CI3" s="1209"/>
      <c r="CJ3" s="1206"/>
      <c r="CK3" s="1206"/>
      <c r="CL3" s="1206"/>
      <c r="CM3" s="1206"/>
      <c r="CN3" s="1206"/>
      <c r="CO3" s="1206"/>
      <c r="CP3" s="1206"/>
      <c r="CQ3" s="1206"/>
      <c r="CR3" s="1206"/>
      <c r="CS3" s="1206"/>
      <c r="CT3" s="1206"/>
      <c r="CU3" s="1209"/>
      <c r="CV3" s="1209"/>
      <c r="CW3" s="1209"/>
      <c r="CX3" s="1209"/>
      <c r="CY3" s="1209"/>
      <c r="CZ3" s="1209"/>
      <c r="DA3" s="1209"/>
      <c r="DB3" s="1209"/>
      <c r="DC3" s="1209"/>
      <c r="DD3" s="1209"/>
      <c r="DE3" s="1209"/>
      <c r="DF3" s="1206"/>
      <c r="DG3" s="1206"/>
      <c r="DH3" s="1206"/>
      <c r="DI3" s="1206"/>
      <c r="DJ3" s="1206"/>
      <c r="DK3" s="1206"/>
      <c r="DL3" s="1206"/>
      <c r="DM3" s="1206"/>
      <c r="DN3" s="1206"/>
      <c r="DO3" s="1206"/>
      <c r="DP3" s="1206"/>
      <c r="DQ3" s="1209"/>
      <c r="DR3" s="1209"/>
      <c r="DS3" s="1209"/>
      <c r="DT3" s="1209"/>
      <c r="DU3" s="1209"/>
      <c r="DV3" s="1209"/>
      <c r="DW3" s="1209"/>
      <c r="DX3" s="1209"/>
      <c r="DY3" s="1209"/>
      <c r="DZ3" s="1209"/>
      <c r="EA3" s="1209"/>
      <c r="EB3" s="1206"/>
      <c r="EC3" s="1206"/>
      <c r="ED3" s="1206"/>
      <c r="EE3" s="1206"/>
      <c r="EF3" s="1206"/>
      <c r="EG3" s="1206"/>
      <c r="EH3" s="1206"/>
      <c r="EI3" s="1206"/>
      <c r="EJ3" s="1206"/>
      <c r="EK3" s="1206"/>
      <c r="EL3" s="1206"/>
      <c r="EM3" s="1209"/>
      <c r="EN3" s="1209"/>
      <c r="EO3" s="1209"/>
      <c r="EP3" s="1209"/>
      <c r="EQ3" s="1209"/>
      <c r="ER3" s="1209"/>
      <c r="ES3" s="1209"/>
      <c r="ET3" s="1209"/>
      <c r="EU3" s="1209"/>
      <c r="EV3" s="1209"/>
      <c r="EW3" s="1209"/>
    </row>
    <row r="4" spans="1:153" s="8" customFormat="1" ht="24.75" customHeight="1">
      <c r="A4" s="7"/>
      <c r="C4" s="994" t="s">
        <v>13</v>
      </c>
      <c r="D4" s="15" t="s">
        <v>14</v>
      </c>
      <c r="E4" s="15" t="s">
        <v>15</v>
      </c>
      <c r="F4" s="15" t="s">
        <v>16</v>
      </c>
      <c r="G4" s="15" t="s">
        <v>676</v>
      </c>
      <c r="H4" s="15" t="s">
        <v>18</v>
      </c>
      <c r="I4" s="15" t="s">
        <v>19</v>
      </c>
      <c r="J4" s="15" t="s">
        <v>24</v>
      </c>
      <c r="K4" s="15" t="s">
        <v>25</v>
      </c>
      <c r="L4" s="16" t="s">
        <v>677</v>
      </c>
      <c r="M4" s="995" t="s">
        <v>678</v>
      </c>
      <c r="N4" s="995" t="s">
        <v>679</v>
      </c>
      <c r="O4" s="995" t="s">
        <v>680</v>
      </c>
      <c r="P4" s="995" t="s">
        <v>681</v>
      </c>
      <c r="Q4" s="995" t="s">
        <v>682</v>
      </c>
      <c r="R4" s="995" t="s">
        <v>31</v>
      </c>
      <c r="S4" s="995" t="s">
        <v>683</v>
      </c>
      <c r="T4" s="995" t="s">
        <v>684</v>
      </c>
      <c r="U4" s="995" t="s">
        <v>685</v>
      </c>
      <c r="V4" s="996" t="s">
        <v>34</v>
      </c>
      <c r="W4" s="996" t="s">
        <v>35</v>
      </c>
      <c r="X4" s="996" t="s">
        <v>36</v>
      </c>
      <c r="Y4" s="997" t="s">
        <v>37</v>
      </c>
      <c r="Z4" s="998" t="s">
        <v>38</v>
      </c>
      <c r="AA4" s="998" t="s">
        <v>39</v>
      </c>
      <c r="AB4" s="998" t="s">
        <v>40</v>
      </c>
      <c r="AC4" s="998" t="s">
        <v>41</v>
      </c>
      <c r="AD4" s="998" t="s">
        <v>42</v>
      </c>
      <c r="AE4" s="998" t="s">
        <v>43</v>
      </c>
      <c r="AF4" s="998" t="s">
        <v>44</v>
      </c>
      <c r="AG4" s="999" t="s">
        <v>45</v>
      </c>
      <c r="AH4" s="1000" t="s">
        <v>46</v>
      </c>
      <c r="AI4" s="1001" t="s">
        <v>47</v>
      </c>
      <c r="AJ4" s="1002" t="s">
        <v>48</v>
      </c>
      <c r="AK4" s="1003" t="s">
        <v>49</v>
      </c>
      <c r="AL4" s="1003" t="s">
        <v>50</v>
      </c>
      <c r="AM4" s="1003" t="s">
        <v>51</v>
      </c>
      <c r="AN4" s="1003" t="s">
        <v>686</v>
      </c>
      <c r="AO4" s="1003" t="s">
        <v>687</v>
      </c>
      <c r="AP4" s="1004" t="s">
        <v>54</v>
      </c>
      <c r="AQ4" s="1004" t="s">
        <v>55</v>
      </c>
      <c r="AR4" s="1005" t="s">
        <v>56</v>
      </c>
      <c r="AS4" s="1006" t="s">
        <v>688</v>
      </c>
      <c r="AT4" s="1006" t="s">
        <v>58</v>
      </c>
      <c r="AU4" s="1007" t="s">
        <v>59</v>
      </c>
      <c r="AV4" s="1008" t="s">
        <v>60</v>
      </c>
      <c r="AW4" s="1008" t="s">
        <v>61</v>
      </c>
      <c r="AX4" s="1008" t="s">
        <v>62</v>
      </c>
      <c r="AY4" s="1008" t="s">
        <v>689</v>
      </c>
      <c r="AZ4" s="1008" t="s">
        <v>690</v>
      </c>
      <c r="BA4" s="1008" t="s">
        <v>65</v>
      </c>
      <c r="BB4" s="1008" t="s">
        <v>66</v>
      </c>
      <c r="BC4" s="999" t="s">
        <v>67</v>
      </c>
      <c r="BD4" s="1000" t="s">
        <v>68</v>
      </c>
      <c r="BE4" s="1000" t="s">
        <v>69</v>
      </c>
      <c r="BF4" s="1009" t="s">
        <v>70</v>
      </c>
      <c r="BG4" s="999" t="s">
        <v>71</v>
      </c>
      <c r="BH4" s="999" t="s">
        <v>72</v>
      </c>
      <c r="BI4" s="1012" t="s">
        <v>73</v>
      </c>
      <c r="BJ4" s="1012" t="s">
        <v>691</v>
      </c>
      <c r="BK4" s="1012" t="s">
        <v>692</v>
      </c>
      <c r="BL4" s="1012" t="s">
        <v>76</v>
      </c>
      <c r="BM4" s="1012" t="s">
        <v>77</v>
      </c>
      <c r="BN4" s="1013" t="s">
        <v>693</v>
      </c>
      <c r="BO4" s="1014" t="s">
        <v>694</v>
      </c>
      <c r="BP4" s="1014" t="s">
        <v>695</v>
      </c>
      <c r="BQ4" s="1015" t="s">
        <v>696</v>
      </c>
      <c r="BR4" s="1013" t="s">
        <v>697</v>
      </c>
      <c r="BS4" s="1013" t="s">
        <v>698</v>
      </c>
      <c r="BT4" s="1013" t="s">
        <v>699</v>
      </c>
      <c r="BU4" s="1013" t="s">
        <v>700</v>
      </c>
      <c r="BV4" s="1013" t="s">
        <v>701</v>
      </c>
      <c r="BW4" s="1013" t="s">
        <v>702</v>
      </c>
      <c r="BX4" s="1013" t="s">
        <v>703</v>
      </c>
      <c r="BY4" s="1012" t="s">
        <v>704</v>
      </c>
      <c r="BZ4" s="1016" t="s">
        <v>705</v>
      </c>
      <c r="CA4" s="1016" t="s">
        <v>706</v>
      </c>
      <c r="CB4" s="1017" t="s">
        <v>707</v>
      </c>
      <c r="CC4" s="1012" t="s">
        <v>708</v>
      </c>
      <c r="CD4" s="1012" t="s">
        <v>709</v>
      </c>
      <c r="CE4" s="1012" t="s">
        <v>710</v>
      </c>
      <c r="CF4" s="1012" t="s">
        <v>711</v>
      </c>
      <c r="CG4" s="1012" t="s">
        <v>712</v>
      </c>
      <c r="CH4" s="1012" t="s">
        <v>713</v>
      </c>
      <c r="CI4" s="1012" t="s">
        <v>714</v>
      </c>
      <c r="CJ4" s="1013" t="s">
        <v>715</v>
      </c>
      <c r="CK4" s="1014" t="s">
        <v>716</v>
      </c>
      <c r="CL4" s="1014" t="s">
        <v>717</v>
      </c>
      <c r="CM4" s="1015" t="s">
        <v>718</v>
      </c>
      <c r="CN4" s="1018" t="s">
        <v>719</v>
      </c>
      <c r="CO4" s="1013" t="s">
        <v>720</v>
      </c>
      <c r="CP4" s="1013" t="s">
        <v>721</v>
      </c>
      <c r="CQ4" s="1013" t="s">
        <v>722</v>
      </c>
      <c r="CR4" s="1013" t="s">
        <v>723</v>
      </c>
      <c r="CS4" s="1013" t="s">
        <v>724</v>
      </c>
      <c r="CT4" s="1013" t="s">
        <v>725</v>
      </c>
      <c r="CU4" s="1012" t="s">
        <v>726</v>
      </c>
      <c r="CV4" s="1016" t="s">
        <v>727</v>
      </c>
      <c r="CW4" s="1016" t="s">
        <v>728</v>
      </c>
      <c r="CX4" s="1017" t="s">
        <v>729</v>
      </c>
      <c r="CY4" s="1012" t="s">
        <v>730</v>
      </c>
      <c r="CZ4" s="1012" t="s">
        <v>731</v>
      </c>
      <c r="DA4" s="1012" t="s">
        <v>732</v>
      </c>
      <c r="DB4" s="1012" t="s">
        <v>733</v>
      </c>
      <c r="DC4" s="1012" t="s">
        <v>734</v>
      </c>
      <c r="DD4" s="1012" t="s">
        <v>735</v>
      </c>
      <c r="DE4" s="1012" t="s">
        <v>736</v>
      </c>
      <c r="DF4" s="1013" t="s">
        <v>737</v>
      </c>
      <c r="DG4" s="1014" t="s">
        <v>738</v>
      </c>
      <c r="DH4" s="1014" t="s">
        <v>739</v>
      </c>
      <c r="DI4" s="1015" t="s">
        <v>740</v>
      </c>
      <c r="DJ4" s="1018" t="s">
        <v>741</v>
      </c>
      <c r="DK4" s="1013" t="s">
        <v>742</v>
      </c>
      <c r="DL4" s="1013" t="s">
        <v>743</v>
      </c>
      <c r="DM4" s="1013" t="s">
        <v>744</v>
      </c>
      <c r="DN4" s="1013" t="s">
        <v>745</v>
      </c>
      <c r="DO4" s="1013" t="s">
        <v>746</v>
      </c>
      <c r="DP4" s="1013" t="s">
        <v>747</v>
      </c>
      <c r="DQ4" s="1012" t="s">
        <v>748</v>
      </c>
      <c r="DR4" s="1016" t="s">
        <v>749</v>
      </c>
      <c r="DS4" s="1016" t="s">
        <v>750</v>
      </c>
      <c r="DT4" s="1017" t="s">
        <v>751</v>
      </c>
      <c r="DU4" s="1019" t="s">
        <v>752</v>
      </c>
      <c r="DV4" s="1012" t="s">
        <v>753</v>
      </c>
      <c r="DW4" s="1012" t="s">
        <v>754</v>
      </c>
      <c r="DX4" s="1012" t="s">
        <v>755</v>
      </c>
      <c r="DY4" s="1012" t="s">
        <v>756</v>
      </c>
      <c r="DZ4" s="1012" t="s">
        <v>757</v>
      </c>
      <c r="EA4" s="1012" t="s">
        <v>758</v>
      </c>
      <c r="EB4" s="1013" t="s">
        <v>759</v>
      </c>
      <c r="EC4" s="1014" t="s">
        <v>760</v>
      </c>
      <c r="ED4" s="1014" t="s">
        <v>761</v>
      </c>
      <c r="EE4" s="1015" t="s">
        <v>762</v>
      </c>
      <c r="EF4" s="1013" t="s">
        <v>763</v>
      </c>
      <c r="EG4" s="1013" t="s">
        <v>764</v>
      </c>
      <c r="EH4" s="1013" t="s">
        <v>765</v>
      </c>
      <c r="EI4" s="1013" t="s">
        <v>766</v>
      </c>
      <c r="EJ4" s="1013" t="s">
        <v>767</v>
      </c>
      <c r="EK4" s="1013" t="s">
        <v>768</v>
      </c>
      <c r="EL4" s="1013" t="s">
        <v>769</v>
      </c>
      <c r="EM4" s="1012" t="s">
        <v>770</v>
      </c>
      <c r="EN4" s="1020" t="s">
        <v>26</v>
      </c>
      <c r="EO4" s="1020" t="s">
        <v>27</v>
      </c>
      <c r="EP4" s="1021" t="s">
        <v>28</v>
      </c>
      <c r="EQ4" s="1022" t="s">
        <v>29</v>
      </c>
      <c r="ER4" s="1022" t="s">
        <v>771</v>
      </c>
      <c r="ES4" s="1022" t="s">
        <v>772</v>
      </c>
      <c r="ET4" s="1022" t="s">
        <v>773</v>
      </c>
      <c r="EU4" s="1022" t="s">
        <v>774</v>
      </c>
      <c r="EV4" s="1022" t="s">
        <v>775</v>
      </c>
      <c r="EW4" s="1022" t="s">
        <v>776</v>
      </c>
    </row>
    <row r="5" spans="1:153">
      <c r="C5" s="983" t="s">
        <v>777</v>
      </c>
      <c r="D5" s="980">
        <v>1450022</v>
      </c>
      <c r="E5" s="980">
        <v>29</v>
      </c>
      <c r="F5" s="980" t="s">
        <v>778</v>
      </c>
      <c r="G5" s="980" t="s">
        <v>779</v>
      </c>
      <c r="H5" s="1038" t="s">
        <v>780</v>
      </c>
      <c r="I5" s="980" t="s">
        <v>781</v>
      </c>
      <c r="J5" s="429">
        <v>166</v>
      </c>
      <c r="K5" s="984"/>
      <c r="L5" s="985" t="s">
        <v>782</v>
      </c>
      <c r="M5" s="986">
        <v>4751.3500000000004</v>
      </c>
      <c r="N5" s="981"/>
      <c r="O5" s="981"/>
      <c r="P5" s="986">
        <v>4751.3500000000004</v>
      </c>
      <c r="Q5" s="981" t="s">
        <v>783</v>
      </c>
      <c r="R5" s="981" t="s">
        <v>784</v>
      </c>
      <c r="S5" s="981" t="s">
        <v>785</v>
      </c>
      <c r="T5" s="987" t="b">
        <v>1</v>
      </c>
      <c r="U5" s="987" t="b">
        <v>1</v>
      </c>
      <c r="V5" s="1039"/>
      <c r="W5" s="1039"/>
      <c r="X5" s="1039"/>
      <c r="Y5" s="1040"/>
      <c r="Z5" s="1042"/>
      <c r="AA5" s="981"/>
      <c r="AB5" s="1041"/>
      <c r="AC5" s="1011" t="b">
        <v>1</v>
      </c>
      <c r="AD5" s="1011" t="b">
        <v>1</v>
      </c>
      <c r="AE5" s="991">
        <f>(Z5-Q5)/Q5</f>
        <v>-1</v>
      </c>
      <c r="AF5" s="991">
        <f>(V5-M5)/M5</f>
        <v>-1</v>
      </c>
      <c r="AG5" s="990"/>
      <c r="AH5" s="988"/>
      <c r="AI5" s="988"/>
      <c r="AJ5" s="989"/>
      <c r="AK5" s="990"/>
      <c r="AL5" s="981" t="s">
        <v>786</v>
      </c>
      <c r="AM5" s="990"/>
      <c r="AN5" s="982" t="b">
        <v>0</v>
      </c>
      <c r="AO5" s="982" t="b">
        <v>0</v>
      </c>
      <c r="AP5" s="992"/>
      <c r="AQ5" s="992"/>
      <c r="AR5" s="992"/>
      <c r="AS5" s="988"/>
      <c r="AT5" s="988"/>
      <c r="AU5" s="989"/>
      <c r="AV5" s="990"/>
      <c r="AW5" s="990"/>
      <c r="AX5" s="990"/>
      <c r="AY5" s="982" t="b">
        <v>0</v>
      </c>
      <c r="AZ5" s="982" t="b">
        <v>0</v>
      </c>
      <c r="BA5" s="990"/>
      <c r="BB5" s="990"/>
      <c r="BC5" s="990"/>
      <c r="BD5" s="988"/>
      <c r="BE5" s="988"/>
      <c r="BF5" s="989"/>
      <c r="BG5" s="990"/>
      <c r="BH5" s="990"/>
      <c r="BI5" s="1023"/>
      <c r="BJ5" s="1024" t="b">
        <v>0</v>
      </c>
      <c r="BK5" s="1024" t="b">
        <v>0</v>
      </c>
      <c r="BL5" s="1023"/>
      <c r="BM5" s="1023"/>
      <c r="BN5" s="1023"/>
      <c r="BO5" s="1025"/>
      <c r="BP5" s="1025"/>
      <c r="BQ5" s="1026"/>
      <c r="BR5" s="1023"/>
      <c r="BS5" s="1023"/>
      <c r="BT5" s="1023"/>
      <c r="BU5" s="1024" t="b">
        <v>0</v>
      </c>
      <c r="BV5" s="1024" t="b">
        <v>0</v>
      </c>
      <c r="BW5" s="1023"/>
      <c r="BX5" s="1023"/>
      <c r="BY5" s="1023"/>
      <c r="BZ5" s="1025"/>
      <c r="CA5" s="1025"/>
      <c r="CB5" s="1026"/>
      <c r="CC5" s="1023"/>
      <c r="CD5" s="1023"/>
      <c r="CE5" s="1023"/>
      <c r="CF5" s="1024" t="b">
        <v>0</v>
      </c>
      <c r="CG5" s="1024" t="b">
        <v>0</v>
      </c>
      <c r="CH5" s="1023"/>
      <c r="CI5" s="1023"/>
      <c r="CJ5" s="1023"/>
      <c r="CK5" s="1025"/>
      <c r="CL5" s="1025"/>
      <c r="CM5" s="1026"/>
      <c r="CN5" s="1027"/>
      <c r="CO5" s="1023"/>
      <c r="CP5" s="1023"/>
      <c r="CQ5" s="1024" t="b">
        <v>0</v>
      </c>
      <c r="CR5" s="1024" t="b">
        <v>0</v>
      </c>
      <c r="CS5" s="1023"/>
      <c r="CT5" s="1023"/>
      <c r="CU5" s="1023"/>
      <c r="CV5" s="1025"/>
      <c r="CW5" s="1025"/>
      <c r="CX5" s="1026"/>
      <c r="CY5" s="1023"/>
      <c r="CZ5" s="1023"/>
      <c r="DA5" s="1023"/>
      <c r="DB5" s="1024" t="b">
        <v>0</v>
      </c>
      <c r="DC5" s="1024" t="b">
        <v>0</v>
      </c>
      <c r="DD5" s="1023"/>
      <c r="DE5" s="1023"/>
      <c r="DF5" s="1023"/>
      <c r="DG5" s="1025"/>
      <c r="DH5" s="1025"/>
      <c r="DI5" s="1026"/>
      <c r="DJ5" s="1027"/>
      <c r="DK5" s="1023"/>
      <c r="DL5" s="1023"/>
      <c r="DM5" s="1024" t="b">
        <v>0</v>
      </c>
      <c r="DN5" s="1024" t="b">
        <v>0</v>
      </c>
      <c r="DO5" s="1023"/>
      <c r="DP5" s="1023"/>
      <c r="DQ5" s="1023"/>
      <c r="DR5" s="1025"/>
      <c r="DS5" s="1025"/>
      <c r="DT5" s="1026"/>
      <c r="DU5" s="1027"/>
      <c r="DV5" s="1023"/>
      <c r="DW5" s="1023"/>
      <c r="DX5" s="1024" t="b">
        <v>0</v>
      </c>
      <c r="DY5" s="1024" t="b">
        <v>0</v>
      </c>
      <c r="DZ5" s="1023"/>
      <c r="EA5" s="1023"/>
      <c r="EB5" s="1023"/>
      <c r="EC5" s="1025"/>
      <c r="ED5" s="1025"/>
      <c r="EE5" s="1026"/>
      <c r="EF5" s="1023"/>
      <c r="EG5" s="1023"/>
      <c r="EH5" s="1023"/>
      <c r="EI5" s="1024" t="b">
        <v>0</v>
      </c>
      <c r="EJ5" s="1024" t="b">
        <v>0</v>
      </c>
      <c r="EK5" s="1023"/>
      <c r="EL5" s="1023"/>
      <c r="EM5" s="1023"/>
      <c r="EN5" s="1025"/>
      <c r="EO5" s="1025"/>
      <c r="EP5" s="1026"/>
      <c r="EQ5" s="1023"/>
      <c r="ER5" s="1023"/>
      <c r="ES5" s="1023"/>
      <c r="ET5" s="1024" t="b">
        <v>0</v>
      </c>
      <c r="EU5" s="1024" t="b">
        <v>0</v>
      </c>
      <c r="EV5" s="1023"/>
      <c r="EW5" s="1023"/>
    </row>
    <row r="6" spans="1:153">
      <c r="C6" s="983" t="s">
        <v>777</v>
      </c>
      <c r="D6" s="980">
        <v>1450022</v>
      </c>
      <c r="E6" s="980">
        <v>29</v>
      </c>
      <c r="F6" s="980" t="s">
        <v>787</v>
      </c>
      <c r="G6" s="980" t="s">
        <v>779</v>
      </c>
      <c r="H6" s="980" t="s">
        <v>780</v>
      </c>
      <c r="I6" s="980" t="s">
        <v>781</v>
      </c>
      <c r="J6" s="429">
        <v>166</v>
      </c>
      <c r="K6" s="980"/>
      <c r="L6" s="985" t="s">
        <v>788</v>
      </c>
      <c r="M6" s="986">
        <v>18765.29</v>
      </c>
      <c r="N6" s="981"/>
      <c r="O6" s="981"/>
      <c r="P6" s="986">
        <v>18765.29</v>
      </c>
      <c r="Q6" s="981" t="s">
        <v>789</v>
      </c>
      <c r="R6" s="981" t="s">
        <v>784</v>
      </c>
      <c r="S6" s="981" t="s">
        <v>785</v>
      </c>
      <c r="T6" s="993" t="b">
        <v>1</v>
      </c>
      <c r="U6" s="993" t="b">
        <v>1</v>
      </c>
      <c r="V6" s="1039">
        <v>22334.28</v>
      </c>
      <c r="W6" s="1039">
        <v>0</v>
      </c>
      <c r="X6" s="1039">
        <v>0</v>
      </c>
      <c r="Y6" s="1040">
        <v>22334.28</v>
      </c>
      <c r="Z6" s="1042">
        <v>1312</v>
      </c>
      <c r="AA6" s="981" t="s">
        <v>790</v>
      </c>
      <c r="AB6" s="1041" t="s">
        <v>791</v>
      </c>
      <c r="AC6" s="982" t="b">
        <v>1</v>
      </c>
      <c r="AD6" s="982" t="b">
        <v>1</v>
      </c>
      <c r="AE6" s="991">
        <f>(Z6-Q6)/Q6</f>
        <v>-0.15843489416292494</v>
      </c>
      <c r="AF6" s="991">
        <f>(V6-M6)/M6</f>
        <v>0.1901910388808272</v>
      </c>
      <c r="AG6" s="990"/>
      <c r="AH6" s="988"/>
      <c r="AI6" s="988"/>
      <c r="AJ6" s="989"/>
      <c r="AK6" s="990"/>
      <c r="AL6" s="981" t="s">
        <v>786</v>
      </c>
      <c r="AM6" s="990"/>
      <c r="AN6" s="982" t="b">
        <v>0</v>
      </c>
      <c r="AO6" s="982" t="b">
        <v>0</v>
      </c>
      <c r="AP6" s="992"/>
      <c r="AQ6" s="992"/>
      <c r="AR6" s="992"/>
      <c r="AS6" s="988"/>
      <c r="AT6" s="988"/>
      <c r="AU6" s="989"/>
      <c r="AV6" s="990"/>
      <c r="AW6" s="990"/>
      <c r="AX6" s="990"/>
      <c r="AY6" s="982" t="b">
        <v>0</v>
      </c>
      <c r="AZ6" s="982" t="b">
        <v>0</v>
      </c>
      <c r="BA6" s="990"/>
      <c r="BB6" s="990"/>
      <c r="BC6" s="990"/>
      <c r="BD6" s="988"/>
      <c r="BE6" s="988"/>
      <c r="BF6" s="989"/>
      <c r="BG6" s="990"/>
      <c r="BH6" s="990"/>
      <c r="BI6" s="1023"/>
      <c r="BJ6" s="1028" t="b">
        <v>0</v>
      </c>
      <c r="BK6" s="1028" t="b">
        <v>0</v>
      </c>
      <c r="BL6" s="1023"/>
      <c r="BM6" s="1023"/>
      <c r="BN6" s="1023"/>
      <c r="BO6" s="1025"/>
      <c r="BP6" s="1025"/>
      <c r="BQ6" s="1026"/>
      <c r="BR6" s="1023"/>
      <c r="BS6" s="1023"/>
      <c r="BT6" s="1023"/>
      <c r="BU6" s="1028" t="b">
        <v>0</v>
      </c>
      <c r="BV6" s="1028" t="b">
        <v>0</v>
      </c>
      <c r="BW6" s="1023"/>
      <c r="BX6" s="1023"/>
      <c r="BY6" s="1023"/>
      <c r="BZ6" s="1025"/>
      <c r="CA6" s="1025"/>
      <c r="CB6" s="1026"/>
      <c r="CC6" s="1023"/>
      <c r="CD6" s="1023"/>
      <c r="CE6" s="1023"/>
      <c r="CF6" s="1028" t="b">
        <v>0</v>
      </c>
      <c r="CG6" s="1028" t="b">
        <v>0</v>
      </c>
      <c r="CH6" s="1023"/>
      <c r="CI6" s="1023"/>
      <c r="CJ6" s="1023"/>
      <c r="CK6" s="1025"/>
      <c r="CL6" s="1025"/>
      <c r="CM6" s="1026"/>
      <c r="CN6" s="1027"/>
      <c r="CO6" s="1023"/>
      <c r="CP6" s="1023"/>
      <c r="CQ6" s="1028" t="b">
        <v>0</v>
      </c>
      <c r="CR6" s="1028" t="b">
        <v>0</v>
      </c>
      <c r="CS6" s="1023"/>
      <c r="CT6" s="1023"/>
      <c r="CU6" s="1023"/>
      <c r="CV6" s="1025"/>
      <c r="CW6" s="1025"/>
      <c r="CX6" s="1026"/>
      <c r="CY6" s="1023"/>
      <c r="CZ6" s="1023"/>
      <c r="DA6" s="1023"/>
      <c r="DB6" s="1028" t="b">
        <v>0</v>
      </c>
      <c r="DC6" s="1028" t="b">
        <v>0</v>
      </c>
      <c r="DD6" s="1023"/>
      <c r="DE6" s="1023"/>
      <c r="DF6" s="1023"/>
      <c r="DG6" s="1025"/>
      <c r="DH6" s="1025"/>
      <c r="DI6" s="1026"/>
      <c r="DJ6" s="1027"/>
      <c r="DK6" s="1023"/>
      <c r="DL6" s="1023"/>
      <c r="DM6" s="1028" t="b">
        <v>0</v>
      </c>
      <c r="DN6" s="1028" t="b">
        <v>0</v>
      </c>
      <c r="DO6" s="1023"/>
      <c r="DP6" s="1023"/>
      <c r="DQ6" s="1023"/>
      <c r="DR6" s="1025"/>
      <c r="DS6" s="1025"/>
      <c r="DT6" s="1026"/>
      <c r="DU6" s="1027"/>
      <c r="DV6" s="1023"/>
      <c r="DW6" s="1023"/>
      <c r="DX6" s="1028" t="b">
        <v>0</v>
      </c>
      <c r="DY6" s="1028" t="b">
        <v>0</v>
      </c>
      <c r="DZ6" s="1023"/>
      <c r="EA6" s="1023"/>
      <c r="EB6" s="1023"/>
      <c r="EC6" s="1025"/>
      <c r="ED6" s="1025"/>
      <c r="EE6" s="1026"/>
      <c r="EF6" s="1023"/>
      <c r="EG6" s="1023"/>
      <c r="EH6" s="1023"/>
      <c r="EI6" s="1028" t="b">
        <v>0</v>
      </c>
      <c r="EJ6" s="1028" t="b">
        <v>0</v>
      </c>
      <c r="EK6" s="1023"/>
      <c r="EL6" s="1023"/>
      <c r="EM6" s="1023"/>
      <c r="EN6" s="1025"/>
      <c r="EO6" s="1025"/>
      <c r="EP6" s="1026"/>
      <c r="EQ6" s="1023"/>
      <c r="ER6" s="1023"/>
      <c r="ES6" s="1023"/>
      <c r="ET6" s="1028" t="b">
        <v>0</v>
      </c>
      <c r="EU6" s="1028" t="b">
        <v>0</v>
      </c>
      <c r="EV6" s="1023"/>
      <c r="EW6" s="1023"/>
    </row>
    <row r="7" spans="1:153">
      <c r="C7" s="983" t="s">
        <v>792</v>
      </c>
      <c r="D7" s="980">
        <v>1450022</v>
      </c>
      <c r="E7" s="980">
        <v>24</v>
      </c>
      <c r="F7" s="980" t="s">
        <v>793</v>
      </c>
      <c r="G7" s="980" t="s">
        <v>779</v>
      </c>
      <c r="H7" s="980" t="s">
        <v>780</v>
      </c>
      <c r="I7" s="980" t="s">
        <v>781</v>
      </c>
      <c r="J7" s="429">
        <v>166</v>
      </c>
      <c r="K7" s="980"/>
      <c r="L7" s="985" t="s">
        <v>794</v>
      </c>
      <c r="M7" s="986">
        <v>852.69</v>
      </c>
      <c r="N7" s="981"/>
      <c r="O7" s="981"/>
      <c r="P7" s="986">
        <v>852.69</v>
      </c>
      <c r="Q7" s="981" t="s">
        <v>795</v>
      </c>
      <c r="R7" s="981" t="s">
        <v>784</v>
      </c>
      <c r="S7" s="981" t="s">
        <v>785</v>
      </c>
      <c r="T7" s="993" t="b">
        <v>1</v>
      </c>
      <c r="U7" s="993" t="b">
        <v>1</v>
      </c>
      <c r="V7" s="1039"/>
      <c r="W7" s="1039"/>
      <c r="X7" s="1039"/>
      <c r="Y7" s="1040"/>
      <c r="Z7" s="1042"/>
      <c r="AA7" s="981"/>
      <c r="AB7" s="1041"/>
      <c r="AC7" s="982" t="b">
        <v>1</v>
      </c>
      <c r="AD7" s="982" t="b">
        <v>1</v>
      </c>
      <c r="AE7" s="991">
        <f>(Z7-Q7)/Q7</f>
        <v>-1</v>
      </c>
      <c r="AF7" s="991">
        <f t="shared" ref="AF7:AF13" si="0">(V7-M7)/M7</f>
        <v>-1</v>
      </c>
      <c r="AG7" s="990"/>
      <c r="AH7" s="988"/>
      <c r="AI7" s="988"/>
      <c r="AJ7" s="989"/>
      <c r="AK7" s="990"/>
      <c r="AL7" s="981" t="s">
        <v>786</v>
      </c>
      <c r="AM7" s="990"/>
      <c r="AN7" s="982" t="b">
        <v>0</v>
      </c>
      <c r="AO7" s="982" t="b">
        <v>0</v>
      </c>
      <c r="AP7" s="992"/>
      <c r="AQ7" s="992"/>
      <c r="AR7" s="992"/>
      <c r="AS7" s="988"/>
      <c r="AT7" s="988"/>
      <c r="AU7" s="989"/>
      <c r="AV7" s="990"/>
      <c r="AW7" s="990"/>
      <c r="AX7" s="990"/>
      <c r="AY7" s="982" t="b">
        <v>0</v>
      </c>
      <c r="AZ7" s="982" t="b">
        <v>0</v>
      </c>
      <c r="BA7" s="990"/>
      <c r="BB7" s="990"/>
      <c r="BC7" s="990"/>
      <c r="BD7" s="988"/>
      <c r="BE7" s="988"/>
      <c r="BF7" s="989"/>
      <c r="BG7" s="990"/>
      <c r="BH7" s="990"/>
      <c r="BI7" s="1023"/>
      <c r="BJ7" s="1028" t="b">
        <v>0</v>
      </c>
      <c r="BK7" s="1028" t="b">
        <v>0</v>
      </c>
      <c r="BL7" s="1023"/>
      <c r="BM7" s="1023"/>
      <c r="BN7" s="1023"/>
      <c r="BO7" s="1025"/>
      <c r="BP7" s="1025"/>
      <c r="BQ7" s="1026"/>
      <c r="BR7" s="1023"/>
      <c r="BS7" s="1023"/>
      <c r="BT7" s="1023"/>
      <c r="BU7" s="1028" t="b">
        <v>0</v>
      </c>
      <c r="BV7" s="1028" t="b">
        <v>0</v>
      </c>
      <c r="BW7" s="1023"/>
      <c r="BX7" s="1023"/>
      <c r="BY7" s="1023"/>
      <c r="BZ7" s="1025"/>
      <c r="CA7" s="1025"/>
      <c r="CB7" s="1026"/>
      <c r="CC7" s="1023"/>
      <c r="CD7" s="1023"/>
      <c r="CE7" s="1023"/>
      <c r="CF7" s="1028" t="b">
        <v>0</v>
      </c>
      <c r="CG7" s="1028" t="b">
        <v>0</v>
      </c>
      <c r="CH7" s="1023"/>
      <c r="CI7" s="1023"/>
      <c r="CJ7" s="1023"/>
      <c r="CK7" s="1025"/>
      <c r="CL7" s="1025"/>
      <c r="CM7" s="1026"/>
      <c r="CN7" s="1027"/>
      <c r="CO7" s="1023"/>
      <c r="CP7" s="1023"/>
      <c r="CQ7" s="1028" t="b">
        <v>0</v>
      </c>
      <c r="CR7" s="1028" t="b">
        <v>0</v>
      </c>
      <c r="CS7" s="1023"/>
      <c r="CT7" s="1023"/>
      <c r="CU7" s="1023"/>
      <c r="CV7" s="1025"/>
      <c r="CW7" s="1025"/>
      <c r="CX7" s="1026"/>
      <c r="CY7" s="1023"/>
      <c r="CZ7" s="1023"/>
      <c r="DA7" s="1023"/>
      <c r="DB7" s="1028" t="b">
        <v>0</v>
      </c>
      <c r="DC7" s="1028" t="b">
        <v>0</v>
      </c>
      <c r="DD7" s="1023"/>
      <c r="DE7" s="1023"/>
      <c r="DF7" s="1023"/>
      <c r="DG7" s="1025"/>
      <c r="DH7" s="1025"/>
      <c r="DI7" s="1026"/>
      <c r="DJ7" s="1027"/>
      <c r="DK7" s="1023"/>
      <c r="DL7" s="1023"/>
      <c r="DM7" s="1028" t="b">
        <v>0</v>
      </c>
      <c r="DN7" s="1028" t="b">
        <v>0</v>
      </c>
      <c r="DO7" s="1023"/>
      <c r="DP7" s="1023"/>
      <c r="DQ7" s="1023"/>
      <c r="DR7" s="1025"/>
      <c r="DS7" s="1025"/>
      <c r="DT7" s="1026"/>
      <c r="DU7" s="1027"/>
      <c r="DV7" s="1023"/>
      <c r="DW7" s="1023"/>
      <c r="DX7" s="1028" t="b">
        <v>0</v>
      </c>
      <c r="DY7" s="1028" t="b">
        <v>0</v>
      </c>
      <c r="DZ7" s="1023"/>
      <c r="EA7" s="1023"/>
      <c r="EB7" s="1023"/>
      <c r="EC7" s="1025"/>
      <c r="ED7" s="1025"/>
      <c r="EE7" s="1026"/>
      <c r="EF7" s="1023"/>
      <c r="EG7" s="1023"/>
      <c r="EH7" s="1023"/>
      <c r="EI7" s="1028" t="b">
        <v>0</v>
      </c>
      <c r="EJ7" s="1028" t="b">
        <v>0</v>
      </c>
      <c r="EK7" s="1023"/>
      <c r="EL7" s="1023"/>
      <c r="EM7" s="1023"/>
      <c r="EN7" s="1025"/>
      <c r="EO7" s="1025"/>
      <c r="EP7" s="1026"/>
      <c r="EQ7" s="1023"/>
      <c r="ER7" s="1023"/>
      <c r="ES7" s="1023"/>
      <c r="ET7" s="1028" t="b">
        <v>0</v>
      </c>
      <c r="EU7" s="1028" t="b">
        <v>0</v>
      </c>
      <c r="EV7" s="1023"/>
      <c r="EW7" s="1023"/>
    </row>
    <row r="8" spans="1:153">
      <c r="C8" s="983" t="s">
        <v>796</v>
      </c>
      <c r="D8" s="980">
        <v>1450022</v>
      </c>
      <c r="E8" s="980">
        <v>33</v>
      </c>
      <c r="F8" s="980" t="s">
        <v>797</v>
      </c>
      <c r="G8" s="980" t="s">
        <v>779</v>
      </c>
      <c r="H8" s="980" t="s">
        <v>780</v>
      </c>
      <c r="I8" s="980" t="s">
        <v>781</v>
      </c>
      <c r="J8" s="429">
        <v>166</v>
      </c>
      <c r="K8" s="980"/>
      <c r="L8" s="985" t="s">
        <v>798</v>
      </c>
      <c r="M8" s="986">
        <v>17792.099999999999</v>
      </c>
      <c r="N8" s="981"/>
      <c r="O8" s="981"/>
      <c r="P8" s="986">
        <v>17792.099999999999</v>
      </c>
      <c r="Q8" s="981" t="s">
        <v>799</v>
      </c>
      <c r="R8" s="981" t="s">
        <v>784</v>
      </c>
      <c r="S8" s="981" t="s">
        <v>785</v>
      </c>
      <c r="T8" s="993" t="b">
        <v>1</v>
      </c>
      <c r="U8" s="993" t="b">
        <v>1</v>
      </c>
      <c r="V8" s="1039">
        <v>15534.57</v>
      </c>
      <c r="W8" s="1039">
        <v>0</v>
      </c>
      <c r="X8" s="1039">
        <v>0</v>
      </c>
      <c r="Y8" s="1040">
        <v>15534.57</v>
      </c>
      <c r="Z8" s="1042">
        <v>1829</v>
      </c>
      <c r="AA8" s="981" t="s">
        <v>790</v>
      </c>
      <c r="AB8" s="1041" t="s">
        <v>791</v>
      </c>
      <c r="AC8" s="982" t="b">
        <v>1</v>
      </c>
      <c r="AD8" s="982" t="b">
        <v>1</v>
      </c>
      <c r="AE8" s="991">
        <f t="shared" ref="AE8:AE12" si="1">(Z8-Q8)/Q8</f>
        <v>0.23664638269100743</v>
      </c>
      <c r="AF8" s="991">
        <f t="shared" si="0"/>
        <v>-0.12688384170502634</v>
      </c>
      <c r="AG8" s="990"/>
      <c r="AH8" s="988"/>
      <c r="AI8" s="988"/>
      <c r="AJ8" s="989"/>
      <c r="AK8" s="990"/>
      <c r="AL8" s="981" t="s">
        <v>786</v>
      </c>
      <c r="AM8" s="990"/>
      <c r="AN8" s="982" t="b">
        <v>0</v>
      </c>
      <c r="AO8" s="982" t="b">
        <v>0</v>
      </c>
      <c r="AP8" s="992"/>
      <c r="AQ8" s="992"/>
      <c r="AR8" s="992"/>
      <c r="AS8" s="988"/>
      <c r="AT8" s="988"/>
      <c r="AU8" s="989"/>
      <c r="AV8" s="990"/>
      <c r="AW8" s="990"/>
      <c r="AX8" s="990"/>
      <c r="AY8" s="982" t="b">
        <v>0</v>
      </c>
      <c r="AZ8" s="982" t="b">
        <v>0</v>
      </c>
      <c r="BA8" s="990"/>
      <c r="BB8" s="990"/>
      <c r="BC8" s="990"/>
      <c r="BD8" s="988"/>
      <c r="BE8" s="988"/>
      <c r="BF8" s="989"/>
      <c r="BG8" s="990"/>
      <c r="BH8" s="990"/>
      <c r="BI8" s="1023"/>
      <c r="BJ8" s="1028" t="b">
        <v>0</v>
      </c>
      <c r="BK8" s="1028" t="b">
        <v>0</v>
      </c>
      <c r="BL8" s="1023"/>
      <c r="BM8" s="1023"/>
      <c r="BN8" s="1023"/>
      <c r="BO8" s="1025"/>
      <c r="BP8" s="1025"/>
      <c r="BQ8" s="1026"/>
      <c r="BR8" s="1023"/>
      <c r="BS8" s="1023"/>
      <c r="BT8" s="1023"/>
      <c r="BU8" s="1028" t="b">
        <v>0</v>
      </c>
      <c r="BV8" s="1028" t="b">
        <v>0</v>
      </c>
      <c r="BW8" s="1023"/>
      <c r="BX8" s="1023"/>
      <c r="BY8" s="1023"/>
      <c r="BZ8" s="1025"/>
      <c r="CA8" s="1025"/>
      <c r="CB8" s="1026"/>
      <c r="CC8" s="1023"/>
      <c r="CD8" s="1023"/>
      <c r="CE8" s="1023"/>
      <c r="CF8" s="1028" t="b">
        <v>0</v>
      </c>
      <c r="CG8" s="1028" t="b">
        <v>0</v>
      </c>
      <c r="CH8" s="1023"/>
      <c r="CI8" s="1023"/>
      <c r="CJ8" s="1023"/>
      <c r="CK8" s="1025"/>
      <c r="CL8" s="1025"/>
      <c r="CM8" s="1026"/>
      <c r="CN8" s="1027"/>
      <c r="CO8" s="1023"/>
      <c r="CP8" s="1023"/>
      <c r="CQ8" s="1028" t="b">
        <v>0</v>
      </c>
      <c r="CR8" s="1028" t="b">
        <v>0</v>
      </c>
      <c r="CS8" s="1023"/>
      <c r="CT8" s="1023"/>
      <c r="CU8" s="1023"/>
      <c r="CV8" s="1025"/>
      <c r="CW8" s="1025"/>
      <c r="CX8" s="1026"/>
      <c r="CY8" s="1023"/>
      <c r="CZ8" s="1023"/>
      <c r="DA8" s="1023"/>
      <c r="DB8" s="1028" t="b">
        <v>0</v>
      </c>
      <c r="DC8" s="1028" t="b">
        <v>0</v>
      </c>
      <c r="DD8" s="1023"/>
      <c r="DE8" s="1023"/>
      <c r="DF8" s="1023"/>
      <c r="DG8" s="1025"/>
      <c r="DH8" s="1025"/>
      <c r="DI8" s="1026"/>
      <c r="DJ8" s="1027"/>
      <c r="DK8" s="1023"/>
      <c r="DL8" s="1023"/>
      <c r="DM8" s="1028" t="b">
        <v>0</v>
      </c>
      <c r="DN8" s="1028" t="b">
        <v>0</v>
      </c>
      <c r="DO8" s="1023"/>
      <c r="DP8" s="1023"/>
      <c r="DQ8" s="1023"/>
      <c r="DR8" s="1025"/>
      <c r="DS8" s="1025"/>
      <c r="DT8" s="1026"/>
      <c r="DU8" s="1027"/>
      <c r="DV8" s="1023"/>
      <c r="DW8" s="1023"/>
      <c r="DX8" s="1028" t="b">
        <v>0</v>
      </c>
      <c r="DY8" s="1028" t="b">
        <v>0</v>
      </c>
      <c r="DZ8" s="1023"/>
      <c r="EA8" s="1023"/>
      <c r="EB8" s="1023"/>
      <c r="EC8" s="1025"/>
      <c r="ED8" s="1025"/>
      <c r="EE8" s="1026"/>
      <c r="EF8" s="1023"/>
      <c r="EG8" s="1023"/>
      <c r="EH8" s="1023"/>
      <c r="EI8" s="1028" t="b">
        <v>0</v>
      </c>
      <c r="EJ8" s="1028" t="b">
        <v>0</v>
      </c>
      <c r="EK8" s="1023"/>
      <c r="EL8" s="1023"/>
      <c r="EM8" s="1023"/>
      <c r="EN8" s="1025"/>
      <c r="EO8" s="1025"/>
      <c r="EP8" s="1026"/>
      <c r="EQ8" s="1023"/>
      <c r="ER8" s="1023"/>
      <c r="ES8" s="1023"/>
      <c r="ET8" s="1028" t="b">
        <v>0</v>
      </c>
      <c r="EU8" s="1028" t="b">
        <v>0</v>
      </c>
      <c r="EV8" s="1023"/>
      <c r="EW8" s="1023"/>
    </row>
    <row r="9" spans="1:153">
      <c r="C9" s="983" t="s">
        <v>796</v>
      </c>
      <c r="D9" s="980">
        <v>1450022</v>
      </c>
      <c r="E9" s="980">
        <v>33</v>
      </c>
      <c r="F9" s="980" t="s">
        <v>800</v>
      </c>
      <c r="G9" s="980" t="s">
        <v>779</v>
      </c>
      <c r="H9" s="980" t="s">
        <v>780</v>
      </c>
      <c r="I9" s="980" t="s">
        <v>781</v>
      </c>
      <c r="J9" s="429">
        <v>166</v>
      </c>
      <c r="K9" s="980"/>
      <c r="L9" s="985" t="s">
        <v>801</v>
      </c>
      <c r="M9" s="986">
        <v>138528.53</v>
      </c>
      <c r="N9" s="981"/>
      <c r="O9" s="981"/>
      <c r="P9" s="986">
        <v>138528.53</v>
      </c>
      <c r="Q9" s="981" t="s">
        <v>802</v>
      </c>
      <c r="R9" s="981" t="s">
        <v>784</v>
      </c>
      <c r="S9" s="981" t="s">
        <v>785</v>
      </c>
      <c r="T9" s="993" t="b">
        <v>1</v>
      </c>
      <c r="U9" s="993" t="b">
        <v>1</v>
      </c>
      <c r="V9" s="1039">
        <v>127274.61</v>
      </c>
      <c r="W9" s="1039">
        <v>0</v>
      </c>
      <c r="X9" s="1039">
        <v>0</v>
      </c>
      <c r="Y9" s="1040">
        <v>127274.61</v>
      </c>
      <c r="Z9" s="1042">
        <v>10851</v>
      </c>
      <c r="AA9" s="981" t="s">
        <v>790</v>
      </c>
      <c r="AB9" s="1041" t="s">
        <v>791</v>
      </c>
      <c r="AC9" s="982" t="b">
        <v>1</v>
      </c>
      <c r="AD9" s="982" t="b">
        <v>1</v>
      </c>
      <c r="AE9" s="991">
        <f t="shared" si="1"/>
        <v>-4.8491757278148015E-2</v>
      </c>
      <c r="AF9" s="991">
        <f>(V9-M9)/M9</f>
        <v>-8.1239005423648092E-2</v>
      </c>
      <c r="AG9" s="990"/>
      <c r="AH9" s="988"/>
      <c r="AI9" s="988"/>
      <c r="AJ9" s="989"/>
      <c r="AK9" s="990"/>
      <c r="AL9" s="981" t="s">
        <v>786</v>
      </c>
      <c r="AM9" s="990"/>
      <c r="AN9" s="982" t="b">
        <v>0</v>
      </c>
      <c r="AO9" s="982" t="b">
        <v>0</v>
      </c>
      <c r="AP9" s="992"/>
      <c r="AQ9" s="992"/>
      <c r="AR9" s="992"/>
      <c r="AS9" s="988"/>
      <c r="AT9" s="988"/>
      <c r="AU9" s="989"/>
      <c r="AV9" s="990"/>
      <c r="AW9" s="990"/>
      <c r="AX9" s="990"/>
      <c r="AY9" s="982" t="b">
        <v>0</v>
      </c>
      <c r="AZ9" s="982" t="b">
        <v>0</v>
      </c>
      <c r="BA9" s="990"/>
      <c r="BB9" s="990"/>
      <c r="BC9" s="990"/>
      <c r="BD9" s="988"/>
      <c r="BE9" s="988"/>
      <c r="BF9" s="989"/>
      <c r="BG9" s="990"/>
      <c r="BH9" s="990"/>
      <c r="BI9" s="1023"/>
      <c r="BJ9" s="1028" t="b">
        <v>0</v>
      </c>
      <c r="BK9" s="1028" t="b">
        <v>0</v>
      </c>
      <c r="BL9" s="1023"/>
      <c r="BM9" s="1023"/>
      <c r="BN9" s="1023"/>
      <c r="BO9" s="1025"/>
      <c r="BP9" s="1025"/>
      <c r="BQ9" s="1026"/>
      <c r="BR9" s="1023"/>
      <c r="BS9" s="1023"/>
      <c r="BT9" s="1023"/>
      <c r="BU9" s="1028" t="b">
        <v>0</v>
      </c>
      <c r="BV9" s="1028" t="b">
        <v>0</v>
      </c>
      <c r="BW9" s="1023"/>
      <c r="BX9" s="1023"/>
      <c r="BY9" s="1023"/>
      <c r="BZ9" s="1025"/>
      <c r="CA9" s="1025"/>
      <c r="CB9" s="1026"/>
      <c r="CC9" s="1023"/>
      <c r="CD9" s="1023"/>
      <c r="CE9" s="1023"/>
      <c r="CF9" s="1028" t="b">
        <v>0</v>
      </c>
      <c r="CG9" s="1028" t="b">
        <v>0</v>
      </c>
      <c r="CH9" s="1023"/>
      <c r="CI9" s="1023"/>
      <c r="CJ9" s="1023"/>
      <c r="CK9" s="1025"/>
      <c r="CL9" s="1025"/>
      <c r="CM9" s="1026"/>
      <c r="CN9" s="1027"/>
      <c r="CO9" s="1023"/>
      <c r="CP9" s="1023"/>
      <c r="CQ9" s="1028" t="b">
        <v>0</v>
      </c>
      <c r="CR9" s="1028" t="b">
        <v>0</v>
      </c>
      <c r="CS9" s="1023"/>
      <c r="CT9" s="1023"/>
      <c r="CU9" s="1023"/>
      <c r="CV9" s="1025"/>
      <c r="CW9" s="1025"/>
      <c r="CX9" s="1026"/>
      <c r="CY9" s="1023"/>
      <c r="CZ9" s="1023"/>
      <c r="DA9" s="1023"/>
      <c r="DB9" s="1028" t="b">
        <v>0</v>
      </c>
      <c r="DC9" s="1028" t="b">
        <v>0</v>
      </c>
      <c r="DD9" s="1023"/>
      <c r="DE9" s="1023"/>
      <c r="DF9" s="1023"/>
      <c r="DG9" s="1025"/>
      <c r="DH9" s="1025"/>
      <c r="DI9" s="1026"/>
      <c r="DJ9" s="1027"/>
      <c r="DK9" s="1023"/>
      <c r="DL9" s="1023"/>
      <c r="DM9" s="1028" t="b">
        <v>0</v>
      </c>
      <c r="DN9" s="1028" t="b">
        <v>0</v>
      </c>
      <c r="DO9" s="1023"/>
      <c r="DP9" s="1023"/>
      <c r="DQ9" s="1023"/>
      <c r="DR9" s="1025"/>
      <c r="DS9" s="1025"/>
      <c r="DT9" s="1026"/>
      <c r="DU9" s="1027"/>
      <c r="DV9" s="1023"/>
      <c r="DW9" s="1023"/>
      <c r="DX9" s="1028" t="b">
        <v>0</v>
      </c>
      <c r="DY9" s="1028" t="b">
        <v>0</v>
      </c>
      <c r="DZ9" s="1023"/>
      <c r="EA9" s="1023"/>
      <c r="EB9" s="1023"/>
      <c r="EC9" s="1025"/>
      <c r="ED9" s="1025"/>
      <c r="EE9" s="1026"/>
      <c r="EF9" s="1023"/>
      <c r="EG9" s="1023"/>
      <c r="EH9" s="1023"/>
      <c r="EI9" s="1028" t="b">
        <v>0</v>
      </c>
      <c r="EJ9" s="1028" t="b">
        <v>0</v>
      </c>
      <c r="EK9" s="1023"/>
      <c r="EL9" s="1023"/>
      <c r="EM9" s="1023"/>
      <c r="EN9" s="1025"/>
      <c r="EO9" s="1025"/>
      <c r="EP9" s="1026"/>
      <c r="EQ9" s="1023"/>
      <c r="ER9" s="1023"/>
      <c r="ES9" s="1023"/>
      <c r="ET9" s="1028" t="b">
        <v>0</v>
      </c>
      <c r="EU9" s="1028" t="b">
        <v>0</v>
      </c>
      <c r="EV9" s="1023"/>
      <c r="EW9" s="1023"/>
    </row>
    <row r="10" spans="1:153">
      <c r="C10" s="983" t="s">
        <v>796</v>
      </c>
      <c r="D10" s="980">
        <v>1450022</v>
      </c>
      <c r="E10" s="980">
        <v>33</v>
      </c>
      <c r="F10" s="980" t="s">
        <v>803</v>
      </c>
      <c r="G10" s="980" t="s">
        <v>779</v>
      </c>
      <c r="H10" s="980" t="s">
        <v>780</v>
      </c>
      <c r="I10" s="980" t="s">
        <v>781</v>
      </c>
      <c r="J10" s="429">
        <v>166</v>
      </c>
      <c r="K10" s="980"/>
      <c r="L10" s="1010" t="s">
        <v>804</v>
      </c>
      <c r="M10" s="986">
        <v>20456.21</v>
      </c>
      <c r="N10" s="981"/>
      <c r="O10" s="981"/>
      <c r="P10" s="986">
        <v>20456.21</v>
      </c>
      <c r="Q10" s="981" t="s">
        <v>805</v>
      </c>
      <c r="R10" s="981" t="s">
        <v>784</v>
      </c>
      <c r="S10" s="981" t="s">
        <v>785</v>
      </c>
      <c r="T10" s="993" t="b">
        <v>1</v>
      </c>
      <c r="U10" s="993" t="b">
        <v>1</v>
      </c>
      <c r="V10" s="1039">
        <v>32062.42</v>
      </c>
      <c r="W10" s="1039">
        <v>0</v>
      </c>
      <c r="X10" s="1039">
        <v>0</v>
      </c>
      <c r="Y10" s="1040">
        <v>32062.42</v>
      </c>
      <c r="Z10" s="1042">
        <v>2254</v>
      </c>
      <c r="AA10" s="981" t="s">
        <v>790</v>
      </c>
      <c r="AB10" s="1041" t="s">
        <v>791</v>
      </c>
      <c r="AC10" s="982" t="b">
        <v>1</v>
      </c>
      <c r="AD10" s="982" t="b">
        <v>1</v>
      </c>
      <c r="AE10" s="991">
        <f t="shared" si="1"/>
        <v>0.32744405182567726</v>
      </c>
      <c r="AF10" s="991">
        <f t="shared" si="0"/>
        <v>0.56736853992015135</v>
      </c>
      <c r="AG10" s="990"/>
      <c r="AH10" s="988"/>
      <c r="AI10" s="988"/>
      <c r="AJ10" s="989"/>
      <c r="AK10" s="990"/>
      <c r="AL10" s="981" t="s">
        <v>786</v>
      </c>
      <c r="AM10" s="990"/>
      <c r="AN10" s="982" t="b">
        <v>0</v>
      </c>
      <c r="AO10" s="982" t="b">
        <v>0</v>
      </c>
      <c r="AP10" s="992"/>
      <c r="AQ10" s="992"/>
      <c r="AR10" s="992"/>
      <c r="AS10" s="988"/>
      <c r="AT10" s="988"/>
      <c r="AU10" s="989"/>
      <c r="AV10" s="990"/>
      <c r="AW10" s="990"/>
      <c r="AX10" s="990"/>
      <c r="AY10" s="982" t="b">
        <v>0</v>
      </c>
      <c r="AZ10" s="982" t="b">
        <v>0</v>
      </c>
      <c r="BA10" s="990"/>
      <c r="BB10" s="990"/>
      <c r="BC10" s="990"/>
      <c r="BD10" s="988"/>
      <c r="BE10" s="988"/>
      <c r="BF10" s="989"/>
      <c r="BG10" s="990"/>
      <c r="BH10" s="990"/>
      <c r="BI10" s="1023"/>
      <c r="BJ10" s="1028" t="b">
        <v>0</v>
      </c>
      <c r="BK10" s="1028" t="b">
        <v>0</v>
      </c>
      <c r="BL10" s="1023"/>
      <c r="BM10" s="1023"/>
      <c r="BN10" s="1023"/>
      <c r="BO10" s="1025"/>
      <c r="BP10" s="1025"/>
      <c r="BQ10" s="1026"/>
      <c r="BR10" s="1023"/>
      <c r="BS10" s="1023"/>
      <c r="BT10" s="1023"/>
      <c r="BU10" s="1028" t="b">
        <v>0</v>
      </c>
      <c r="BV10" s="1028" t="b">
        <v>0</v>
      </c>
      <c r="BW10" s="1023"/>
      <c r="BX10" s="1023"/>
      <c r="BY10" s="1023"/>
      <c r="BZ10" s="1025"/>
      <c r="CA10" s="1025"/>
      <c r="CB10" s="1026"/>
      <c r="CC10" s="1023"/>
      <c r="CD10" s="1023"/>
      <c r="CE10" s="1023"/>
      <c r="CF10" s="1028" t="b">
        <v>0</v>
      </c>
      <c r="CG10" s="1028" t="b">
        <v>0</v>
      </c>
      <c r="CH10" s="1023"/>
      <c r="CI10" s="1023"/>
      <c r="CJ10" s="1023"/>
      <c r="CK10" s="1025"/>
      <c r="CL10" s="1025"/>
      <c r="CM10" s="1026"/>
      <c r="CN10" s="1027"/>
      <c r="CO10" s="1023"/>
      <c r="CP10" s="1023"/>
      <c r="CQ10" s="1028" t="b">
        <v>0</v>
      </c>
      <c r="CR10" s="1028" t="b">
        <v>0</v>
      </c>
      <c r="CS10" s="1023"/>
      <c r="CT10" s="1023"/>
      <c r="CU10" s="1023"/>
      <c r="CV10" s="1025"/>
      <c r="CW10" s="1025"/>
      <c r="CX10" s="1026"/>
      <c r="CY10" s="1023"/>
      <c r="CZ10" s="1023"/>
      <c r="DA10" s="1023"/>
      <c r="DB10" s="1028" t="b">
        <v>0</v>
      </c>
      <c r="DC10" s="1028" t="b">
        <v>0</v>
      </c>
      <c r="DD10" s="1023"/>
      <c r="DE10" s="1023"/>
      <c r="DF10" s="1023"/>
      <c r="DG10" s="1025"/>
      <c r="DH10" s="1025"/>
      <c r="DI10" s="1026"/>
      <c r="DJ10" s="1027"/>
      <c r="DK10" s="1023"/>
      <c r="DL10" s="1023"/>
      <c r="DM10" s="1028" t="b">
        <v>0</v>
      </c>
      <c r="DN10" s="1028" t="b">
        <v>0</v>
      </c>
      <c r="DO10" s="1023"/>
      <c r="DP10" s="1023"/>
      <c r="DQ10" s="1023"/>
      <c r="DR10" s="1025"/>
      <c r="DS10" s="1025"/>
      <c r="DT10" s="1026"/>
      <c r="DU10" s="1027"/>
      <c r="DV10" s="1023"/>
      <c r="DW10" s="1023"/>
      <c r="DX10" s="1028" t="b">
        <v>0</v>
      </c>
      <c r="DY10" s="1028" t="b">
        <v>0</v>
      </c>
      <c r="DZ10" s="1023"/>
      <c r="EA10" s="1023"/>
      <c r="EB10" s="1023"/>
      <c r="EC10" s="1025"/>
      <c r="ED10" s="1025"/>
      <c r="EE10" s="1026"/>
      <c r="EF10" s="1023"/>
      <c r="EG10" s="1023"/>
      <c r="EH10" s="1023"/>
      <c r="EI10" s="1028" t="b">
        <v>0</v>
      </c>
      <c r="EJ10" s="1028" t="b">
        <v>0</v>
      </c>
      <c r="EK10" s="1023"/>
      <c r="EL10" s="1023"/>
      <c r="EM10" s="1023"/>
      <c r="EN10" s="1025"/>
      <c r="EO10" s="1025"/>
      <c r="EP10" s="1026"/>
      <c r="EQ10" s="1023"/>
      <c r="ER10" s="1023"/>
      <c r="ES10" s="1023"/>
      <c r="ET10" s="1028" t="b">
        <v>0</v>
      </c>
      <c r="EU10" s="1028" t="b">
        <v>0</v>
      </c>
      <c r="EV10" s="1023"/>
      <c r="EW10" s="1023"/>
    </row>
    <row r="11" spans="1:153">
      <c r="C11" s="983" t="s">
        <v>806</v>
      </c>
      <c r="D11" s="980">
        <v>1450022</v>
      </c>
      <c r="E11" s="980">
        <v>99</v>
      </c>
      <c r="F11" s="980" t="s">
        <v>807</v>
      </c>
      <c r="G11" s="980" t="s">
        <v>779</v>
      </c>
      <c r="H11" s="980" t="s">
        <v>780</v>
      </c>
      <c r="I11" s="980" t="s">
        <v>781</v>
      </c>
      <c r="J11" s="429">
        <v>166</v>
      </c>
      <c r="K11" s="980"/>
      <c r="L11" s="985" t="s">
        <v>808</v>
      </c>
      <c r="M11" s="986">
        <v>2610.3200000000002</v>
      </c>
      <c r="N11" s="981"/>
      <c r="O11" s="981"/>
      <c r="P11" s="986">
        <v>2610.3200000000002</v>
      </c>
      <c r="Q11" s="981" t="s">
        <v>809</v>
      </c>
      <c r="R11" s="981" t="s">
        <v>784</v>
      </c>
      <c r="S11" s="981" t="s">
        <v>785</v>
      </c>
      <c r="T11" s="993" t="b">
        <v>1</v>
      </c>
      <c r="U11" s="993" t="b">
        <v>1</v>
      </c>
      <c r="V11" s="1039">
        <v>2256.81</v>
      </c>
      <c r="W11" s="1039">
        <v>0</v>
      </c>
      <c r="X11" s="1039">
        <v>0</v>
      </c>
      <c r="Y11" s="1040">
        <v>2256.81</v>
      </c>
      <c r="Z11" s="1042">
        <v>199</v>
      </c>
      <c r="AA11" s="981" t="s">
        <v>790</v>
      </c>
      <c r="AB11" s="1041" t="s">
        <v>791</v>
      </c>
      <c r="AC11" s="982" t="b">
        <v>1</v>
      </c>
      <c r="AD11" s="982" t="b">
        <v>1</v>
      </c>
      <c r="AE11" s="991">
        <f t="shared" si="1"/>
        <v>-0.13852813852813853</v>
      </c>
      <c r="AF11" s="991">
        <f t="shared" si="0"/>
        <v>-0.13542784026479521</v>
      </c>
      <c r="AG11" s="990"/>
      <c r="AH11" s="988"/>
      <c r="AI11" s="988"/>
      <c r="AJ11" s="989"/>
      <c r="AK11" s="990"/>
      <c r="AL11" s="981" t="s">
        <v>786</v>
      </c>
      <c r="AM11" s="990"/>
      <c r="AN11" s="982" t="b">
        <v>0</v>
      </c>
      <c r="AO11" s="982" t="b">
        <v>0</v>
      </c>
      <c r="AP11" s="992"/>
      <c r="AQ11" s="992"/>
      <c r="AR11" s="992"/>
      <c r="AS11" s="988"/>
      <c r="AT11" s="988"/>
      <c r="AU11" s="989"/>
      <c r="AV11" s="990"/>
      <c r="AW11" s="990"/>
      <c r="AX11" s="990"/>
      <c r="AY11" s="982" t="b">
        <v>0</v>
      </c>
      <c r="AZ11" s="982" t="b">
        <v>0</v>
      </c>
      <c r="BA11" s="990"/>
      <c r="BB11" s="990"/>
      <c r="BC11" s="990"/>
      <c r="BD11" s="988"/>
      <c r="BE11" s="988"/>
      <c r="BF11" s="989"/>
      <c r="BG11" s="990"/>
      <c r="BH11" s="990"/>
      <c r="BI11" s="1023"/>
      <c r="BJ11" s="1028" t="b">
        <v>0</v>
      </c>
      <c r="BK11" s="1028" t="b">
        <v>0</v>
      </c>
      <c r="BL11" s="1023"/>
      <c r="BM11" s="1023"/>
      <c r="BN11" s="1023"/>
      <c r="BO11" s="1025"/>
      <c r="BP11" s="1025"/>
      <c r="BQ11" s="1026"/>
      <c r="BR11" s="1023"/>
      <c r="BS11" s="1023"/>
      <c r="BT11" s="1023"/>
      <c r="BU11" s="1028" t="b">
        <v>0</v>
      </c>
      <c r="BV11" s="1028" t="b">
        <v>0</v>
      </c>
      <c r="BW11" s="1023"/>
      <c r="BX11" s="1023"/>
      <c r="BY11" s="1023"/>
      <c r="BZ11" s="1025"/>
      <c r="CA11" s="1025"/>
      <c r="CB11" s="1026"/>
      <c r="CC11" s="1023"/>
      <c r="CD11" s="1023"/>
      <c r="CE11" s="1023"/>
      <c r="CF11" s="1028" t="b">
        <v>0</v>
      </c>
      <c r="CG11" s="1028" t="b">
        <v>0</v>
      </c>
      <c r="CH11" s="1023"/>
      <c r="CI11" s="1023"/>
      <c r="CJ11" s="1023"/>
      <c r="CK11" s="1025"/>
      <c r="CL11" s="1025"/>
      <c r="CM11" s="1026"/>
      <c r="CN11" s="1027"/>
      <c r="CO11" s="1023"/>
      <c r="CP11" s="1023"/>
      <c r="CQ11" s="1028" t="b">
        <v>0</v>
      </c>
      <c r="CR11" s="1028" t="b">
        <v>0</v>
      </c>
      <c r="CS11" s="1023"/>
      <c r="CT11" s="1023"/>
      <c r="CU11" s="1023"/>
      <c r="CV11" s="1025"/>
      <c r="CW11" s="1025"/>
      <c r="CX11" s="1026"/>
      <c r="CY11" s="1023"/>
      <c r="CZ11" s="1023"/>
      <c r="DA11" s="1023"/>
      <c r="DB11" s="1028" t="b">
        <v>0</v>
      </c>
      <c r="DC11" s="1028" t="b">
        <v>0</v>
      </c>
      <c r="DD11" s="1023"/>
      <c r="DE11" s="1023"/>
      <c r="DF11" s="1023"/>
      <c r="DG11" s="1025"/>
      <c r="DH11" s="1025"/>
      <c r="DI11" s="1026"/>
      <c r="DJ11" s="1027"/>
      <c r="DK11" s="1023"/>
      <c r="DL11" s="1023"/>
      <c r="DM11" s="1028" t="b">
        <v>0</v>
      </c>
      <c r="DN11" s="1028" t="b">
        <v>0</v>
      </c>
      <c r="DO11" s="1023"/>
      <c r="DP11" s="1023"/>
      <c r="DQ11" s="1023"/>
      <c r="DR11" s="1025"/>
      <c r="DS11" s="1025"/>
      <c r="DT11" s="1026"/>
      <c r="DU11" s="1027"/>
      <c r="DV11" s="1023"/>
      <c r="DW11" s="1023"/>
      <c r="DX11" s="1028" t="b">
        <v>0</v>
      </c>
      <c r="DY11" s="1028" t="b">
        <v>0</v>
      </c>
      <c r="DZ11" s="1023"/>
      <c r="EA11" s="1023"/>
      <c r="EB11" s="1023"/>
      <c r="EC11" s="1025"/>
      <c r="ED11" s="1025"/>
      <c r="EE11" s="1026"/>
      <c r="EF11" s="1023"/>
      <c r="EG11" s="1023"/>
      <c r="EH11" s="1023"/>
      <c r="EI11" s="1028" t="b">
        <v>0</v>
      </c>
      <c r="EJ11" s="1028" t="b">
        <v>0</v>
      </c>
      <c r="EK11" s="1023"/>
      <c r="EL11" s="1023"/>
      <c r="EM11" s="1023"/>
      <c r="EN11" s="1025"/>
      <c r="EO11" s="1025"/>
      <c r="EP11" s="1026"/>
      <c r="EQ11" s="1023"/>
      <c r="ER11" s="1023"/>
      <c r="ES11" s="1023"/>
      <c r="ET11" s="1028" t="b">
        <v>0</v>
      </c>
      <c r="EU11" s="1028" t="b">
        <v>0</v>
      </c>
      <c r="EV11" s="1023"/>
      <c r="EW11" s="1023"/>
    </row>
    <row r="12" spans="1:153">
      <c r="C12" s="983" t="s">
        <v>806</v>
      </c>
      <c r="D12" s="980">
        <v>1450022</v>
      </c>
      <c r="E12" s="980">
        <v>99</v>
      </c>
      <c r="F12" s="980" t="s">
        <v>810</v>
      </c>
      <c r="G12" s="980" t="s">
        <v>779</v>
      </c>
      <c r="H12" s="980" t="s">
        <v>780</v>
      </c>
      <c r="I12" s="980" t="s">
        <v>781</v>
      </c>
      <c r="J12" s="429">
        <v>166</v>
      </c>
      <c r="K12" s="980"/>
      <c r="L12" s="985" t="s">
        <v>811</v>
      </c>
      <c r="M12" s="986">
        <v>93883.43</v>
      </c>
      <c r="N12" s="981"/>
      <c r="O12" s="981"/>
      <c r="P12" s="986">
        <v>93883.43</v>
      </c>
      <c r="Q12" s="981" t="s">
        <v>812</v>
      </c>
      <c r="R12" s="981" t="s">
        <v>813</v>
      </c>
      <c r="S12" s="981" t="s">
        <v>785</v>
      </c>
      <c r="T12" s="993" t="b">
        <v>1</v>
      </c>
      <c r="U12" s="993" t="b">
        <v>1</v>
      </c>
      <c r="V12" s="1039">
        <v>99600.91</v>
      </c>
      <c r="W12" s="1039">
        <v>0</v>
      </c>
      <c r="X12" s="1039">
        <v>0</v>
      </c>
      <c r="Y12" s="1040">
        <v>99600.91</v>
      </c>
      <c r="Z12" s="1042">
        <v>8204</v>
      </c>
      <c r="AA12" s="981" t="s">
        <v>790</v>
      </c>
      <c r="AB12" s="1041" t="s">
        <v>791</v>
      </c>
      <c r="AC12" s="982" t="b">
        <v>1</v>
      </c>
      <c r="AD12" s="982" t="b">
        <v>1</v>
      </c>
      <c r="AE12" s="991">
        <f t="shared" si="1"/>
        <v>6.0770623222136021E-2</v>
      </c>
      <c r="AF12" s="991">
        <f t="shared" si="0"/>
        <v>6.0899777521976041E-2</v>
      </c>
      <c r="AG12" s="990"/>
      <c r="AH12" s="988"/>
      <c r="AI12" s="988"/>
      <c r="AJ12" s="989"/>
      <c r="AK12" s="990"/>
      <c r="AL12" s="981" t="s">
        <v>786</v>
      </c>
      <c r="AM12" s="990"/>
      <c r="AN12" s="982" t="b">
        <v>0</v>
      </c>
      <c r="AO12" s="982" t="b">
        <v>0</v>
      </c>
      <c r="AP12" s="992"/>
      <c r="AQ12" s="992"/>
      <c r="AR12" s="992"/>
      <c r="AS12" s="988"/>
      <c r="AT12" s="988"/>
      <c r="AU12" s="989"/>
      <c r="AV12" s="990"/>
      <c r="AW12" s="990"/>
      <c r="AX12" s="990"/>
      <c r="AY12" s="982" t="b">
        <v>0</v>
      </c>
      <c r="AZ12" s="982" t="b">
        <v>0</v>
      </c>
      <c r="BA12" s="990"/>
      <c r="BB12" s="990"/>
      <c r="BC12" s="990"/>
      <c r="BD12" s="988"/>
      <c r="BE12" s="988"/>
      <c r="BF12" s="989"/>
      <c r="BG12" s="990"/>
      <c r="BH12" s="990"/>
      <c r="BI12" s="1023"/>
      <c r="BJ12" s="1028" t="b">
        <v>0</v>
      </c>
      <c r="BK12" s="1028" t="b">
        <v>0</v>
      </c>
      <c r="BL12" s="1023"/>
      <c r="BM12" s="1023"/>
      <c r="BN12" s="1023"/>
      <c r="BO12" s="1025"/>
      <c r="BP12" s="1025"/>
      <c r="BQ12" s="1026"/>
      <c r="BR12" s="1023"/>
      <c r="BS12" s="1023"/>
      <c r="BT12" s="1023"/>
      <c r="BU12" s="1028" t="b">
        <v>0</v>
      </c>
      <c r="BV12" s="1028" t="b">
        <v>0</v>
      </c>
      <c r="BW12" s="1023"/>
      <c r="BX12" s="1023"/>
      <c r="BY12" s="1023"/>
      <c r="BZ12" s="1025"/>
      <c r="CA12" s="1025"/>
      <c r="CB12" s="1026"/>
      <c r="CC12" s="1023"/>
      <c r="CD12" s="1023"/>
      <c r="CE12" s="1023"/>
      <c r="CF12" s="1028" t="b">
        <v>0</v>
      </c>
      <c r="CG12" s="1028" t="b">
        <v>0</v>
      </c>
      <c r="CH12" s="1023"/>
      <c r="CI12" s="1023"/>
      <c r="CJ12" s="1023"/>
      <c r="CK12" s="1025"/>
      <c r="CL12" s="1025"/>
      <c r="CM12" s="1026"/>
      <c r="CN12" s="1027"/>
      <c r="CO12" s="1023"/>
      <c r="CP12" s="1023"/>
      <c r="CQ12" s="1028" t="b">
        <v>0</v>
      </c>
      <c r="CR12" s="1028" t="b">
        <v>0</v>
      </c>
      <c r="CS12" s="1023"/>
      <c r="CT12" s="1023"/>
      <c r="CU12" s="1023"/>
      <c r="CV12" s="1025"/>
      <c r="CW12" s="1025"/>
      <c r="CX12" s="1026"/>
      <c r="CY12" s="1023"/>
      <c r="CZ12" s="1023"/>
      <c r="DA12" s="1023"/>
      <c r="DB12" s="1028" t="b">
        <v>0</v>
      </c>
      <c r="DC12" s="1028" t="b">
        <v>0</v>
      </c>
      <c r="DD12" s="1023"/>
      <c r="DE12" s="1023"/>
      <c r="DF12" s="1023"/>
      <c r="DG12" s="1025"/>
      <c r="DH12" s="1025"/>
      <c r="DI12" s="1026"/>
      <c r="DJ12" s="1027"/>
      <c r="DK12" s="1023"/>
      <c r="DL12" s="1023"/>
      <c r="DM12" s="1028" t="b">
        <v>0</v>
      </c>
      <c r="DN12" s="1028" t="b">
        <v>0</v>
      </c>
      <c r="DO12" s="1023"/>
      <c r="DP12" s="1023"/>
      <c r="DQ12" s="1023"/>
      <c r="DR12" s="1025"/>
      <c r="DS12" s="1025"/>
      <c r="DT12" s="1026"/>
      <c r="DU12" s="1027"/>
      <c r="DV12" s="1023"/>
      <c r="DW12" s="1023"/>
      <c r="DX12" s="1028" t="b">
        <v>0</v>
      </c>
      <c r="DY12" s="1028" t="b">
        <v>0</v>
      </c>
      <c r="DZ12" s="1023"/>
      <c r="EA12" s="1023"/>
      <c r="EB12" s="1023"/>
      <c r="EC12" s="1025"/>
      <c r="ED12" s="1025"/>
      <c r="EE12" s="1026"/>
      <c r="EF12" s="1023"/>
      <c r="EG12" s="1023"/>
      <c r="EH12" s="1023"/>
      <c r="EI12" s="1028" t="b">
        <v>0</v>
      </c>
      <c r="EJ12" s="1028" t="b">
        <v>0</v>
      </c>
      <c r="EK12" s="1023"/>
      <c r="EL12" s="1023"/>
      <c r="EM12" s="1023"/>
      <c r="EN12" s="1025"/>
      <c r="EO12" s="1025"/>
      <c r="EP12" s="1026"/>
      <c r="EQ12" s="1023"/>
      <c r="ER12" s="1023"/>
      <c r="ES12" s="1023"/>
      <c r="ET12" s="1028" t="b">
        <v>0</v>
      </c>
      <c r="EU12" s="1028" t="b">
        <v>0</v>
      </c>
      <c r="EV12" s="1023"/>
      <c r="EW12" s="1023"/>
    </row>
    <row r="13" spans="1:153" ht="15" customHeight="1">
      <c r="C13" s="1029" t="s">
        <v>814</v>
      </c>
      <c r="D13" s="1029">
        <v>1450022</v>
      </c>
      <c r="E13" s="1029">
        <v>37</v>
      </c>
      <c r="F13" s="1029" t="s">
        <v>815</v>
      </c>
      <c r="G13" s="1029" t="s">
        <v>779</v>
      </c>
      <c r="H13" s="1029" t="s">
        <v>780</v>
      </c>
      <c r="I13" s="1029" t="s">
        <v>781</v>
      </c>
      <c r="J13" s="1077">
        <v>160</v>
      </c>
      <c r="K13" s="1029"/>
      <c r="L13" s="1030" t="s">
        <v>816</v>
      </c>
      <c r="M13" s="1031">
        <v>234412.12</v>
      </c>
      <c r="N13" s="1032"/>
      <c r="O13" s="1032"/>
      <c r="P13" s="1031">
        <v>234412.12</v>
      </c>
      <c r="Q13" s="1032" t="s">
        <v>817</v>
      </c>
      <c r="R13" s="1032" t="s">
        <v>818</v>
      </c>
      <c r="S13" s="1032"/>
      <c r="T13" s="1033" t="b">
        <v>1</v>
      </c>
      <c r="U13" s="1033" t="b">
        <v>1</v>
      </c>
      <c r="V13" s="1034">
        <v>224217.95</v>
      </c>
      <c r="W13" s="1034">
        <v>0</v>
      </c>
      <c r="X13" s="1034">
        <v>0</v>
      </c>
      <c r="Y13" s="1035">
        <v>224217.95</v>
      </c>
      <c r="Z13" s="1043">
        <v>18448</v>
      </c>
      <c r="AA13" s="1032" t="s">
        <v>819</v>
      </c>
      <c r="AB13" s="1036" t="s">
        <v>820</v>
      </c>
      <c r="AC13" s="1078" t="b">
        <v>1</v>
      </c>
      <c r="AD13" s="1078" t="b">
        <v>1</v>
      </c>
      <c r="AE13" s="1037">
        <f>(Z13-Q13)/Q13</f>
        <v>-4.345120813024992E-2</v>
      </c>
      <c r="AF13" s="1037">
        <f t="shared" si="0"/>
        <v>-4.3488237724226816E-2</v>
      </c>
      <c r="AG13" s="1085">
        <v>221943.12</v>
      </c>
      <c r="AH13" s="1085">
        <v>0</v>
      </c>
      <c r="AI13" s="1085">
        <v>0</v>
      </c>
      <c r="AJ13" s="1085">
        <v>221943.12</v>
      </c>
      <c r="AK13" s="1043">
        <v>18261</v>
      </c>
      <c r="AL13" s="934" t="s">
        <v>821</v>
      </c>
      <c r="AM13" s="1036" t="s">
        <v>822</v>
      </c>
      <c r="AN13" s="1078" t="b">
        <v>1</v>
      </c>
      <c r="AO13" s="1078" t="b">
        <v>0</v>
      </c>
      <c r="AP13" s="1079"/>
      <c r="AQ13" s="1079"/>
      <c r="AR13" s="1079"/>
      <c r="AS13" s="1034"/>
      <c r="AT13" s="1034"/>
      <c r="AU13" s="1035"/>
      <c r="AV13" s="1036"/>
      <c r="AW13" s="1036"/>
      <c r="AX13" s="1036"/>
      <c r="AY13" s="1078" t="b">
        <v>0</v>
      </c>
      <c r="AZ13" s="1078" t="b">
        <v>0</v>
      </c>
      <c r="BA13" s="1036"/>
      <c r="BB13" s="1036"/>
      <c r="BC13" s="1036"/>
      <c r="BD13" s="1034"/>
      <c r="BE13" s="1034"/>
      <c r="BF13" s="1035"/>
      <c r="BG13" s="1036"/>
      <c r="BH13" s="1036"/>
      <c r="BI13" s="1080"/>
      <c r="BJ13" s="1081" t="b">
        <v>0</v>
      </c>
      <c r="BK13" s="1081" t="b">
        <v>0</v>
      </c>
      <c r="BL13" s="1080"/>
      <c r="BM13" s="1080"/>
      <c r="BN13" s="1080"/>
      <c r="BO13" s="1082"/>
      <c r="BP13" s="1082"/>
      <c r="BQ13" s="1083"/>
      <c r="BR13" s="1080"/>
      <c r="BS13" s="1080"/>
      <c r="BT13" s="1080"/>
      <c r="BU13" s="1081" t="b">
        <v>0</v>
      </c>
      <c r="BV13" s="1081" t="b">
        <v>0</v>
      </c>
      <c r="BW13" s="1080"/>
      <c r="BX13" s="1080"/>
      <c r="BY13" s="1080"/>
      <c r="BZ13" s="1082"/>
      <c r="CA13" s="1082"/>
      <c r="CB13" s="1083"/>
      <c r="CC13" s="1080"/>
      <c r="CD13" s="1080"/>
      <c r="CE13" s="1080"/>
      <c r="CF13" s="1081" t="b">
        <v>0</v>
      </c>
      <c r="CG13" s="1081" t="b">
        <v>0</v>
      </c>
      <c r="CH13" s="1080"/>
      <c r="CI13" s="1080"/>
      <c r="CJ13" s="1080"/>
      <c r="CK13" s="1082"/>
      <c r="CL13" s="1082"/>
      <c r="CM13" s="1083"/>
      <c r="CN13" s="1084"/>
      <c r="CO13" s="1080"/>
      <c r="CP13" s="1080"/>
      <c r="CQ13" s="1081" t="b">
        <v>0</v>
      </c>
      <c r="CR13" s="1081" t="b">
        <v>0</v>
      </c>
      <c r="CS13" s="1080"/>
      <c r="CT13" s="1080"/>
      <c r="CU13" s="1080"/>
      <c r="CV13" s="1082"/>
      <c r="CW13" s="1082"/>
      <c r="CX13" s="1083"/>
      <c r="CY13" s="1080"/>
      <c r="CZ13" s="1080"/>
      <c r="DA13" s="1080"/>
      <c r="DB13" s="1081" t="b">
        <v>0</v>
      </c>
      <c r="DC13" s="1081" t="b">
        <v>0</v>
      </c>
      <c r="DD13" s="1080"/>
      <c r="DE13" s="1080"/>
      <c r="DF13" s="1080"/>
      <c r="DG13" s="1082"/>
      <c r="DH13" s="1082"/>
      <c r="DI13" s="1083"/>
      <c r="DJ13" s="1084"/>
      <c r="DK13" s="1080"/>
      <c r="DL13" s="1080"/>
      <c r="DM13" s="1081" t="b">
        <v>0</v>
      </c>
      <c r="DN13" s="1081" t="b">
        <v>0</v>
      </c>
      <c r="DO13" s="1080"/>
      <c r="DP13" s="1080"/>
      <c r="DQ13" s="1080"/>
      <c r="DR13" s="1082"/>
      <c r="DS13" s="1082"/>
      <c r="DT13" s="1083"/>
      <c r="DU13" s="1084"/>
      <c r="DV13" s="1080"/>
      <c r="DW13" s="1080"/>
      <c r="DX13" s="1081" t="b">
        <v>0</v>
      </c>
      <c r="DY13" s="1081" t="b">
        <v>0</v>
      </c>
      <c r="DZ13" s="1080"/>
      <c r="EA13" s="1080"/>
      <c r="EB13" s="1080"/>
      <c r="EC13" s="1082"/>
      <c r="ED13" s="1082"/>
      <c r="EE13" s="1083"/>
      <c r="EF13" s="1080"/>
      <c r="EG13" s="1080"/>
      <c r="EH13" s="1080"/>
      <c r="EI13" s="1081" t="b">
        <v>0</v>
      </c>
      <c r="EJ13" s="1081" t="b">
        <v>0</v>
      </c>
      <c r="EK13" s="1080"/>
      <c r="EL13" s="1080"/>
      <c r="EM13" s="1080"/>
      <c r="EN13" s="1082"/>
      <c r="EO13" s="1082"/>
      <c r="EP13" s="1083"/>
      <c r="EQ13" s="1080"/>
      <c r="ER13" s="1080"/>
      <c r="ES13" s="1080"/>
      <c r="ET13" s="1081" t="b">
        <v>0</v>
      </c>
      <c r="EU13" s="1081" t="b">
        <v>0</v>
      </c>
      <c r="EV13" s="1080"/>
      <c r="EW13" s="1080"/>
    </row>
    <row r="14" spans="1:153" ht="15" customHeight="1"/>
    <row r="15" spans="1:153" ht="15" customHeight="1"/>
    <row r="16" spans="1:153" ht="15" customHeight="1"/>
    <row r="17" ht="15" customHeight="1"/>
    <row r="18" ht="15" customHeight="1"/>
    <row r="19" ht="15" customHeight="1"/>
    <row r="20" ht="15" customHeight="1"/>
    <row r="21" ht="15" customHeight="1"/>
    <row r="31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182" spans="1:3" hidden="1">
      <c r="A182" s="3"/>
      <c r="B182" s="1"/>
    </row>
    <row r="184" spans="1:3" ht="15" hidden="1" customHeight="1">
      <c r="C184" s="1"/>
    </row>
  </sheetData>
  <mergeCells count="14">
    <mergeCell ref="EM2:EW3"/>
    <mergeCell ref="AR2:BB3"/>
    <mergeCell ref="BN2:BX3"/>
    <mergeCell ref="BY2:CI3"/>
    <mergeCell ref="CJ2:CT3"/>
    <mergeCell ref="CU2:DE3"/>
    <mergeCell ref="DF2:DP3"/>
    <mergeCell ref="EB2:EL3"/>
    <mergeCell ref="C2:L3"/>
    <mergeCell ref="V2:AF3"/>
    <mergeCell ref="AG2:AQ3"/>
    <mergeCell ref="BC2:BM3"/>
    <mergeCell ref="DQ2:EA3"/>
    <mergeCell ref="M2:U3"/>
  </mergeCells>
  <conditionalFormatting sqref="AE5:AF13">
    <cfRule type="cellIs" dxfId="749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7B8E-2BDD-4031-9946-3450A3CFF431}">
  <dimension ref="A1:ACE172"/>
  <sheetViews>
    <sheetView showGridLines="0" tabSelected="1" workbookViewId="0">
      <pane xSplit="3" topLeftCell="AY9" activePane="topRight" state="frozen"/>
      <selection pane="topRight" activeCell="C11" sqref="C11"/>
    </sheetView>
  </sheetViews>
  <sheetFormatPr defaultRowHeight="15" customHeight="1" zeroHeight="1"/>
  <cols>
    <col min="1" max="1" width="42.7109375" style="2" customWidth="1"/>
    <col min="2" max="2" width="9.140625" customWidth="1"/>
    <col min="3" max="3" width="94.7109375" customWidth="1"/>
    <col min="4" max="4" width="19.7109375" bestFit="1" customWidth="1"/>
    <col min="5" max="5" width="12.42578125" customWidth="1"/>
    <col min="6" max="6" width="16.5703125" customWidth="1"/>
    <col min="7" max="7" width="19.85546875" style="430" customWidth="1"/>
    <col min="8" max="8" width="24.7109375" style="430" customWidth="1"/>
    <col min="9" max="9" width="81.42578125" bestFit="1" customWidth="1"/>
    <col min="10" max="10" width="19.42578125" bestFit="1" customWidth="1"/>
    <col min="11" max="11" width="24.5703125" style="355" customWidth="1"/>
    <col min="12" max="12" width="26.140625" style="355" customWidth="1"/>
    <col min="13" max="13" width="19.85546875" hidden="1" customWidth="1"/>
    <col min="14" max="14" width="0.28515625" customWidth="1"/>
    <col min="15" max="15" width="20.140625" customWidth="1"/>
    <col min="16" max="16" width="9.140625" customWidth="1"/>
    <col min="17" max="18" width="24.7109375" style="350" hidden="1" customWidth="1"/>
    <col min="19" max="19" width="24.7109375" hidden="1" customWidth="1"/>
    <col min="20" max="20" width="17" style="37" hidden="1" customWidth="1"/>
    <col min="21" max="21" width="11.42578125" hidden="1" customWidth="1"/>
    <col min="22" max="22" width="15.7109375" style="352" hidden="1" customWidth="1"/>
    <col min="23" max="23" width="20.140625" hidden="1" customWidth="1"/>
    <col min="24" max="24" width="15.7109375" style="44" customWidth="1"/>
    <col min="25" max="25" width="27.28515625" style="44" customWidth="1"/>
    <col min="26" max="26" width="16.5703125" style="44" customWidth="1"/>
    <col min="27" max="27" width="19.42578125" style="44" bestFit="1" customWidth="1"/>
    <col min="28" max="28" width="19.7109375" style="40" bestFit="1" customWidth="1"/>
    <col min="29" max="29" width="19.7109375" style="40" customWidth="1"/>
    <col min="30" max="30" width="24.7109375" style="40" bestFit="1" customWidth="1"/>
    <col min="31" max="31" width="21.85546875" style="40" customWidth="1"/>
    <col min="32" max="32" width="19.7109375" style="40" customWidth="1"/>
    <col min="33" max="33" width="23.140625" style="389" bestFit="1" customWidth="1"/>
    <col min="34" max="34" width="24.140625" style="389" bestFit="1" customWidth="1"/>
    <col min="35" max="35" width="24.7109375" style="373" bestFit="1" customWidth="1"/>
    <col min="36" max="36" width="24.7109375" style="373" customWidth="1"/>
    <col min="37" max="37" width="16.5703125" style="373" customWidth="1"/>
    <col min="38" max="38" width="19.42578125" style="373" bestFit="1" customWidth="1"/>
    <col min="39" max="39" width="19.7109375" style="40" bestFit="1" customWidth="1"/>
    <col min="40" max="40" width="19.7109375" style="483" customWidth="1"/>
    <col min="41" max="41" width="24.7109375" style="40" bestFit="1" customWidth="1"/>
    <col min="42" max="42" width="21.85546875" customWidth="1"/>
    <col min="43" max="43" width="19.7109375" customWidth="1"/>
    <col min="44" max="44" width="23.140625" style="441" bestFit="1" customWidth="1"/>
    <col min="45" max="45" width="24.140625" style="441" bestFit="1" customWidth="1"/>
    <col min="46" max="46" width="24.7109375" style="37" bestFit="1" customWidth="1"/>
    <col min="47" max="47" width="24.7109375" style="37" customWidth="1"/>
    <col min="48" max="48" width="16.5703125" style="37" customWidth="1"/>
    <col min="49" max="49" width="19.42578125" style="37" bestFit="1" customWidth="1"/>
    <col min="50" max="50" width="19.7109375" style="40" bestFit="1" customWidth="1"/>
    <col min="51" max="51" width="19.7109375" style="40" customWidth="1"/>
    <col min="52" max="52" width="27.140625" style="40" customWidth="1"/>
    <col min="53" max="53" width="21.85546875" customWidth="1"/>
    <col min="54" max="54" width="19.7109375" customWidth="1"/>
    <col min="55" max="55" width="23.140625" style="441" bestFit="1" customWidth="1"/>
    <col min="56" max="56" width="24.140625" style="441" bestFit="1" customWidth="1"/>
    <col min="57" max="57" width="24.7109375" style="373" bestFit="1" customWidth="1"/>
    <col min="58" max="58" width="24.7109375" style="373" customWidth="1"/>
    <col min="59" max="59" width="16.5703125" style="373" customWidth="1"/>
    <col min="60" max="60" width="19.42578125" style="373" bestFit="1" customWidth="1"/>
    <col min="61" max="61" width="19.7109375" style="40" bestFit="1" customWidth="1"/>
    <col min="62" max="62" width="19.7109375" style="352" customWidth="1"/>
    <col min="63" max="63" width="25.5703125" style="40" customWidth="1"/>
    <col min="64" max="64" width="23" bestFit="1" customWidth="1"/>
    <col min="65" max="65" width="19.7109375" customWidth="1"/>
    <col min="66" max="66" width="23.140625" style="430" bestFit="1" customWidth="1"/>
    <col min="67" max="67" width="24.140625" style="430" bestFit="1" customWidth="1"/>
    <col min="68" max="68" width="24.7109375" bestFit="1" customWidth="1"/>
    <col min="69" max="69" width="24.7109375" customWidth="1"/>
    <col min="70" max="70" width="16.5703125" customWidth="1"/>
    <col min="71" max="71" width="19.42578125" bestFit="1" customWidth="1"/>
    <col min="72" max="72" width="19.7109375" bestFit="1" customWidth="1"/>
    <col min="73" max="73" width="19.7109375" style="352" customWidth="1"/>
    <col min="74" max="74" width="19.7109375" customWidth="1"/>
    <col min="75" max="75" width="21.85546875" customWidth="1"/>
    <col min="76" max="76" width="19.7109375" customWidth="1"/>
    <col min="77" max="77" width="23.140625" style="430" customWidth="1"/>
    <col min="78" max="78" width="24.140625" style="430" customWidth="1"/>
    <col min="79" max="79" width="24.7109375" bestFit="1" customWidth="1"/>
    <col min="80" max="80" width="24.7109375" customWidth="1"/>
    <col min="81" max="81" width="16.5703125" customWidth="1"/>
    <col min="82" max="82" width="19.42578125" bestFit="1" customWidth="1"/>
    <col min="83" max="83" width="19.7109375" bestFit="1" customWidth="1"/>
    <col min="84" max="84" width="19.7109375" style="352" customWidth="1"/>
    <col min="85" max="85" width="19.7109375" customWidth="1"/>
    <col min="86" max="86" width="21.85546875" customWidth="1"/>
    <col min="87" max="87" width="19.7109375" customWidth="1"/>
    <col min="88" max="88" width="23.140625" style="430" bestFit="1" customWidth="1"/>
    <col min="89" max="89" width="24.140625" style="430" bestFit="1" customWidth="1"/>
    <col min="90" max="90" width="24.7109375" bestFit="1" customWidth="1"/>
    <col min="91" max="91" width="24.7109375" customWidth="1"/>
    <col min="92" max="92" width="16.5703125" customWidth="1"/>
    <col min="93" max="93" width="19.42578125" bestFit="1" customWidth="1"/>
    <col min="94" max="94" width="19.7109375" bestFit="1" customWidth="1"/>
    <col min="95" max="95" width="19.7109375" style="352" customWidth="1"/>
    <col min="96" max="96" width="19.7109375" customWidth="1"/>
    <col min="97" max="97" width="21.85546875" customWidth="1"/>
    <col min="98" max="98" width="19.7109375" customWidth="1"/>
    <col min="99" max="99" width="23.140625" bestFit="1" customWidth="1"/>
    <col min="100" max="100" width="24.140625" bestFit="1" customWidth="1"/>
    <col min="101" max="101" width="24.7109375" bestFit="1" customWidth="1"/>
    <col min="102" max="102" width="24.7109375" customWidth="1"/>
    <col min="103" max="103" width="16.5703125" customWidth="1"/>
    <col min="104" max="104" width="19.42578125" bestFit="1" customWidth="1"/>
    <col min="105" max="105" width="19.7109375" bestFit="1" customWidth="1"/>
    <col min="106" max="106" width="19.7109375" style="352" customWidth="1"/>
    <col min="107" max="107" width="19.7109375" customWidth="1"/>
    <col min="108" max="108" width="21.85546875" customWidth="1"/>
    <col min="109" max="109" width="19.7109375" customWidth="1"/>
    <col min="110" max="110" width="23.140625" style="430" bestFit="1" customWidth="1"/>
    <col min="111" max="111" width="24.140625" style="430" bestFit="1" customWidth="1"/>
    <col min="112" max="112" width="24.7109375" bestFit="1" customWidth="1"/>
    <col min="113" max="115" width="16.5703125" customWidth="1"/>
    <col min="116" max="116" width="19.42578125" bestFit="1" customWidth="1"/>
    <col min="117" max="117" width="19.7109375" bestFit="1" customWidth="1"/>
    <col min="118" max="118" width="19.7109375" style="352" customWidth="1"/>
    <col min="119" max="119" width="19.7109375" customWidth="1"/>
    <col min="120" max="120" width="21.85546875" customWidth="1"/>
    <col min="121" max="121" width="19.7109375" customWidth="1"/>
    <col min="122" max="122" width="23.140625" style="430" bestFit="1" customWidth="1"/>
    <col min="123" max="123" width="24.140625" style="430" bestFit="1" customWidth="1"/>
    <col min="124" max="124" width="24.7109375" bestFit="1" customWidth="1"/>
    <col min="125" max="125" width="24.7109375" customWidth="1"/>
    <col min="126" max="126" width="17.5703125" customWidth="1"/>
    <col min="127" max="127" width="20.5703125" bestFit="1" customWidth="1"/>
    <col min="128" max="128" width="19.7109375" bestFit="1" customWidth="1"/>
    <col min="129" max="129" width="19.7109375" style="352" customWidth="1"/>
    <col min="130" max="130" width="19.7109375" customWidth="1"/>
    <col min="131" max="131" width="23" customWidth="1"/>
    <col min="132" max="132" width="19.7109375" customWidth="1"/>
    <col min="133" max="133" width="24.28515625" style="430" bestFit="1" customWidth="1"/>
    <col min="134" max="134" width="25.140625" style="430" bestFit="1" customWidth="1"/>
    <col min="135" max="135" width="14.140625" bestFit="1" customWidth="1"/>
    <col min="136" max="136" width="14.140625" customWidth="1"/>
    <col min="137" max="137" width="17.5703125" customWidth="1"/>
    <col min="138" max="138" width="20.5703125" bestFit="1" customWidth="1"/>
    <col min="139" max="139" width="19.7109375" bestFit="1" customWidth="1"/>
    <col min="140" max="140" width="19.7109375" style="352" customWidth="1"/>
    <col min="141" max="141" width="19.7109375" customWidth="1"/>
    <col min="142" max="142" width="24.28515625" bestFit="1" customWidth="1"/>
    <col min="143" max="143" width="25.140625" bestFit="1" customWidth="1"/>
    <col min="144" max="144" width="24.28515625" style="430" bestFit="1" customWidth="1"/>
    <col min="145" max="145" width="25.140625" style="430" bestFit="1" customWidth="1"/>
    <col min="146" max="146" width="17.85546875" bestFit="1" customWidth="1"/>
    <col min="147" max="147" width="17.85546875" customWidth="1"/>
    <col min="148" max="148" width="17.5703125" bestFit="1" customWidth="1"/>
    <col min="149" max="149" width="15.28515625" bestFit="1" customWidth="1"/>
    <col min="150" max="150" width="9.5703125" bestFit="1" customWidth="1"/>
    <col min="151" max="151" width="19.42578125" style="352" bestFit="1" customWidth="1"/>
    <col min="152" max="152" width="12.85546875" bestFit="1" customWidth="1"/>
    <col min="153" max="153" width="23" bestFit="1" customWidth="1"/>
    <col min="154" max="154" width="12.42578125" bestFit="1" customWidth="1"/>
    <col min="155" max="155" width="24.28515625" style="430" bestFit="1" customWidth="1"/>
    <col min="156" max="156" width="25.140625" style="430" bestFit="1" customWidth="1"/>
  </cols>
  <sheetData>
    <row r="1" spans="1:156" ht="15" customHeight="1">
      <c r="AG1" s="40"/>
      <c r="AH1" s="40"/>
      <c r="AR1" s="430"/>
      <c r="AS1" s="430"/>
      <c r="BC1" s="430"/>
      <c r="BD1" s="430"/>
    </row>
    <row r="2" spans="1:156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10" t="s">
        <v>1</v>
      </c>
      <c r="R2" s="1211"/>
      <c r="S2" s="1211"/>
      <c r="T2" s="1211"/>
      <c r="U2" s="1211"/>
      <c r="V2" s="1211"/>
      <c r="W2" s="1211"/>
      <c r="X2" s="1207" t="s">
        <v>2</v>
      </c>
      <c r="Y2" s="1207"/>
      <c r="Z2" s="1207"/>
      <c r="AA2" s="1207"/>
      <c r="AB2" s="1207"/>
      <c r="AC2" s="1207"/>
      <c r="AD2" s="1207"/>
      <c r="AE2" s="1207"/>
      <c r="AF2" s="1207"/>
      <c r="AG2" s="1207"/>
      <c r="AH2" s="1207"/>
      <c r="AI2" s="1208" t="s">
        <v>3</v>
      </c>
      <c r="AJ2" s="1208"/>
      <c r="AK2" s="1208"/>
      <c r="AL2" s="1208"/>
      <c r="AM2" s="1208"/>
      <c r="AN2" s="1208"/>
      <c r="AO2" s="1208"/>
      <c r="AP2" s="1208"/>
      <c r="AQ2" s="1208"/>
      <c r="AR2" s="1208"/>
      <c r="AS2" s="1208"/>
      <c r="AT2" s="1205" t="s">
        <v>4</v>
      </c>
      <c r="AU2" s="1205"/>
      <c r="AV2" s="1205"/>
      <c r="AW2" s="1205"/>
      <c r="AX2" s="1205"/>
      <c r="AY2" s="1205"/>
      <c r="AZ2" s="1205"/>
      <c r="BA2" s="1205"/>
      <c r="BB2" s="1205"/>
      <c r="BC2" s="1205"/>
      <c r="BD2" s="1205"/>
      <c r="BE2" s="1208" t="s">
        <v>5</v>
      </c>
      <c r="BF2" s="1208"/>
      <c r="BG2" s="1208"/>
      <c r="BH2" s="1208"/>
      <c r="BI2" s="1208"/>
      <c r="BJ2" s="1208"/>
      <c r="BK2" s="1208"/>
      <c r="BL2" s="1208"/>
      <c r="BM2" s="1208"/>
      <c r="BN2" s="1208"/>
      <c r="BO2" s="1208"/>
      <c r="BP2" s="1205" t="s">
        <v>6</v>
      </c>
      <c r="BQ2" s="1205"/>
      <c r="BR2" s="1205"/>
      <c r="BS2" s="1205"/>
      <c r="BT2" s="1205"/>
      <c r="BU2" s="1205"/>
      <c r="BV2" s="1205"/>
      <c r="BW2" s="1205"/>
      <c r="BX2" s="1205"/>
      <c r="BY2" s="1205"/>
      <c r="BZ2" s="1205"/>
      <c r="CA2" s="1208" t="s">
        <v>7</v>
      </c>
      <c r="CB2" s="1208"/>
      <c r="CC2" s="1208"/>
      <c r="CD2" s="1208"/>
      <c r="CE2" s="1208"/>
      <c r="CF2" s="1208"/>
      <c r="CG2" s="1208"/>
      <c r="CH2" s="1208"/>
      <c r="CI2" s="1208"/>
      <c r="CJ2" s="1208"/>
      <c r="CK2" s="1208"/>
      <c r="CL2" s="1214" t="s">
        <v>8</v>
      </c>
      <c r="CM2" s="1214"/>
      <c r="CN2" s="1214"/>
      <c r="CO2" s="1214"/>
      <c r="CP2" s="1214"/>
      <c r="CQ2" s="1214"/>
      <c r="CR2" s="1214"/>
      <c r="CS2" s="1214"/>
      <c r="CT2" s="1214"/>
      <c r="CU2" s="1214"/>
      <c r="CV2" s="1214"/>
      <c r="CW2" s="1208" t="s">
        <v>9</v>
      </c>
      <c r="CX2" s="1208"/>
      <c r="CY2" s="1208"/>
      <c r="CZ2" s="1208"/>
      <c r="DA2" s="1208"/>
      <c r="DB2" s="1208"/>
      <c r="DC2" s="1208"/>
      <c r="DD2" s="1208"/>
      <c r="DE2" s="1208"/>
      <c r="DF2" s="1208"/>
      <c r="DG2" s="1208"/>
      <c r="DH2" s="1208"/>
      <c r="DI2" s="1205" t="s">
        <v>10</v>
      </c>
      <c r="DJ2" s="1205"/>
      <c r="DK2" s="1205"/>
      <c r="DL2" s="1205"/>
      <c r="DM2" s="1205"/>
      <c r="DN2" s="1205"/>
      <c r="DO2" s="1205"/>
      <c r="DP2" s="1205"/>
      <c r="DQ2" s="1205"/>
      <c r="DR2" s="1205"/>
      <c r="DS2" s="1205"/>
      <c r="DT2" s="1208" t="s">
        <v>11</v>
      </c>
      <c r="DU2" s="1208"/>
      <c r="DV2" s="1208"/>
      <c r="DW2" s="1208"/>
      <c r="DX2" s="1208"/>
      <c r="DY2" s="1208"/>
      <c r="DZ2" s="1208"/>
      <c r="EA2" s="1208"/>
      <c r="EB2" s="1208"/>
      <c r="EC2" s="1208"/>
      <c r="ED2" s="1208"/>
      <c r="EE2" s="1214" t="s">
        <v>12</v>
      </c>
      <c r="EF2" s="1214"/>
      <c r="EG2" s="1214"/>
      <c r="EH2" s="1214"/>
      <c r="EI2" s="1214"/>
      <c r="EJ2" s="1214"/>
      <c r="EK2" s="1214"/>
      <c r="EL2" s="1214"/>
      <c r="EM2" s="1214"/>
      <c r="EN2" s="1214"/>
      <c r="EO2" s="1214"/>
      <c r="EP2" s="1208" t="s">
        <v>1</v>
      </c>
      <c r="EQ2" s="1208"/>
      <c r="ER2" s="1208"/>
      <c r="ES2" s="1208"/>
      <c r="ET2" s="1208"/>
      <c r="EU2" s="1208"/>
      <c r="EV2" s="1208"/>
      <c r="EW2" s="1208"/>
      <c r="EX2" s="1208"/>
      <c r="EY2" s="1208"/>
      <c r="EZ2" s="1208"/>
    </row>
    <row r="3" spans="1:156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12"/>
      <c r="R3" s="1213"/>
      <c r="S3" s="1213"/>
      <c r="T3" s="1213"/>
      <c r="U3" s="1213"/>
      <c r="V3" s="1213"/>
      <c r="W3" s="1213"/>
      <c r="X3" s="1207"/>
      <c r="Y3" s="1207"/>
      <c r="Z3" s="1207"/>
      <c r="AA3" s="1207"/>
      <c r="AB3" s="1207"/>
      <c r="AC3" s="1207"/>
      <c r="AD3" s="1207"/>
      <c r="AE3" s="1207"/>
      <c r="AF3" s="1207"/>
      <c r="AG3" s="1207"/>
      <c r="AH3" s="1207"/>
      <c r="AI3" s="1209"/>
      <c r="AJ3" s="1209"/>
      <c r="AK3" s="1209"/>
      <c r="AL3" s="1208"/>
      <c r="AM3" s="1209"/>
      <c r="AN3" s="1209"/>
      <c r="AO3" s="1209"/>
      <c r="AP3" s="1209"/>
      <c r="AQ3" s="1209"/>
      <c r="AR3" s="1209"/>
      <c r="AS3" s="1209"/>
      <c r="AT3" s="1206"/>
      <c r="AU3" s="1206"/>
      <c r="AV3" s="1206"/>
      <c r="AW3" s="1206"/>
      <c r="AX3" s="1206"/>
      <c r="AY3" s="1206"/>
      <c r="AZ3" s="1206"/>
      <c r="BA3" s="1206"/>
      <c r="BB3" s="1206"/>
      <c r="BC3" s="1206"/>
      <c r="BD3" s="1206"/>
      <c r="BE3" s="1209"/>
      <c r="BF3" s="1209"/>
      <c r="BG3" s="1209"/>
      <c r="BH3" s="1209"/>
      <c r="BI3" s="1209"/>
      <c r="BJ3" s="1209"/>
      <c r="BK3" s="1209"/>
      <c r="BL3" s="1209"/>
      <c r="BM3" s="1209"/>
      <c r="BN3" s="1209"/>
      <c r="BO3" s="1209"/>
      <c r="BP3" s="1206"/>
      <c r="BQ3" s="1206"/>
      <c r="BR3" s="1206"/>
      <c r="BS3" s="1206"/>
      <c r="BT3" s="1206"/>
      <c r="BU3" s="1206"/>
      <c r="BV3" s="1206"/>
      <c r="BW3" s="1206"/>
      <c r="BX3" s="1206"/>
      <c r="BY3" s="1206"/>
      <c r="BZ3" s="1206"/>
      <c r="CA3" s="1209"/>
      <c r="CB3" s="1209"/>
      <c r="CC3" s="1209"/>
      <c r="CD3" s="1209"/>
      <c r="CE3" s="1209"/>
      <c r="CF3" s="1209"/>
      <c r="CG3" s="1209"/>
      <c r="CH3" s="1209"/>
      <c r="CI3" s="1209"/>
      <c r="CJ3" s="1209"/>
      <c r="CK3" s="1209"/>
      <c r="CL3" s="1215"/>
      <c r="CM3" s="1215"/>
      <c r="CN3" s="1215"/>
      <c r="CO3" s="1215"/>
      <c r="CP3" s="1215"/>
      <c r="CQ3" s="1215"/>
      <c r="CR3" s="1215"/>
      <c r="CS3" s="1215"/>
      <c r="CT3" s="1215"/>
      <c r="CU3" s="1215"/>
      <c r="CV3" s="1215"/>
      <c r="CW3" s="1209"/>
      <c r="CX3" s="1209"/>
      <c r="CY3" s="1209"/>
      <c r="CZ3" s="1209"/>
      <c r="DA3" s="1209"/>
      <c r="DB3" s="1209"/>
      <c r="DC3" s="1209"/>
      <c r="DD3" s="1209"/>
      <c r="DE3" s="1209"/>
      <c r="DF3" s="1209"/>
      <c r="DG3" s="1209"/>
      <c r="DH3" s="1209"/>
      <c r="DI3" s="1206"/>
      <c r="DJ3" s="1206"/>
      <c r="DK3" s="1206"/>
      <c r="DL3" s="1206"/>
      <c r="DM3" s="1206"/>
      <c r="DN3" s="1206"/>
      <c r="DO3" s="1206"/>
      <c r="DP3" s="1206"/>
      <c r="DQ3" s="1206"/>
      <c r="DR3" s="1206"/>
      <c r="DS3" s="1206"/>
      <c r="DT3" s="1209"/>
      <c r="DU3" s="1209"/>
      <c r="DV3" s="1209"/>
      <c r="DW3" s="1209"/>
      <c r="DX3" s="1209"/>
      <c r="DY3" s="1209"/>
      <c r="DZ3" s="1209"/>
      <c r="EA3" s="1209"/>
      <c r="EB3" s="1209"/>
      <c r="EC3" s="1209"/>
      <c r="ED3" s="1209"/>
      <c r="EE3" s="1215"/>
      <c r="EF3" s="1215"/>
      <c r="EG3" s="1215"/>
      <c r="EH3" s="1215"/>
      <c r="EI3" s="1215"/>
      <c r="EJ3" s="1215"/>
      <c r="EK3" s="1215"/>
      <c r="EL3" s="1215"/>
      <c r="EM3" s="1215"/>
      <c r="EN3" s="1215"/>
      <c r="EO3" s="1215"/>
      <c r="EP3" s="1209"/>
      <c r="EQ3" s="1209"/>
      <c r="ER3" s="1209"/>
      <c r="ES3" s="1209"/>
      <c r="ET3" s="1209"/>
      <c r="EU3" s="1209"/>
      <c r="EV3" s="1209"/>
      <c r="EW3" s="1209"/>
      <c r="EX3" s="1209"/>
      <c r="EY3" s="1209"/>
      <c r="EZ3" s="1209"/>
    </row>
    <row r="4" spans="1:156" s="8" customFormat="1" ht="24.75" customHeight="1">
      <c r="A4" s="7"/>
      <c r="C4" s="9" t="s">
        <v>13</v>
      </c>
      <c r="D4" s="10" t="s">
        <v>14</v>
      </c>
      <c r="E4" s="10" t="s">
        <v>15</v>
      </c>
      <c r="F4" s="10" t="s">
        <v>17</v>
      </c>
      <c r="G4" s="10" t="s">
        <v>16</v>
      </c>
      <c r="H4" s="10" t="s">
        <v>676</v>
      </c>
      <c r="I4" s="10" t="s">
        <v>18</v>
      </c>
      <c r="J4" s="10" t="s">
        <v>19</v>
      </c>
      <c r="K4" s="932" t="s">
        <v>20</v>
      </c>
      <c r="L4" s="932" t="s">
        <v>21</v>
      </c>
      <c r="M4" s="10" t="s">
        <v>22</v>
      </c>
      <c r="N4" s="10" t="s">
        <v>23</v>
      </c>
      <c r="O4" s="10" t="s">
        <v>24</v>
      </c>
      <c r="P4" s="10" t="s">
        <v>25</v>
      </c>
      <c r="Q4" s="344" t="s">
        <v>770</v>
      </c>
      <c r="R4" s="344" t="s">
        <v>823</v>
      </c>
      <c r="S4" s="199" t="s">
        <v>27</v>
      </c>
      <c r="T4" s="201" t="s">
        <v>28</v>
      </c>
      <c r="U4" s="199" t="s">
        <v>29</v>
      </c>
      <c r="V4" s="351" t="s">
        <v>771</v>
      </c>
      <c r="W4" s="199" t="s">
        <v>772</v>
      </c>
      <c r="X4" s="42" t="s">
        <v>34</v>
      </c>
      <c r="Y4" s="42" t="s">
        <v>824</v>
      </c>
      <c r="Z4" s="45" t="s">
        <v>36</v>
      </c>
      <c r="AA4" s="45" t="s">
        <v>37</v>
      </c>
      <c r="AB4" s="39" t="s">
        <v>38</v>
      </c>
      <c r="AC4" s="39" t="s">
        <v>39</v>
      </c>
      <c r="AD4" s="39" t="s">
        <v>40</v>
      </c>
      <c r="AE4" s="39" t="s">
        <v>41</v>
      </c>
      <c r="AF4" s="39" t="s">
        <v>42</v>
      </c>
      <c r="AG4" s="39" t="s">
        <v>43</v>
      </c>
      <c r="AH4" s="39" t="s">
        <v>44</v>
      </c>
      <c r="AI4" s="366" t="s">
        <v>45</v>
      </c>
      <c r="AJ4" s="366" t="s">
        <v>825</v>
      </c>
      <c r="AK4" s="369" t="s">
        <v>47</v>
      </c>
      <c r="AL4" s="370" t="s">
        <v>826</v>
      </c>
      <c r="AM4" s="46" t="s">
        <v>49</v>
      </c>
      <c r="AN4" s="462" t="s">
        <v>50</v>
      </c>
      <c r="AO4" s="25" t="s">
        <v>51</v>
      </c>
      <c r="AP4" s="25" t="s">
        <v>686</v>
      </c>
      <c r="AQ4" s="25" t="s">
        <v>687</v>
      </c>
      <c r="AR4" s="26" t="s">
        <v>54</v>
      </c>
      <c r="AS4" s="26" t="s">
        <v>55</v>
      </c>
      <c r="AT4" s="936" t="s">
        <v>56</v>
      </c>
      <c r="AU4" s="936" t="s">
        <v>827</v>
      </c>
      <c r="AV4" s="936" t="s">
        <v>58</v>
      </c>
      <c r="AW4" s="936" t="s">
        <v>59</v>
      </c>
      <c r="AX4" s="29" t="s">
        <v>60</v>
      </c>
      <c r="AY4" s="29" t="s">
        <v>61</v>
      </c>
      <c r="AZ4" s="29" t="s">
        <v>62</v>
      </c>
      <c r="BA4" s="29" t="s">
        <v>689</v>
      </c>
      <c r="BB4" s="29" t="s">
        <v>690</v>
      </c>
      <c r="BC4" s="29" t="s">
        <v>65</v>
      </c>
      <c r="BD4" s="29" t="s">
        <v>66</v>
      </c>
      <c r="BE4" s="1203" t="s">
        <v>67</v>
      </c>
      <c r="BF4" s="1203" t="s">
        <v>828</v>
      </c>
      <c r="BG4" s="1203" t="s">
        <v>69</v>
      </c>
      <c r="BH4" s="1203" t="s">
        <v>70</v>
      </c>
      <c r="BI4" s="32" t="s">
        <v>71</v>
      </c>
      <c r="BJ4" s="1192" t="s">
        <v>72</v>
      </c>
      <c r="BK4" s="32" t="s">
        <v>73</v>
      </c>
      <c r="BL4" s="32" t="s">
        <v>691</v>
      </c>
      <c r="BM4" s="32" t="s">
        <v>692</v>
      </c>
      <c r="BN4" s="32" t="s">
        <v>76</v>
      </c>
      <c r="BO4" s="32" t="s">
        <v>77</v>
      </c>
      <c r="BP4" s="38" t="s">
        <v>693</v>
      </c>
      <c r="BQ4" s="38" t="s">
        <v>829</v>
      </c>
      <c r="BR4" s="27" t="s">
        <v>695</v>
      </c>
      <c r="BS4" s="28" t="s">
        <v>696</v>
      </c>
      <c r="BT4" s="29" t="s">
        <v>697</v>
      </c>
      <c r="BU4" s="1099" t="s">
        <v>698</v>
      </c>
      <c r="BV4" s="29" t="s">
        <v>699</v>
      </c>
      <c r="BW4" s="29" t="s">
        <v>700</v>
      </c>
      <c r="BX4" s="29" t="s">
        <v>701</v>
      </c>
      <c r="BY4" s="29" t="s">
        <v>702</v>
      </c>
      <c r="BZ4" s="29" t="s">
        <v>703</v>
      </c>
      <c r="CA4" s="32" t="s">
        <v>704</v>
      </c>
      <c r="CB4" s="32" t="s">
        <v>830</v>
      </c>
      <c r="CC4" s="30" t="s">
        <v>706</v>
      </c>
      <c r="CD4" s="31" t="s">
        <v>707</v>
      </c>
      <c r="CE4" s="32" t="s">
        <v>708</v>
      </c>
      <c r="CF4" s="1192" t="s">
        <v>709</v>
      </c>
      <c r="CG4" s="32" t="s">
        <v>710</v>
      </c>
      <c r="CH4" s="32" t="s">
        <v>711</v>
      </c>
      <c r="CI4" s="32" t="s">
        <v>712</v>
      </c>
      <c r="CJ4" s="32" t="s">
        <v>713</v>
      </c>
      <c r="CK4" s="32" t="s">
        <v>714</v>
      </c>
      <c r="CL4" s="38" t="s">
        <v>715</v>
      </c>
      <c r="CM4" s="38" t="s">
        <v>831</v>
      </c>
      <c r="CN4" s="27" t="s">
        <v>717</v>
      </c>
      <c r="CO4" s="28" t="s">
        <v>718</v>
      </c>
      <c r="CP4" s="33" t="s">
        <v>719</v>
      </c>
      <c r="CQ4" s="1099" t="s">
        <v>720</v>
      </c>
      <c r="CR4" s="29" t="s">
        <v>721</v>
      </c>
      <c r="CS4" s="29" t="s">
        <v>722</v>
      </c>
      <c r="CT4" s="29" t="s">
        <v>723</v>
      </c>
      <c r="CU4" s="29" t="s">
        <v>724</v>
      </c>
      <c r="CV4" s="29" t="s">
        <v>725</v>
      </c>
      <c r="CW4" s="32" t="s">
        <v>726</v>
      </c>
      <c r="CX4" s="32" t="s">
        <v>832</v>
      </c>
      <c r="CY4" s="30" t="s">
        <v>728</v>
      </c>
      <c r="CZ4" s="31" t="s">
        <v>729</v>
      </c>
      <c r="DA4" s="32" t="s">
        <v>730</v>
      </c>
      <c r="DB4" s="1192" t="s">
        <v>731</v>
      </c>
      <c r="DC4" s="32" t="s">
        <v>732</v>
      </c>
      <c r="DD4" s="32" t="s">
        <v>733</v>
      </c>
      <c r="DE4" s="32" t="s">
        <v>734</v>
      </c>
      <c r="DF4" s="32" t="s">
        <v>735</v>
      </c>
      <c r="DG4" s="32" t="s">
        <v>736</v>
      </c>
      <c r="DH4" s="32" t="s">
        <v>833</v>
      </c>
      <c r="DI4" s="27" t="s">
        <v>737</v>
      </c>
      <c r="DJ4" s="27" t="s">
        <v>834</v>
      </c>
      <c r="DK4" s="27" t="s">
        <v>739</v>
      </c>
      <c r="DL4" s="28" t="s">
        <v>740</v>
      </c>
      <c r="DM4" s="33" t="s">
        <v>741</v>
      </c>
      <c r="DN4" s="1099" t="s">
        <v>742</v>
      </c>
      <c r="DO4" s="29" t="s">
        <v>743</v>
      </c>
      <c r="DP4" s="29" t="s">
        <v>744</v>
      </c>
      <c r="DQ4" s="29" t="s">
        <v>745</v>
      </c>
      <c r="DR4" s="29" t="s">
        <v>746</v>
      </c>
      <c r="DS4" s="29" t="s">
        <v>747</v>
      </c>
      <c r="DT4" s="32" t="s">
        <v>748</v>
      </c>
      <c r="DU4" s="32" t="s">
        <v>835</v>
      </c>
      <c r="DV4" s="30" t="s">
        <v>750</v>
      </c>
      <c r="DW4" s="31" t="s">
        <v>751</v>
      </c>
      <c r="DX4" s="35" t="s">
        <v>752</v>
      </c>
      <c r="DY4" s="1192" t="s">
        <v>753</v>
      </c>
      <c r="DZ4" s="32" t="s">
        <v>754</v>
      </c>
      <c r="EA4" s="32" t="s">
        <v>755</v>
      </c>
      <c r="EB4" s="32" t="s">
        <v>756</v>
      </c>
      <c r="EC4" s="32" t="s">
        <v>757</v>
      </c>
      <c r="ED4" s="32" t="s">
        <v>758</v>
      </c>
      <c r="EE4" s="29" t="s">
        <v>759</v>
      </c>
      <c r="EF4" s="29" t="s">
        <v>836</v>
      </c>
      <c r="EG4" s="27" t="s">
        <v>761</v>
      </c>
      <c r="EH4" s="28" t="s">
        <v>762</v>
      </c>
      <c r="EI4" s="29" t="s">
        <v>763</v>
      </c>
      <c r="EJ4" s="1099" t="s">
        <v>764</v>
      </c>
      <c r="EK4" s="29" t="s">
        <v>765</v>
      </c>
      <c r="EL4" s="29" t="s">
        <v>766</v>
      </c>
      <c r="EM4" s="29" t="s">
        <v>767</v>
      </c>
      <c r="EN4" s="29" t="s">
        <v>768</v>
      </c>
      <c r="EO4" s="29" t="s">
        <v>769</v>
      </c>
      <c r="EP4" s="32" t="s">
        <v>837</v>
      </c>
      <c r="EQ4" s="32" t="s">
        <v>838</v>
      </c>
      <c r="ER4" s="23" t="s">
        <v>839</v>
      </c>
      <c r="ES4" s="24" t="s">
        <v>840</v>
      </c>
      <c r="ET4" s="25" t="s">
        <v>841</v>
      </c>
      <c r="EU4" s="462" t="s">
        <v>842</v>
      </c>
      <c r="EV4" s="25" t="s">
        <v>843</v>
      </c>
      <c r="EW4" s="25" t="s">
        <v>844</v>
      </c>
      <c r="EX4" s="25" t="s">
        <v>845</v>
      </c>
      <c r="EY4" s="25" t="s">
        <v>775</v>
      </c>
      <c r="EZ4" s="34" t="s">
        <v>776</v>
      </c>
    </row>
    <row r="5" spans="1:156" ht="15" customHeight="1">
      <c r="C5" s="194" t="s">
        <v>846</v>
      </c>
      <c r="D5" s="5">
        <v>1450022</v>
      </c>
      <c r="E5" s="5">
        <v>262</v>
      </c>
      <c r="F5" s="5" t="s">
        <v>847</v>
      </c>
      <c r="G5" s="5" t="s">
        <v>848</v>
      </c>
      <c r="H5" s="5" t="s">
        <v>849</v>
      </c>
      <c r="I5" s="5" t="s">
        <v>850</v>
      </c>
      <c r="J5" s="5" t="s">
        <v>851</v>
      </c>
      <c r="K5" s="174" t="s">
        <v>847</v>
      </c>
      <c r="L5" s="174"/>
      <c r="M5" s="5"/>
      <c r="N5" s="5"/>
      <c r="O5" s="192">
        <v>17</v>
      </c>
      <c r="P5" s="4"/>
      <c r="Q5" s="345">
        <v>5730.73</v>
      </c>
      <c r="R5" s="345"/>
      <c r="S5" s="36"/>
      <c r="T5" s="202">
        <v>5730.73</v>
      </c>
      <c r="U5" s="375">
        <v>20</v>
      </c>
      <c r="V5" s="222">
        <v>46027</v>
      </c>
      <c r="W5" s="379" t="s">
        <v>852</v>
      </c>
      <c r="X5" s="144">
        <f t="shared" ref="X5:X68" si="0">SUM(AA5, ABS(Y5))</f>
        <v>4232.9399999999996</v>
      </c>
      <c r="Y5" s="144"/>
      <c r="Z5" s="144"/>
      <c r="AA5" s="144">
        <v>4232.9399999999996</v>
      </c>
      <c r="AB5" s="145">
        <v>16</v>
      </c>
      <c r="AC5" s="146">
        <v>46058</v>
      </c>
      <c r="AD5" s="17" t="s">
        <v>853</v>
      </c>
      <c r="AE5" s="153" t="b">
        <v>1</v>
      </c>
      <c r="AF5" s="153" t="b">
        <v>1</v>
      </c>
      <c r="AG5" s="388">
        <f t="shared" ref="AG5:AG36" si="1">(AB5-U5)/U5</f>
        <v>-0.2</v>
      </c>
      <c r="AH5" s="388">
        <f>(X5-Q5)/Q5</f>
        <v>-0.26136111804255308</v>
      </c>
      <c r="AI5" s="371">
        <f>SUM(AL5, ABS(AJ5))</f>
        <v>5612.39</v>
      </c>
      <c r="AJ5" s="371"/>
      <c r="AK5" s="371"/>
      <c r="AL5" s="371">
        <v>5612.39</v>
      </c>
      <c r="AM5" s="17">
        <v>16</v>
      </c>
      <c r="AN5" s="374">
        <v>46086</v>
      </c>
      <c r="AO5" s="17" t="s">
        <v>854</v>
      </c>
      <c r="AP5" s="153" t="b">
        <v>1</v>
      </c>
      <c r="AQ5" s="153" t="b">
        <v>1</v>
      </c>
      <c r="AR5" s="436">
        <f t="shared" ref="AR5:AR36" si="2">(AM5-AB5)/AB5</f>
        <v>0</v>
      </c>
      <c r="AS5" s="436">
        <f t="shared" ref="AS5:AS36" si="3">(AI5-X5)/X5</f>
        <v>0.32588460975114242</v>
      </c>
      <c r="AT5" s="151">
        <v>5759.94</v>
      </c>
      <c r="AU5" s="202">
        <v>0</v>
      </c>
      <c r="AV5" s="202">
        <v>84.66</v>
      </c>
      <c r="AW5" s="202">
        <v>5675.28</v>
      </c>
      <c r="AX5" s="17">
        <v>24</v>
      </c>
      <c r="AY5" s="374">
        <v>46117</v>
      </c>
      <c r="AZ5" s="17" t="s">
        <v>855</v>
      </c>
      <c r="BA5" s="153" t="b">
        <v>1</v>
      </c>
      <c r="BB5" s="153" t="b">
        <v>0</v>
      </c>
      <c r="BC5" s="436">
        <f t="shared" ref="BC5:BC36" si="4">(AX5-AM5)/AM5</f>
        <v>0.5</v>
      </c>
      <c r="BD5" s="436">
        <f t="shared" ref="BD5:BD36" si="5">(AW5-AL5)/AL5</f>
        <v>1.1205564830669182E-2</v>
      </c>
      <c r="BE5" s="371">
        <f t="shared" ref="BE5:BE36" si="6">SUM(BH5, ABS(BF5))</f>
        <v>0</v>
      </c>
      <c r="BF5" s="371"/>
      <c r="BG5" s="371"/>
      <c r="BH5" s="371"/>
      <c r="BI5" s="17"/>
      <c r="BJ5" s="1195">
        <v>46147</v>
      </c>
      <c r="BK5" s="17"/>
      <c r="BL5" s="153" t="b">
        <v>0</v>
      </c>
      <c r="BM5" s="153" t="b">
        <v>0</v>
      </c>
      <c r="BN5" s="152">
        <f t="shared" ref="BN5:BN36" si="7">(BI5-AX5)/AX5</f>
        <v>-1</v>
      </c>
      <c r="BO5" s="152">
        <f t="shared" ref="BO5:BO36" si="8">(BH5-AW5)/AW5</f>
        <v>-1</v>
      </c>
      <c r="BP5" s="345">
        <f t="shared" ref="BP5:BP36" si="9">SUM(BS5, ABS(BQ5))</f>
        <v>0</v>
      </c>
      <c r="BQ5" s="36"/>
      <c r="BR5" s="36"/>
      <c r="BS5" s="36"/>
      <c r="BT5" s="36"/>
      <c r="BU5" s="1195">
        <v>46178</v>
      </c>
      <c r="BV5" s="36"/>
      <c r="BW5" s="153" t="b">
        <v>0</v>
      </c>
      <c r="BX5" s="153" t="b">
        <v>0</v>
      </c>
      <c r="BY5" s="436" t="e">
        <f t="shared" ref="BY5:BY36" si="10">(BT5-BI5)/BI5</f>
        <v>#DIV/0!</v>
      </c>
      <c r="BZ5" s="436" t="e">
        <f t="shared" ref="BZ5:BZ36" si="11">(BS5-BH5)/BH5</f>
        <v>#DIV/0!</v>
      </c>
      <c r="CA5" s="345">
        <f t="shared" ref="CA5:CA36" si="12">SUM(CD5, ABS(CB5))</f>
        <v>0</v>
      </c>
      <c r="CB5" s="36"/>
      <c r="CC5" s="36"/>
      <c r="CD5" s="36"/>
      <c r="CE5" s="36"/>
      <c r="CF5" s="222"/>
      <c r="CG5" s="36"/>
      <c r="CH5" s="153" t="b">
        <v>0</v>
      </c>
      <c r="CI5" s="153" t="b">
        <v>0</v>
      </c>
      <c r="CJ5" s="436" t="e">
        <f t="shared" ref="CJ5:CJ36" si="13">(CE5-BT5)/BT5</f>
        <v>#DIV/0!</v>
      </c>
      <c r="CK5" s="436" t="e">
        <f t="shared" ref="CK5:CK36" si="14">(CD5-BS5)/BS5</f>
        <v>#DIV/0!</v>
      </c>
      <c r="CL5" s="345">
        <f t="shared" ref="CL5:CL36" si="15">SUM(CO5, ABS(CM5))</f>
        <v>0</v>
      </c>
      <c r="CM5" s="36"/>
      <c r="CN5" s="36"/>
      <c r="CO5" s="36"/>
      <c r="CP5" s="36"/>
      <c r="CQ5" s="222"/>
      <c r="CR5" s="36"/>
      <c r="CS5" s="153" t="b">
        <v>0</v>
      </c>
      <c r="CT5" s="153" t="b">
        <v>0</v>
      </c>
      <c r="CU5" s="36" t="e">
        <f t="shared" ref="CU5:CU36" si="16">(CP5-CE5)/CE5</f>
        <v>#DIV/0!</v>
      </c>
      <c r="CV5" s="36" t="e">
        <f t="shared" ref="CV5:CV36" si="17">(CO5-CD5)/CD5</f>
        <v>#DIV/0!</v>
      </c>
      <c r="CW5" s="345">
        <f t="shared" ref="CW5:CW36" si="18">SUM(CZ5, ABS(CX5))</f>
        <v>0</v>
      </c>
      <c r="CX5" s="36"/>
      <c r="CY5" s="36"/>
      <c r="CZ5" s="36"/>
      <c r="DA5" s="36"/>
      <c r="DB5" s="222"/>
      <c r="DC5" s="36"/>
      <c r="DD5" s="153" t="b">
        <v>0</v>
      </c>
      <c r="DE5" s="153" t="b">
        <v>0</v>
      </c>
      <c r="DF5" s="436" t="e">
        <f t="shared" ref="DF5:DF36" si="19">(DA5-CP5)/CP5</f>
        <v>#DIV/0!</v>
      </c>
      <c r="DG5" s="436" t="e">
        <f t="shared" ref="DG5:DG36" si="20">(CZ5-CO5)/CO5</f>
        <v>#DIV/0!</v>
      </c>
      <c r="DH5" s="345">
        <f t="shared" ref="DH5:DH36" si="21">SUM(DK5, ABS(DI5))</f>
        <v>0</v>
      </c>
      <c r="DI5" s="36"/>
      <c r="DJ5" s="36"/>
      <c r="DK5" s="36"/>
      <c r="DL5" s="36"/>
      <c r="DM5" s="36"/>
      <c r="DN5" s="222"/>
      <c r="DO5" s="36"/>
      <c r="DP5" s="153" t="b">
        <v>0</v>
      </c>
      <c r="DQ5" s="153" t="b">
        <v>0</v>
      </c>
      <c r="DR5" s="436" t="e">
        <f t="shared" ref="DR5:DR36" si="22">(DM5-DA5)/DA5</f>
        <v>#DIV/0!</v>
      </c>
      <c r="DS5" s="881">
        <f t="shared" ref="DS5:DS36" si="23">SUM(DV5, ABS(DT5))</f>
        <v>0</v>
      </c>
      <c r="DT5" s="36"/>
      <c r="DU5" s="36"/>
      <c r="DV5" s="36"/>
      <c r="DW5" s="36"/>
      <c r="DX5" s="36"/>
      <c r="DY5" s="222"/>
      <c r="DZ5" s="36"/>
      <c r="EA5" s="153" t="b">
        <v>0</v>
      </c>
      <c r="EB5" s="153" t="b">
        <v>0</v>
      </c>
      <c r="EC5" s="436" t="e">
        <f t="shared" ref="EC5:EC36" si="24">(DX5-DM5)/DM5</f>
        <v>#DIV/0!</v>
      </c>
      <c r="ED5" s="881">
        <f t="shared" ref="ED5:ED36" si="25">SUM(EG5, ABS(EE5))</f>
        <v>0</v>
      </c>
      <c r="EE5" s="36"/>
      <c r="EF5" s="36"/>
      <c r="EG5" s="36"/>
      <c r="EH5" s="36"/>
      <c r="EI5" s="36"/>
      <c r="EJ5" s="222"/>
      <c r="EK5" s="36"/>
      <c r="EL5" s="153" t="b">
        <v>0</v>
      </c>
      <c r="EM5" s="153" t="b">
        <v>0</v>
      </c>
      <c r="EN5" s="436" t="e">
        <f t="shared" ref="EN5:EN36" si="26">(EI5-DX5)/DX5</f>
        <v>#DIV/0!</v>
      </c>
      <c r="EO5" s="881">
        <f t="shared" ref="EO5:EO36" si="27">SUM(ER5, ABS(EP5))</f>
        <v>0</v>
      </c>
      <c r="EP5" s="36"/>
      <c r="EQ5" s="36"/>
      <c r="ER5" s="36"/>
      <c r="ES5" s="36"/>
      <c r="ET5" s="36"/>
      <c r="EU5" s="222"/>
      <c r="EV5" s="36"/>
      <c r="EW5" s="153" t="b">
        <v>0</v>
      </c>
      <c r="EX5" s="153" t="b">
        <v>0</v>
      </c>
      <c r="EY5" s="436" t="e">
        <f t="shared" ref="EY5:EY36" si="28">(ET5-EI5)/EI5</f>
        <v>#DIV/0!</v>
      </c>
      <c r="EZ5" s="436" t="e">
        <f t="shared" ref="EZ5:EZ36" si="29">(ES5-EH5)/EH5</f>
        <v>#DIV/0!</v>
      </c>
    </row>
    <row r="6" spans="1:156" ht="15" customHeight="1">
      <c r="C6" s="194" t="s">
        <v>856</v>
      </c>
      <c r="D6" s="5">
        <v>1450022</v>
      </c>
      <c r="E6" s="5">
        <v>40</v>
      </c>
      <c r="F6" s="5" t="s">
        <v>857</v>
      </c>
      <c r="G6" s="5" t="s">
        <v>858</v>
      </c>
      <c r="H6" s="5" t="s">
        <v>859</v>
      </c>
      <c r="I6" s="5" t="s">
        <v>860</v>
      </c>
      <c r="J6" s="5" t="s">
        <v>861</v>
      </c>
      <c r="K6" s="174" t="s">
        <v>857</v>
      </c>
      <c r="L6" s="174" t="s">
        <v>858</v>
      </c>
      <c r="M6" s="5"/>
      <c r="N6" s="5"/>
      <c r="O6" s="192">
        <v>15</v>
      </c>
      <c r="P6" s="4"/>
      <c r="Q6" s="346">
        <v>328368.73</v>
      </c>
      <c r="R6" s="346"/>
      <c r="S6" s="4"/>
      <c r="T6" s="150">
        <v>328368.78000000003</v>
      </c>
      <c r="U6" s="376">
        <v>11051</v>
      </c>
      <c r="V6" s="217">
        <v>46027</v>
      </c>
      <c r="W6" s="380" t="s">
        <v>862</v>
      </c>
      <c r="X6" s="144">
        <f t="shared" si="0"/>
        <v>350163.62</v>
      </c>
      <c r="Y6" s="43"/>
      <c r="Z6" s="43"/>
      <c r="AA6" s="43">
        <v>350163.62</v>
      </c>
      <c r="AB6" s="6">
        <v>11095</v>
      </c>
      <c r="AC6" s="41">
        <v>46058</v>
      </c>
      <c r="AD6" s="6" t="s">
        <v>863</v>
      </c>
      <c r="AE6" s="153" t="b">
        <v>1</v>
      </c>
      <c r="AF6" s="153" t="b">
        <v>1</v>
      </c>
      <c r="AG6" s="388">
        <f t="shared" si="1"/>
        <v>3.9815401321147406E-3</v>
      </c>
      <c r="AH6" s="390">
        <f>(X6-Q6)/Q6</f>
        <v>6.637322012969997E-2</v>
      </c>
      <c r="AI6" s="371">
        <f t="shared" ref="AI6:AI67" si="30">SUM(AL6, ABS(AJ6))</f>
        <v>350005.67</v>
      </c>
      <c r="AJ6" s="368"/>
      <c r="AK6" s="151">
        <v>0</v>
      </c>
      <c r="AL6" s="151">
        <v>350005.67</v>
      </c>
      <c r="AM6" s="6">
        <v>11090</v>
      </c>
      <c r="AN6" s="41">
        <v>46086</v>
      </c>
      <c r="AO6" s="6" t="s">
        <v>864</v>
      </c>
      <c r="AP6" s="153" t="b">
        <v>1</v>
      </c>
      <c r="AQ6" s="153" t="b">
        <v>1</v>
      </c>
      <c r="AR6" s="390">
        <f t="shared" si="2"/>
        <v>-4.5065344749887338E-4</v>
      </c>
      <c r="AS6" s="390">
        <f t="shared" si="3"/>
        <v>-4.51074843240459E-4</v>
      </c>
      <c r="AT6" s="151">
        <v>367235.42</v>
      </c>
      <c r="AU6" s="151">
        <v>0</v>
      </c>
      <c r="AV6" s="151">
        <v>0</v>
      </c>
      <c r="AW6" s="151">
        <v>367235.42</v>
      </c>
      <c r="AX6" s="6">
        <v>11638</v>
      </c>
      <c r="AY6" s="41">
        <v>46118</v>
      </c>
      <c r="AZ6" s="6" t="s">
        <v>865</v>
      </c>
      <c r="BA6" s="153" t="b">
        <v>1</v>
      </c>
      <c r="BB6" s="153" t="b">
        <v>1</v>
      </c>
      <c r="BC6" s="390">
        <f t="shared" si="4"/>
        <v>4.941388638412985E-2</v>
      </c>
      <c r="BD6" s="390">
        <f t="shared" si="5"/>
        <v>4.9227059664490577E-2</v>
      </c>
      <c r="BE6" s="151">
        <f t="shared" si="6"/>
        <v>0</v>
      </c>
      <c r="BF6" s="151"/>
      <c r="BG6" s="151"/>
      <c r="BH6" s="151"/>
      <c r="BI6" s="6"/>
      <c r="BJ6" s="41">
        <v>46148</v>
      </c>
      <c r="BK6" s="6"/>
      <c r="BL6" s="153" t="b">
        <v>0</v>
      </c>
      <c r="BM6" s="153" t="b">
        <v>0</v>
      </c>
      <c r="BN6" s="6">
        <f t="shared" si="7"/>
        <v>-1</v>
      </c>
      <c r="BO6" s="6">
        <f t="shared" si="8"/>
        <v>-1</v>
      </c>
      <c r="BP6" s="43">
        <f t="shared" si="9"/>
        <v>0</v>
      </c>
      <c r="BQ6" s="6"/>
      <c r="BR6" s="6"/>
      <c r="BS6" s="6"/>
      <c r="BT6" s="6"/>
      <c r="BU6" s="41">
        <v>46179</v>
      </c>
      <c r="BV6" s="6"/>
      <c r="BW6" s="153" t="b">
        <v>0</v>
      </c>
      <c r="BX6" s="153" t="b">
        <v>0</v>
      </c>
      <c r="BY6" s="390" t="e">
        <f t="shared" si="10"/>
        <v>#DIV/0!</v>
      </c>
      <c r="BZ6" s="390" t="e">
        <f t="shared" si="11"/>
        <v>#DIV/0!</v>
      </c>
      <c r="CA6" s="43">
        <f t="shared" si="12"/>
        <v>0</v>
      </c>
      <c r="CB6" s="6"/>
      <c r="CC6" s="6"/>
      <c r="CD6" s="6"/>
      <c r="CE6" s="6"/>
      <c r="CF6" s="41"/>
      <c r="CG6" s="6"/>
      <c r="CH6" s="153" t="b">
        <v>0</v>
      </c>
      <c r="CI6" s="153" t="b">
        <v>0</v>
      </c>
      <c r="CJ6" s="390" t="e">
        <f t="shared" si="13"/>
        <v>#DIV/0!</v>
      </c>
      <c r="CK6" s="390" t="e">
        <f t="shared" si="14"/>
        <v>#DIV/0!</v>
      </c>
      <c r="CL6" s="43">
        <f t="shared" si="15"/>
        <v>0</v>
      </c>
      <c r="CM6" s="6"/>
      <c r="CN6" s="6"/>
      <c r="CO6" s="6"/>
      <c r="CP6" s="6"/>
      <c r="CQ6" s="41"/>
      <c r="CR6" s="6"/>
      <c r="CS6" s="153" t="b">
        <v>0</v>
      </c>
      <c r="CT6" s="153" t="b">
        <v>0</v>
      </c>
      <c r="CU6" s="6" t="e">
        <f t="shared" si="16"/>
        <v>#DIV/0!</v>
      </c>
      <c r="CV6" s="6" t="e">
        <f t="shared" si="17"/>
        <v>#DIV/0!</v>
      </c>
      <c r="CW6" s="43">
        <f t="shared" si="18"/>
        <v>0</v>
      </c>
      <c r="CX6" s="6"/>
      <c r="CY6" s="6"/>
      <c r="CZ6" s="6"/>
      <c r="DA6" s="6"/>
      <c r="DB6" s="41"/>
      <c r="DC6" s="6"/>
      <c r="DD6" s="153" t="b">
        <v>0</v>
      </c>
      <c r="DE6" s="153" t="b">
        <v>0</v>
      </c>
      <c r="DF6" s="390" t="e">
        <f t="shared" si="19"/>
        <v>#DIV/0!</v>
      </c>
      <c r="DG6" s="390" t="e">
        <f t="shared" si="20"/>
        <v>#DIV/0!</v>
      </c>
      <c r="DH6" s="43">
        <f t="shared" si="21"/>
        <v>0</v>
      </c>
      <c r="DI6" s="6"/>
      <c r="DJ6" s="6"/>
      <c r="DK6" s="6"/>
      <c r="DL6" s="6"/>
      <c r="DM6" s="6"/>
      <c r="DN6" s="41"/>
      <c r="DO6" s="6"/>
      <c r="DP6" s="153" t="b">
        <v>0</v>
      </c>
      <c r="DQ6" s="153" t="b">
        <v>0</v>
      </c>
      <c r="DR6" s="390" t="e">
        <f t="shared" si="22"/>
        <v>#DIV/0!</v>
      </c>
      <c r="DS6" s="43">
        <f t="shared" si="23"/>
        <v>0</v>
      </c>
      <c r="DT6" s="6"/>
      <c r="DU6" s="6"/>
      <c r="DV6" s="6"/>
      <c r="DW6" s="6"/>
      <c r="DX6" s="6"/>
      <c r="DY6" s="41"/>
      <c r="DZ6" s="6"/>
      <c r="EA6" s="153" t="b">
        <v>0</v>
      </c>
      <c r="EB6" s="153" t="b">
        <v>0</v>
      </c>
      <c r="EC6" s="390" t="e">
        <f t="shared" si="24"/>
        <v>#DIV/0!</v>
      </c>
      <c r="ED6" s="43">
        <f t="shared" si="25"/>
        <v>0</v>
      </c>
      <c r="EE6" s="6"/>
      <c r="EF6" s="6"/>
      <c r="EG6" s="6"/>
      <c r="EH6" s="6"/>
      <c r="EI6" s="6"/>
      <c r="EJ6" s="41"/>
      <c r="EK6" s="6"/>
      <c r="EL6" s="153" t="b">
        <v>0</v>
      </c>
      <c r="EM6" s="153" t="b">
        <v>0</v>
      </c>
      <c r="EN6" s="390" t="e">
        <f t="shared" si="26"/>
        <v>#DIV/0!</v>
      </c>
      <c r="EO6" s="43">
        <f t="shared" si="27"/>
        <v>0</v>
      </c>
      <c r="EP6" s="6"/>
      <c r="EQ6" s="6"/>
      <c r="ER6" s="6"/>
      <c r="ES6" s="6"/>
      <c r="ET6" s="6"/>
      <c r="EU6" s="41"/>
      <c r="EV6" s="6"/>
      <c r="EW6" s="153" t="b">
        <v>0</v>
      </c>
      <c r="EX6" s="153" t="b">
        <v>0</v>
      </c>
      <c r="EY6" s="390" t="e">
        <f t="shared" si="28"/>
        <v>#DIV/0!</v>
      </c>
      <c r="EZ6" s="390" t="e">
        <f t="shared" si="29"/>
        <v>#DIV/0!</v>
      </c>
    </row>
    <row r="7" spans="1:156" ht="15" customHeight="1">
      <c r="C7" s="198" t="s">
        <v>866</v>
      </c>
      <c r="D7" s="178">
        <v>1450022</v>
      </c>
      <c r="E7" s="178">
        <v>28</v>
      </c>
      <c r="F7" s="178" t="s">
        <v>867</v>
      </c>
      <c r="G7" s="178" t="s">
        <v>868</v>
      </c>
      <c r="H7" s="178" t="s">
        <v>869</v>
      </c>
      <c r="I7" s="178" t="s">
        <v>870</v>
      </c>
      <c r="J7" s="178" t="s">
        <v>871</v>
      </c>
      <c r="K7" s="933" t="s">
        <v>867</v>
      </c>
      <c r="L7" s="933"/>
      <c r="M7" s="178"/>
      <c r="N7" s="178"/>
      <c r="O7" s="192">
        <v>67</v>
      </c>
      <c r="P7" s="179"/>
      <c r="Q7" s="347">
        <v>69581.75</v>
      </c>
      <c r="R7" s="347"/>
      <c r="S7" s="179"/>
      <c r="T7" s="204">
        <v>69581.75</v>
      </c>
      <c r="U7" s="377">
        <v>1373</v>
      </c>
      <c r="V7" s="185">
        <v>46050</v>
      </c>
      <c r="W7" s="381" t="s">
        <v>872</v>
      </c>
      <c r="X7" s="144">
        <f t="shared" si="0"/>
        <v>21179.5</v>
      </c>
      <c r="Y7" s="180"/>
      <c r="Z7" s="200"/>
      <c r="AA7" s="180">
        <v>21179.5</v>
      </c>
      <c r="AB7" s="181">
        <v>447</v>
      </c>
      <c r="AC7" s="182">
        <v>46081</v>
      </c>
      <c r="AD7" s="181" t="s">
        <v>873</v>
      </c>
      <c r="AE7" s="183" t="b">
        <v>1</v>
      </c>
      <c r="AF7" s="183" t="b">
        <v>1</v>
      </c>
      <c r="AG7" s="388">
        <f t="shared" si="1"/>
        <v>-0.67443554260742899</v>
      </c>
      <c r="AH7" s="391">
        <f>(X7-Q7)/Q7</f>
        <v>-0.69561702601616082</v>
      </c>
      <c r="AI7" s="371">
        <v>40.08</v>
      </c>
      <c r="AJ7" s="454">
        <v>0</v>
      </c>
      <c r="AK7" s="367"/>
      <c r="AL7" s="367">
        <v>40.08</v>
      </c>
      <c r="AM7" s="181">
        <v>0</v>
      </c>
      <c r="AN7" s="182">
        <v>46109</v>
      </c>
      <c r="AO7" s="181" t="s">
        <v>874</v>
      </c>
      <c r="AP7" s="183" t="b">
        <v>1</v>
      </c>
      <c r="AQ7" s="183" t="b">
        <v>1</v>
      </c>
      <c r="AR7" s="391">
        <f t="shared" si="2"/>
        <v>-1</v>
      </c>
      <c r="AS7" s="391">
        <f t="shared" si="3"/>
        <v>-0.99810760405108701</v>
      </c>
      <c r="AT7" s="367">
        <v>1723.31</v>
      </c>
      <c r="AU7" s="367">
        <v>0</v>
      </c>
      <c r="AV7" s="367">
        <v>0</v>
      </c>
      <c r="AW7" s="367">
        <v>1723.31</v>
      </c>
      <c r="AX7" s="181">
        <v>49</v>
      </c>
      <c r="AY7" s="182">
        <v>46140</v>
      </c>
      <c r="AZ7" s="181" t="s">
        <v>875</v>
      </c>
      <c r="BA7" s="183" t="b">
        <v>1</v>
      </c>
      <c r="BB7" s="183" t="b">
        <v>0</v>
      </c>
      <c r="BC7" s="391" t="e">
        <f t="shared" si="4"/>
        <v>#DIV/0!</v>
      </c>
      <c r="BD7" s="391">
        <f t="shared" si="5"/>
        <v>41.996756487025948</v>
      </c>
      <c r="BE7" s="367">
        <f t="shared" si="6"/>
        <v>0</v>
      </c>
      <c r="BF7" s="367"/>
      <c r="BG7" s="367"/>
      <c r="BH7" s="367"/>
      <c r="BI7" s="181"/>
      <c r="BJ7" s="182">
        <v>46170</v>
      </c>
      <c r="BK7" s="181"/>
      <c r="BL7" s="183" t="b">
        <v>0</v>
      </c>
      <c r="BM7" s="183" t="b">
        <v>0</v>
      </c>
      <c r="BN7" s="181">
        <f t="shared" si="7"/>
        <v>-1</v>
      </c>
      <c r="BO7" s="181">
        <f t="shared" si="8"/>
        <v>-1</v>
      </c>
      <c r="BP7" s="180">
        <f t="shared" si="9"/>
        <v>0</v>
      </c>
      <c r="BQ7" s="181"/>
      <c r="BR7" s="181"/>
      <c r="BS7" s="181"/>
      <c r="BT7" s="181"/>
      <c r="BU7" s="182">
        <v>46201</v>
      </c>
      <c r="BV7" s="181"/>
      <c r="BW7" s="183" t="b">
        <v>0</v>
      </c>
      <c r="BX7" s="183" t="b">
        <v>0</v>
      </c>
      <c r="BY7" s="391" t="e">
        <f t="shared" si="10"/>
        <v>#DIV/0!</v>
      </c>
      <c r="BZ7" s="391" t="e">
        <f t="shared" si="11"/>
        <v>#DIV/0!</v>
      </c>
      <c r="CA7" s="180">
        <f t="shared" si="12"/>
        <v>0</v>
      </c>
      <c r="CB7" s="181"/>
      <c r="CC7" s="181"/>
      <c r="CD7" s="181"/>
      <c r="CE7" s="181"/>
      <c r="CF7" s="182"/>
      <c r="CG7" s="181"/>
      <c r="CH7" s="183" t="b">
        <v>0</v>
      </c>
      <c r="CI7" s="183" t="b">
        <v>0</v>
      </c>
      <c r="CJ7" s="391" t="e">
        <f t="shared" si="13"/>
        <v>#DIV/0!</v>
      </c>
      <c r="CK7" s="391" t="e">
        <f t="shared" si="14"/>
        <v>#DIV/0!</v>
      </c>
      <c r="CL7" s="180">
        <f t="shared" si="15"/>
        <v>0</v>
      </c>
      <c r="CM7" s="181"/>
      <c r="CN7" s="181"/>
      <c r="CO7" s="181"/>
      <c r="CP7" s="181"/>
      <c r="CQ7" s="182"/>
      <c r="CR7" s="181"/>
      <c r="CS7" s="183" t="b">
        <v>0</v>
      </c>
      <c r="CT7" s="183" t="b">
        <v>0</v>
      </c>
      <c r="CU7" s="181" t="e">
        <f t="shared" si="16"/>
        <v>#DIV/0!</v>
      </c>
      <c r="CV7" s="181" t="e">
        <f t="shared" si="17"/>
        <v>#DIV/0!</v>
      </c>
      <c r="CW7" s="180">
        <f t="shared" si="18"/>
        <v>0</v>
      </c>
      <c r="CX7" s="181"/>
      <c r="CY7" s="181"/>
      <c r="CZ7" s="181"/>
      <c r="DA7" s="181"/>
      <c r="DB7" s="182"/>
      <c r="DC7" s="181"/>
      <c r="DD7" s="183" t="b">
        <v>0</v>
      </c>
      <c r="DE7" s="183" t="b">
        <v>0</v>
      </c>
      <c r="DF7" s="391" t="e">
        <f t="shared" si="19"/>
        <v>#DIV/0!</v>
      </c>
      <c r="DG7" s="391" t="e">
        <f t="shared" si="20"/>
        <v>#DIV/0!</v>
      </c>
      <c r="DH7" s="180">
        <f t="shared" si="21"/>
        <v>0</v>
      </c>
      <c r="DI7" s="181"/>
      <c r="DJ7" s="181"/>
      <c r="DK7" s="181"/>
      <c r="DL7" s="181"/>
      <c r="DM7" s="181"/>
      <c r="DN7" s="182"/>
      <c r="DO7" s="181"/>
      <c r="DP7" s="183" t="b">
        <v>0</v>
      </c>
      <c r="DQ7" s="183" t="b">
        <v>0</v>
      </c>
      <c r="DR7" s="391" t="e">
        <f t="shared" si="22"/>
        <v>#DIV/0!</v>
      </c>
      <c r="DS7" s="180">
        <f t="shared" si="23"/>
        <v>0</v>
      </c>
      <c r="DT7" s="181"/>
      <c r="DU7" s="181"/>
      <c r="DV7" s="181"/>
      <c r="DW7" s="181"/>
      <c r="DX7" s="181"/>
      <c r="DY7" s="182"/>
      <c r="DZ7" s="181"/>
      <c r="EA7" s="183" t="b">
        <v>0</v>
      </c>
      <c r="EB7" s="183" t="b">
        <v>0</v>
      </c>
      <c r="EC7" s="391" t="e">
        <f t="shared" si="24"/>
        <v>#DIV/0!</v>
      </c>
      <c r="ED7" s="180">
        <f t="shared" si="25"/>
        <v>0</v>
      </c>
      <c r="EE7" s="181"/>
      <c r="EF7" s="181"/>
      <c r="EG7" s="181"/>
      <c r="EH7" s="181"/>
      <c r="EI7" s="181"/>
      <c r="EJ7" s="182"/>
      <c r="EK7" s="181"/>
      <c r="EL7" s="183" t="b">
        <v>0</v>
      </c>
      <c r="EM7" s="183" t="b">
        <v>0</v>
      </c>
      <c r="EN7" s="391" t="e">
        <f t="shared" si="26"/>
        <v>#DIV/0!</v>
      </c>
      <c r="EO7" s="180">
        <f t="shared" si="27"/>
        <v>0</v>
      </c>
      <c r="EP7" s="181"/>
      <c r="EQ7" s="181"/>
      <c r="ER7" s="181"/>
      <c r="ES7" s="181"/>
      <c r="ET7" s="181"/>
      <c r="EU7" s="182"/>
      <c r="EV7" s="181"/>
      <c r="EW7" s="183" t="b">
        <v>0</v>
      </c>
      <c r="EX7" s="183" t="b">
        <v>0</v>
      </c>
      <c r="EY7" s="391" t="e">
        <f t="shared" si="28"/>
        <v>#DIV/0!</v>
      </c>
      <c r="EZ7" s="391" t="e">
        <f t="shared" si="29"/>
        <v>#DIV/0!</v>
      </c>
    </row>
    <row r="8" spans="1:156" ht="15" customHeight="1">
      <c r="C8" s="194" t="s">
        <v>876</v>
      </c>
      <c r="D8" s="5">
        <v>1450022</v>
      </c>
      <c r="E8" s="5">
        <v>1</v>
      </c>
      <c r="F8" s="5" t="s">
        <v>877</v>
      </c>
      <c r="G8" s="5" t="s">
        <v>878</v>
      </c>
      <c r="H8" s="5" t="s">
        <v>879</v>
      </c>
      <c r="I8" s="5" t="s">
        <v>880</v>
      </c>
      <c r="J8" s="5" t="s">
        <v>881</v>
      </c>
      <c r="K8" s="174" t="s">
        <v>877</v>
      </c>
      <c r="L8" s="174" t="s">
        <v>878</v>
      </c>
      <c r="M8" s="5"/>
      <c r="N8" s="5"/>
      <c r="O8" s="192">
        <v>28</v>
      </c>
      <c r="P8" s="4"/>
      <c r="Q8" s="346">
        <v>143880.6</v>
      </c>
      <c r="R8" s="346"/>
      <c r="S8" s="4"/>
      <c r="T8" s="150">
        <v>143880.6</v>
      </c>
      <c r="U8" s="376">
        <v>13947</v>
      </c>
      <c r="V8" s="217">
        <v>46034</v>
      </c>
      <c r="W8" s="382" t="s">
        <v>882</v>
      </c>
      <c r="X8" s="144">
        <f t="shared" si="0"/>
        <v>146882.63</v>
      </c>
      <c r="Y8" s="43"/>
      <c r="Z8" s="43"/>
      <c r="AA8" s="43">
        <v>146882.63</v>
      </c>
      <c r="AB8" s="6">
        <v>14238</v>
      </c>
      <c r="AC8" s="41">
        <v>46064</v>
      </c>
      <c r="AD8" s="6" t="s">
        <v>883</v>
      </c>
      <c r="AE8" s="153" t="b">
        <v>1</v>
      </c>
      <c r="AF8" s="153" t="b">
        <v>1</v>
      </c>
      <c r="AG8" s="388">
        <f t="shared" si="1"/>
        <v>2.0864702086470208E-2</v>
      </c>
      <c r="AH8" s="390">
        <f>(X8-Q8)/Q8</f>
        <v>2.0864730894922585E-2</v>
      </c>
      <c r="AI8" s="371">
        <f t="shared" si="30"/>
        <v>164121.06</v>
      </c>
      <c r="AJ8" s="455">
        <v>0</v>
      </c>
      <c r="AK8" s="455">
        <v>0</v>
      </c>
      <c r="AL8" s="455">
        <v>164121.06</v>
      </c>
      <c r="AM8" s="456">
        <v>15909</v>
      </c>
      <c r="AN8" s="457">
        <v>46092</v>
      </c>
      <c r="AO8" s="456" t="s">
        <v>884</v>
      </c>
      <c r="AP8" s="153" t="b">
        <v>1</v>
      </c>
      <c r="AQ8" s="153" t="b">
        <v>1</v>
      </c>
      <c r="AR8" s="437">
        <f t="shared" si="2"/>
        <v>0.11736198904340497</v>
      </c>
      <c r="AS8" s="437">
        <f t="shared" si="3"/>
        <v>0.11736193721476795</v>
      </c>
      <c r="AT8" s="150">
        <v>159427.17000000001</v>
      </c>
      <c r="AU8" s="150">
        <v>0</v>
      </c>
      <c r="AV8" s="150">
        <v>0</v>
      </c>
      <c r="AW8" s="150">
        <v>159427.17000000001</v>
      </c>
      <c r="AX8" s="6">
        <v>15454</v>
      </c>
      <c r="AY8" s="41">
        <v>46125</v>
      </c>
      <c r="AZ8" s="6" t="s">
        <v>885</v>
      </c>
      <c r="BA8" s="153" t="b">
        <v>1</v>
      </c>
      <c r="BB8" s="153" t="b">
        <v>1</v>
      </c>
      <c r="BC8" s="437">
        <f t="shared" si="4"/>
        <v>-2.8600163429505311E-2</v>
      </c>
      <c r="BD8" s="437">
        <f t="shared" si="5"/>
        <v>-2.8600168680363049E-2</v>
      </c>
      <c r="BE8" s="151">
        <f t="shared" si="6"/>
        <v>0</v>
      </c>
      <c r="BF8" s="151"/>
      <c r="BG8" s="151"/>
      <c r="BH8" s="151"/>
      <c r="BI8" s="6"/>
      <c r="BJ8" s="214">
        <v>46155</v>
      </c>
      <c r="BK8" s="6"/>
      <c r="BL8" s="153" t="b">
        <v>0</v>
      </c>
      <c r="BM8" s="153" t="b">
        <v>0</v>
      </c>
      <c r="BN8" s="5">
        <f t="shared" si="7"/>
        <v>-1</v>
      </c>
      <c r="BO8" s="5">
        <f t="shared" si="8"/>
        <v>-1</v>
      </c>
      <c r="BP8" s="346">
        <f t="shared" si="9"/>
        <v>0</v>
      </c>
      <c r="BQ8" s="4"/>
      <c r="BR8" s="4"/>
      <c r="BS8" s="4"/>
      <c r="BT8" s="4"/>
      <c r="BU8" s="214">
        <v>46186</v>
      </c>
      <c r="BV8" s="4"/>
      <c r="BW8" s="153" t="b">
        <v>0</v>
      </c>
      <c r="BX8" s="153" t="b">
        <v>0</v>
      </c>
      <c r="BY8" s="437" t="e">
        <f t="shared" si="10"/>
        <v>#DIV/0!</v>
      </c>
      <c r="BZ8" s="437" t="e">
        <f t="shared" si="11"/>
        <v>#DIV/0!</v>
      </c>
      <c r="CA8" s="346">
        <f t="shared" si="12"/>
        <v>0</v>
      </c>
      <c r="CB8" s="4"/>
      <c r="CC8" s="4"/>
      <c r="CD8" s="4"/>
      <c r="CE8" s="4"/>
      <c r="CF8" s="217"/>
      <c r="CG8" s="4"/>
      <c r="CH8" s="153" t="b">
        <v>0</v>
      </c>
      <c r="CI8" s="153" t="b">
        <v>0</v>
      </c>
      <c r="CJ8" s="437" t="e">
        <f t="shared" si="13"/>
        <v>#DIV/0!</v>
      </c>
      <c r="CK8" s="437" t="e">
        <f t="shared" si="14"/>
        <v>#DIV/0!</v>
      </c>
      <c r="CL8" s="346">
        <f t="shared" si="15"/>
        <v>0</v>
      </c>
      <c r="CM8" s="4"/>
      <c r="CN8" s="4"/>
      <c r="CO8" s="4"/>
      <c r="CP8" s="4"/>
      <c r="CQ8" s="217"/>
      <c r="CR8" s="4"/>
      <c r="CS8" s="153" t="b">
        <v>0</v>
      </c>
      <c r="CT8" s="153" t="b">
        <v>0</v>
      </c>
      <c r="CU8" s="4" t="e">
        <f t="shared" si="16"/>
        <v>#DIV/0!</v>
      </c>
      <c r="CV8" s="4" t="e">
        <f t="shared" si="17"/>
        <v>#DIV/0!</v>
      </c>
      <c r="CW8" s="346">
        <f t="shared" si="18"/>
        <v>0</v>
      </c>
      <c r="CX8" s="4"/>
      <c r="CY8" s="4"/>
      <c r="CZ8" s="4"/>
      <c r="DA8" s="4"/>
      <c r="DB8" s="217"/>
      <c r="DC8" s="4"/>
      <c r="DD8" s="153" t="b">
        <v>0</v>
      </c>
      <c r="DE8" s="153" t="b">
        <v>0</v>
      </c>
      <c r="DF8" s="437" t="e">
        <f t="shared" si="19"/>
        <v>#DIV/0!</v>
      </c>
      <c r="DG8" s="437" t="e">
        <f t="shared" si="20"/>
        <v>#DIV/0!</v>
      </c>
      <c r="DH8" s="346">
        <f t="shared" si="21"/>
        <v>0</v>
      </c>
      <c r="DI8" s="4"/>
      <c r="DJ8" s="4"/>
      <c r="DK8" s="4"/>
      <c r="DL8" s="4"/>
      <c r="DM8" s="4"/>
      <c r="DN8" s="217"/>
      <c r="DO8" s="4"/>
      <c r="DP8" s="153" t="b">
        <v>0</v>
      </c>
      <c r="DQ8" s="153" t="b">
        <v>0</v>
      </c>
      <c r="DR8" s="437" t="e">
        <f t="shared" si="22"/>
        <v>#DIV/0!</v>
      </c>
      <c r="DS8" s="882">
        <f t="shared" si="23"/>
        <v>0</v>
      </c>
      <c r="DT8" s="4"/>
      <c r="DU8" s="4"/>
      <c r="DV8" s="4"/>
      <c r="DW8" s="4"/>
      <c r="DX8" s="4"/>
      <c r="DY8" s="217"/>
      <c r="DZ8" s="4"/>
      <c r="EA8" s="153" t="b">
        <v>0</v>
      </c>
      <c r="EB8" s="153" t="b">
        <v>0</v>
      </c>
      <c r="EC8" s="437" t="e">
        <f t="shared" si="24"/>
        <v>#DIV/0!</v>
      </c>
      <c r="ED8" s="882">
        <f t="shared" si="25"/>
        <v>0</v>
      </c>
      <c r="EE8" s="4"/>
      <c r="EF8" s="4"/>
      <c r="EG8" s="4"/>
      <c r="EH8" s="4"/>
      <c r="EI8" s="4"/>
      <c r="EJ8" s="217"/>
      <c r="EK8" s="4"/>
      <c r="EL8" s="153" t="b">
        <v>0</v>
      </c>
      <c r="EM8" s="153" t="b">
        <v>0</v>
      </c>
      <c r="EN8" s="437" t="e">
        <f t="shared" si="26"/>
        <v>#DIV/0!</v>
      </c>
      <c r="EO8" s="882">
        <f t="shared" si="27"/>
        <v>0</v>
      </c>
      <c r="EP8" s="4"/>
      <c r="EQ8" s="4"/>
      <c r="ER8" s="4"/>
      <c r="ES8" s="4"/>
      <c r="ET8" s="4"/>
      <c r="EU8" s="217"/>
      <c r="EV8" s="4"/>
      <c r="EW8" s="153" t="b">
        <v>0</v>
      </c>
      <c r="EX8" s="153" t="b">
        <v>0</v>
      </c>
      <c r="EY8" s="437" t="e">
        <f t="shared" si="28"/>
        <v>#DIV/0!</v>
      </c>
      <c r="EZ8" s="437" t="e">
        <f t="shared" si="29"/>
        <v>#DIV/0!</v>
      </c>
    </row>
    <row r="9" spans="1:156" ht="15" customHeight="1">
      <c r="C9" s="400" t="s">
        <v>886</v>
      </c>
      <c r="D9" s="357">
        <v>1450022</v>
      </c>
      <c r="E9" s="357">
        <v>63</v>
      </c>
      <c r="F9" s="357" t="s">
        <v>887</v>
      </c>
      <c r="G9" s="357" t="s">
        <v>888</v>
      </c>
      <c r="H9" s="357" t="s">
        <v>889</v>
      </c>
      <c r="I9" s="357" t="s">
        <v>890</v>
      </c>
      <c r="J9" s="357" t="s">
        <v>891</v>
      </c>
      <c r="K9" s="426" t="s">
        <v>887</v>
      </c>
      <c r="L9" s="426"/>
      <c r="M9" s="357"/>
      <c r="N9" s="357"/>
      <c r="O9" s="359">
        <v>45</v>
      </c>
      <c r="P9" s="358"/>
      <c r="Q9" s="401">
        <v>114225.96</v>
      </c>
      <c r="R9" s="401"/>
      <c r="S9" s="358"/>
      <c r="T9" s="402">
        <f>(Q9-R9-S9)</f>
        <v>114225.96</v>
      </c>
      <c r="U9" s="403">
        <v>7628</v>
      </c>
      <c r="V9" s="404">
        <v>46048</v>
      </c>
      <c r="W9" s="405" t="s">
        <v>892</v>
      </c>
      <c r="X9" s="144">
        <f t="shared" si="0"/>
        <v>112394.31</v>
      </c>
      <c r="Y9" s="406"/>
      <c r="Z9" s="406"/>
      <c r="AA9" s="406">
        <v>112394.31</v>
      </c>
      <c r="AB9" s="148">
        <v>7506</v>
      </c>
      <c r="AC9" s="407">
        <v>46079</v>
      </c>
      <c r="AD9" s="148" t="s">
        <v>893</v>
      </c>
      <c r="AE9" s="164" t="b">
        <v>1</v>
      </c>
      <c r="AF9" s="164" t="b">
        <v>1</v>
      </c>
      <c r="AG9" s="408">
        <f t="shared" si="1"/>
        <v>-1.599370739381227E-2</v>
      </c>
      <c r="AH9" s="409">
        <f>(X9-Q9)/Q9</f>
        <v>-1.6035321567881844E-2</v>
      </c>
      <c r="AI9" s="371">
        <f t="shared" si="30"/>
        <v>96840.320000000007</v>
      </c>
      <c r="AJ9" s="364"/>
      <c r="AK9" s="364">
        <v>0</v>
      </c>
      <c r="AL9" s="364">
        <v>96840.320000000007</v>
      </c>
      <c r="AM9" s="148">
        <v>6470</v>
      </c>
      <c r="AN9" s="407">
        <v>46107</v>
      </c>
      <c r="AO9" s="148" t="s">
        <v>894</v>
      </c>
      <c r="AP9" s="164" t="b">
        <v>1</v>
      </c>
      <c r="AQ9" s="164" t="b">
        <v>1</v>
      </c>
      <c r="AR9" s="438">
        <f t="shared" si="2"/>
        <v>-0.13802291500133226</v>
      </c>
      <c r="AS9" s="438">
        <f t="shared" si="3"/>
        <v>-0.1383876995196642</v>
      </c>
      <c r="AT9" s="402">
        <v>127290.04</v>
      </c>
      <c r="AU9" s="402">
        <v>0</v>
      </c>
      <c r="AV9" s="402">
        <v>0</v>
      </c>
      <c r="AW9" s="402">
        <v>127290.04</v>
      </c>
      <c r="AX9" s="148">
        <v>8521</v>
      </c>
      <c r="AY9" s="926">
        <v>46139</v>
      </c>
      <c r="AZ9" s="148" t="s">
        <v>895</v>
      </c>
      <c r="BA9" s="164" t="b">
        <v>1</v>
      </c>
      <c r="BB9" s="164" t="b">
        <v>0</v>
      </c>
      <c r="BC9" s="438">
        <f t="shared" si="4"/>
        <v>0.31700154559505411</v>
      </c>
      <c r="BD9" s="438">
        <f t="shared" si="5"/>
        <v>0.31443225301196842</v>
      </c>
      <c r="BE9" s="364">
        <f t="shared" si="6"/>
        <v>0</v>
      </c>
      <c r="BF9" s="364"/>
      <c r="BG9" s="364"/>
      <c r="BH9" s="364"/>
      <c r="BI9" s="148"/>
      <c r="BJ9" s="1196">
        <v>46168</v>
      </c>
      <c r="BK9" s="148"/>
      <c r="BL9" s="164" t="b">
        <v>0</v>
      </c>
      <c r="BM9" s="164" t="b">
        <v>0</v>
      </c>
      <c r="BN9" s="357">
        <f t="shared" si="7"/>
        <v>-1</v>
      </c>
      <c r="BO9" s="357">
        <f t="shared" si="8"/>
        <v>-1</v>
      </c>
      <c r="BP9" s="401">
        <f t="shared" si="9"/>
        <v>0</v>
      </c>
      <c r="BQ9" s="358"/>
      <c r="BR9" s="358"/>
      <c r="BS9" s="358"/>
      <c r="BT9" s="358"/>
      <c r="BU9" s="1196">
        <v>46199</v>
      </c>
      <c r="BV9" s="358"/>
      <c r="BW9" s="164" t="b">
        <v>0</v>
      </c>
      <c r="BX9" s="164" t="b">
        <v>0</v>
      </c>
      <c r="BY9" s="438" t="e">
        <f t="shared" si="10"/>
        <v>#DIV/0!</v>
      </c>
      <c r="BZ9" s="438" t="e">
        <f t="shared" si="11"/>
        <v>#DIV/0!</v>
      </c>
      <c r="CA9" s="401">
        <f t="shared" si="12"/>
        <v>0</v>
      </c>
      <c r="CB9" s="358"/>
      <c r="CC9" s="358"/>
      <c r="CD9" s="358"/>
      <c r="CE9" s="358"/>
      <c r="CF9" s="404"/>
      <c r="CG9" s="358"/>
      <c r="CH9" s="164" t="b">
        <v>0</v>
      </c>
      <c r="CI9" s="164" t="b">
        <v>0</v>
      </c>
      <c r="CJ9" s="438" t="e">
        <f t="shared" si="13"/>
        <v>#DIV/0!</v>
      </c>
      <c r="CK9" s="438" t="e">
        <f t="shared" si="14"/>
        <v>#DIV/0!</v>
      </c>
      <c r="CL9" s="401">
        <f t="shared" si="15"/>
        <v>0</v>
      </c>
      <c r="CM9" s="358"/>
      <c r="CN9" s="358"/>
      <c r="CO9" s="358"/>
      <c r="CP9" s="358"/>
      <c r="CQ9" s="404"/>
      <c r="CR9" s="358"/>
      <c r="CS9" s="164" t="b">
        <v>0</v>
      </c>
      <c r="CT9" s="164" t="b">
        <v>0</v>
      </c>
      <c r="CU9" s="358" t="e">
        <f t="shared" si="16"/>
        <v>#DIV/0!</v>
      </c>
      <c r="CV9" s="358" t="e">
        <f t="shared" si="17"/>
        <v>#DIV/0!</v>
      </c>
      <c r="CW9" s="401">
        <f t="shared" si="18"/>
        <v>0</v>
      </c>
      <c r="CX9" s="358"/>
      <c r="CY9" s="358"/>
      <c r="CZ9" s="358"/>
      <c r="DA9" s="358"/>
      <c r="DB9" s="404"/>
      <c r="DC9" s="358"/>
      <c r="DD9" s="164" t="b">
        <v>0</v>
      </c>
      <c r="DE9" s="164" t="b">
        <v>0</v>
      </c>
      <c r="DF9" s="438" t="e">
        <f t="shared" si="19"/>
        <v>#DIV/0!</v>
      </c>
      <c r="DG9" s="438" t="e">
        <f t="shared" si="20"/>
        <v>#DIV/0!</v>
      </c>
      <c r="DH9" s="401">
        <f t="shared" si="21"/>
        <v>0</v>
      </c>
      <c r="DI9" s="358"/>
      <c r="DJ9" s="358"/>
      <c r="DK9" s="358"/>
      <c r="DL9" s="358"/>
      <c r="DM9" s="358"/>
      <c r="DN9" s="404"/>
      <c r="DO9" s="358"/>
      <c r="DP9" s="164" t="b">
        <v>0</v>
      </c>
      <c r="DQ9" s="164" t="b">
        <v>0</v>
      </c>
      <c r="DR9" s="438" t="e">
        <f t="shared" si="22"/>
        <v>#DIV/0!</v>
      </c>
      <c r="DS9" s="883">
        <f t="shared" si="23"/>
        <v>0</v>
      </c>
      <c r="DT9" s="358"/>
      <c r="DU9" s="358"/>
      <c r="DV9" s="358"/>
      <c r="DW9" s="358"/>
      <c r="DX9" s="358"/>
      <c r="DY9" s="404"/>
      <c r="DZ9" s="358"/>
      <c r="EA9" s="164" t="b">
        <v>0</v>
      </c>
      <c r="EB9" s="164" t="b">
        <v>0</v>
      </c>
      <c r="EC9" s="438" t="e">
        <f t="shared" si="24"/>
        <v>#DIV/0!</v>
      </c>
      <c r="ED9" s="883">
        <f t="shared" si="25"/>
        <v>0</v>
      </c>
      <c r="EE9" s="358"/>
      <c r="EF9" s="358"/>
      <c r="EG9" s="358"/>
      <c r="EH9" s="358"/>
      <c r="EI9" s="358"/>
      <c r="EJ9" s="404"/>
      <c r="EK9" s="358"/>
      <c r="EL9" s="164" t="b">
        <v>0</v>
      </c>
      <c r="EM9" s="164" t="b">
        <v>0</v>
      </c>
      <c r="EN9" s="438" t="e">
        <f t="shared" si="26"/>
        <v>#DIV/0!</v>
      </c>
      <c r="EO9" s="883">
        <f t="shared" si="27"/>
        <v>0</v>
      </c>
      <c r="EP9" s="358"/>
      <c r="EQ9" s="358"/>
      <c r="ER9" s="358"/>
      <c r="ES9" s="358"/>
      <c r="ET9" s="358"/>
      <c r="EU9" s="404"/>
      <c r="EV9" s="358"/>
      <c r="EW9" s="164" t="b">
        <v>0</v>
      </c>
      <c r="EX9" s="164" t="b">
        <v>0</v>
      </c>
      <c r="EY9" s="438" t="e">
        <f t="shared" si="28"/>
        <v>#DIV/0!</v>
      </c>
      <c r="EZ9" s="438" t="e">
        <f t="shared" si="29"/>
        <v>#DIV/0!</v>
      </c>
    </row>
    <row r="10" spans="1:156" ht="15" customHeight="1">
      <c r="C10" s="400" t="s">
        <v>886</v>
      </c>
      <c r="D10" s="357">
        <v>1450022</v>
      </c>
      <c r="E10" s="357">
        <v>63</v>
      </c>
      <c r="F10" s="357" t="s">
        <v>896</v>
      </c>
      <c r="G10" s="357" t="s">
        <v>897</v>
      </c>
      <c r="H10" s="357" t="s">
        <v>889</v>
      </c>
      <c r="I10" s="357" t="s">
        <v>890</v>
      </c>
      <c r="J10" s="357" t="s">
        <v>891</v>
      </c>
      <c r="K10" s="426" t="s">
        <v>896</v>
      </c>
      <c r="L10" s="426"/>
      <c r="M10" s="357"/>
      <c r="N10" s="357"/>
      <c r="O10" s="429">
        <v>45</v>
      </c>
      <c r="P10" s="358"/>
      <c r="Q10" s="401">
        <v>128849.12</v>
      </c>
      <c r="R10" s="401"/>
      <c r="S10" s="358"/>
      <c r="T10" s="402">
        <f>(Q10-R10-S10)</f>
        <v>128849.12</v>
      </c>
      <c r="U10" s="403">
        <v>8602</v>
      </c>
      <c r="V10" s="404">
        <v>46048</v>
      </c>
      <c r="W10" s="405" t="s">
        <v>892</v>
      </c>
      <c r="X10" s="144">
        <f t="shared" si="0"/>
        <v>126266.79</v>
      </c>
      <c r="Y10" s="406"/>
      <c r="Z10" s="406"/>
      <c r="AA10" s="406">
        <v>126266.79</v>
      </c>
      <c r="AB10" s="148">
        <v>8430</v>
      </c>
      <c r="AC10" s="407">
        <v>46079</v>
      </c>
      <c r="AD10" s="148" t="s">
        <v>893</v>
      </c>
      <c r="AE10" s="164" t="b">
        <v>1</v>
      </c>
      <c r="AF10" s="164" t="b">
        <v>1</v>
      </c>
      <c r="AG10" s="408">
        <f t="shared" si="1"/>
        <v>-1.9995349918623576E-2</v>
      </c>
      <c r="AH10" s="409">
        <f>(X10-Q10)/Q10</f>
        <v>-2.0041502805762289E-2</v>
      </c>
      <c r="AI10" s="458">
        <f t="shared" si="30"/>
        <v>126777.25</v>
      </c>
      <c r="AJ10" s="364"/>
      <c r="AK10" s="364">
        <v>0</v>
      </c>
      <c r="AL10" s="364">
        <v>126777.25</v>
      </c>
      <c r="AM10" s="148">
        <v>8464</v>
      </c>
      <c r="AN10" s="407">
        <v>46107</v>
      </c>
      <c r="AO10" s="148" t="s">
        <v>894</v>
      </c>
      <c r="AP10" s="164" t="b">
        <v>1</v>
      </c>
      <c r="AQ10" s="164" t="b">
        <v>1</v>
      </c>
      <c r="AR10" s="438">
        <f t="shared" si="2"/>
        <v>4.0332147093712929E-3</v>
      </c>
      <c r="AS10" s="438">
        <f t="shared" si="3"/>
        <v>4.0427098843647362E-3</v>
      </c>
      <c r="AT10" s="402">
        <v>151082.54</v>
      </c>
      <c r="AU10" s="402">
        <v>0</v>
      </c>
      <c r="AV10" s="402">
        <v>0</v>
      </c>
      <c r="AW10" s="402">
        <v>151082.54</v>
      </c>
      <c r="AX10" s="148">
        <v>10110</v>
      </c>
      <c r="AY10" s="926">
        <v>46139</v>
      </c>
      <c r="AZ10" s="148" t="s">
        <v>895</v>
      </c>
      <c r="BA10" s="164" t="b">
        <v>1</v>
      </c>
      <c r="BB10" s="164" t="b">
        <v>0</v>
      </c>
      <c r="BC10" s="438">
        <f t="shared" si="4"/>
        <v>0.19447069943289225</v>
      </c>
      <c r="BD10" s="438">
        <f t="shared" si="5"/>
        <v>0.19171649487585515</v>
      </c>
      <c r="BE10" s="364">
        <f t="shared" si="6"/>
        <v>0</v>
      </c>
      <c r="BF10" s="364"/>
      <c r="BG10" s="364"/>
      <c r="BH10" s="364"/>
      <c r="BI10" s="148"/>
      <c r="BJ10" s="1196">
        <v>46168</v>
      </c>
      <c r="BK10" s="148"/>
      <c r="BL10" s="164" t="b">
        <v>0</v>
      </c>
      <c r="BM10" s="164" t="b">
        <v>0</v>
      </c>
      <c r="BN10" s="357">
        <f t="shared" si="7"/>
        <v>-1</v>
      </c>
      <c r="BO10" s="357">
        <f t="shared" si="8"/>
        <v>-1</v>
      </c>
      <c r="BP10" s="401">
        <f t="shared" si="9"/>
        <v>0</v>
      </c>
      <c r="BQ10" s="358"/>
      <c r="BR10" s="358"/>
      <c r="BS10" s="358"/>
      <c r="BT10" s="358"/>
      <c r="BU10" s="1196">
        <v>46199</v>
      </c>
      <c r="BV10" s="358"/>
      <c r="BW10" s="164" t="b">
        <v>0</v>
      </c>
      <c r="BX10" s="164" t="b">
        <v>0</v>
      </c>
      <c r="BY10" s="438" t="e">
        <f t="shared" si="10"/>
        <v>#DIV/0!</v>
      </c>
      <c r="BZ10" s="438" t="e">
        <f t="shared" si="11"/>
        <v>#DIV/0!</v>
      </c>
      <c r="CA10" s="401">
        <f t="shared" si="12"/>
        <v>0</v>
      </c>
      <c r="CB10" s="358"/>
      <c r="CC10" s="358"/>
      <c r="CD10" s="358"/>
      <c r="CE10" s="358"/>
      <c r="CF10" s="404"/>
      <c r="CG10" s="358"/>
      <c r="CH10" s="164" t="b">
        <v>0</v>
      </c>
      <c r="CI10" s="164" t="b">
        <v>0</v>
      </c>
      <c r="CJ10" s="438" t="e">
        <f t="shared" si="13"/>
        <v>#DIV/0!</v>
      </c>
      <c r="CK10" s="438" t="e">
        <f t="shared" si="14"/>
        <v>#DIV/0!</v>
      </c>
      <c r="CL10" s="401">
        <f t="shared" si="15"/>
        <v>0</v>
      </c>
      <c r="CM10" s="358"/>
      <c r="CN10" s="358"/>
      <c r="CO10" s="358"/>
      <c r="CP10" s="358"/>
      <c r="CQ10" s="404"/>
      <c r="CR10" s="358"/>
      <c r="CS10" s="164" t="b">
        <v>0</v>
      </c>
      <c r="CT10" s="164" t="b">
        <v>0</v>
      </c>
      <c r="CU10" s="358" t="e">
        <f t="shared" si="16"/>
        <v>#DIV/0!</v>
      </c>
      <c r="CV10" s="358" t="e">
        <f t="shared" si="17"/>
        <v>#DIV/0!</v>
      </c>
      <c r="CW10" s="401">
        <f t="shared" si="18"/>
        <v>0</v>
      </c>
      <c r="CX10" s="358"/>
      <c r="CY10" s="358"/>
      <c r="CZ10" s="358"/>
      <c r="DA10" s="358"/>
      <c r="DB10" s="404"/>
      <c r="DC10" s="358"/>
      <c r="DD10" s="164" t="b">
        <v>0</v>
      </c>
      <c r="DE10" s="164" t="b">
        <v>0</v>
      </c>
      <c r="DF10" s="438" t="e">
        <f t="shared" si="19"/>
        <v>#DIV/0!</v>
      </c>
      <c r="DG10" s="438" t="e">
        <f t="shared" si="20"/>
        <v>#DIV/0!</v>
      </c>
      <c r="DH10" s="401">
        <f t="shared" si="21"/>
        <v>0</v>
      </c>
      <c r="DI10" s="358"/>
      <c r="DJ10" s="358"/>
      <c r="DK10" s="358"/>
      <c r="DL10" s="358"/>
      <c r="DM10" s="358"/>
      <c r="DN10" s="404"/>
      <c r="DO10" s="358"/>
      <c r="DP10" s="164" t="b">
        <v>0</v>
      </c>
      <c r="DQ10" s="164" t="b">
        <v>0</v>
      </c>
      <c r="DR10" s="438" t="e">
        <f t="shared" si="22"/>
        <v>#DIV/0!</v>
      </c>
      <c r="DS10" s="883">
        <f t="shared" si="23"/>
        <v>0</v>
      </c>
      <c r="DT10" s="358"/>
      <c r="DU10" s="358"/>
      <c r="DV10" s="358"/>
      <c r="DW10" s="358"/>
      <c r="DX10" s="358"/>
      <c r="DY10" s="404"/>
      <c r="DZ10" s="358"/>
      <c r="EA10" s="164" t="b">
        <v>0</v>
      </c>
      <c r="EB10" s="164" t="b">
        <v>0</v>
      </c>
      <c r="EC10" s="438" t="e">
        <f t="shared" si="24"/>
        <v>#DIV/0!</v>
      </c>
      <c r="ED10" s="883">
        <f t="shared" si="25"/>
        <v>0</v>
      </c>
      <c r="EE10" s="358"/>
      <c r="EF10" s="358"/>
      <c r="EG10" s="358"/>
      <c r="EH10" s="358"/>
      <c r="EI10" s="358"/>
      <c r="EJ10" s="404"/>
      <c r="EK10" s="358"/>
      <c r="EL10" s="164" t="b">
        <v>0</v>
      </c>
      <c r="EM10" s="164" t="b">
        <v>0</v>
      </c>
      <c r="EN10" s="438" t="e">
        <f t="shared" si="26"/>
        <v>#DIV/0!</v>
      </c>
      <c r="EO10" s="883">
        <f t="shared" si="27"/>
        <v>0</v>
      </c>
      <c r="EP10" s="358"/>
      <c r="EQ10" s="358"/>
      <c r="ER10" s="358"/>
      <c r="ES10" s="358"/>
      <c r="ET10" s="358"/>
      <c r="EU10" s="404"/>
      <c r="EV10" s="358"/>
      <c r="EW10" s="164" t="b">
        <v>0</v>
      </c>
      <c r="EX10" s="164" t="b">
        <v>0</v>
      </c>
      <c r="EY10" s="438" t="e">
        <f t="shared" si="28"/>
        <v>#DIV/0!</v>
      </c>
      <c r="EZ10" s="438" t="e">
        <f t="shared" si="29"/>
        <v>#DIV/0!</v>
      </c>
    </row>
    <row r="11" spans="1:156" ht="15" customHeight="1">
      <c r="C11" s="195" t="s">
        <v>898</v>
      </c>
      <c r="D11" s="154">
        <v>1450022</v>
      </c>
      <c r="E11" s="154">
        <v>78</v>
      </c>
      <c r="F11" s="474" t="s">
        <v>899</v>
      </c>
      <c r="G11" s="154" t="s">
        <v>900</v>
      </c>
      <c r="H11" s="154" t="s">
        <v>901</v>
      </c>
      <c r="I11" s="154" t="s">
        <v>902</v>
      </c>
      <c r="J11" s="154" t="s">
        <v>903</v>
      </c>
      <c r="K11" s="934" t="s">
        <v>904</v>
      </c>
      <c r="L11" s="934" t="s">
        <v>905</v>
      </c>
      <c r="M11" s="154"/>
      <c r="N11" s="154"/>
      <c r="O11" s="434">
        <v>29</v>
      </c>
      <c r="P11" s="176"/>
      <c r="Q11" s="348">
        <v>58056.06</v>
      </c>
      <c r="R11" s="348"/>
      <c r="S11" s="176"/>
      <c r="T11" s="203">
        <f t="shared" ref="T11:T74" si="31">(Q11-R11-S11)</f>
        <v>58056.06</v>
      </c>
      <c r="U11" s="378">
        <v>2571</v>
      </c>
      <c r="V11" s="186">
        <v>46034</v>
      </c>
      <c r="W11" s="383" t="s">
        <v>906</v>
      </c>
      <c r="X11" s="144">
        <f t="shared" si="0"/>
        <v>71939.77</v>
      </c>
      <c r="Y11" s="170"/>
      <c r="Z11" s="170"/>
      <c r="AA11" s="170">
        <v>71939.77</v>
      </c>
      <c r="AB11" s="171">
        <v>3120</v>
      </c>
      <c r="AC11" s="172">
        <v>46065</v>
      </c>
      <c r="AD11" s="171" t="s">
        <v>907</v>
      </c>
      <c r="AE11" s="177" t="b">
        <v>1</v>
      </c>
      <c r="AF11" s="177" t="b">
        <v>1</v>
      </c>
      <c r="AG11" s="410">
        <f t="shared" si="1"/>
        <v>0.21353558926487748</v>
      </c>
      <c r="AH11" s="392">
        <f>(X11-Q11)/Q11</f>
        <v>0.2391431661053128</v>
      </c>
      <c r="AI11" s="371">
        <f t="shared" si="30"/>
        <v>52132.62</v>
      </c>
      <c r="AJ11" s="368">
        <v>0</v>
      </c>
      <c r="AK11" s="368">
        <v>0</v>
      </c>
      <c r="AL11" s="368">
        <v>52132.62</v>
      </c>
      <c r="AM11" s="171">
        <v>2266</v>
      </c>
      <c r="AN11" s="172">
        <v>46111</v>
      </c>
      <c r="AO11" s="171" t="s">
        <v>908</v>
      </c>
      <c r="AP11" s="177" t="b">
        <v>1</v>
      </c>
      <c r="AQ11" s="177" t="b">
        <v>1</v>
      </c>
      <c r="AR11" s="439">
        <f t="shared" si="2"/>
        <v>-0.27371794871794874</v>
      </c>
      <c r="AS11" s="439">
        <f t="shared" si="3"/>
        <v>-0.27532962643611453</v>
      </c>
      <c r="AT11" s="203">
        <f t="shared" ref="AT5:AT36" si="32">SUM(AW11, ABS(AU11))</f>
        <v>0</v>
      </c>
      <c r="AU11" s="203"/>
      <c r="AV11" s="203"/>
      <c r="AW11" s="203"/>
      <c r="AX11" s="171"/>
      <c r="AY11" s="925">
        <v>46125</v>
      </c>
      <c r="AZ11" s="171" t="s">
        <v>909</v>
      </c>
      <c r="BA11" s="177" t="b">
        <v>0</v>
      </c>
      <c r="BB11" s="177" t="b">
        <v>0</v>
      </c>
      <c r="BC11" s="439">
        <f t="shared" si="4"/>
        <v>-1</v>
      </c>
      <c r="BD11" s="439">
        <f t="shared" si="5"/>
        <v>-1</v>
      </c>
      <c r="BE11" s="368">
        <f t="shared" si="6"/>
        <v>0</v>
      </c>
      <c r="BF11" s="368"/>
      <c r="BG11" s="368"/>
      <c r="BH11" s="368"/>
      <c r="BI11" s="171"/>
      <c r="BJ11" s="1197">
        <v>46172</v>
      </c>
      <c r="BK11" s="171"/>
      <c r="BL11" s="177" t="b">
        <v>0</v>
      </c>
      <c r="BM11" s="177" t="b">
        <v>0</v>
      </c>
      <c r="BN11" s="154" t="e">
        <f t="shared" si="7"/>
        <v>#DIV/0!</v>
      </c>
      <c r="BO11" s="154" t="e">
        <f t="shared" si="8"/>
        <v>#DIV/0!</v>
      </c>
      <c r="BP11" s="348">
        <f t="shared" si="9"/>
        <v>0</v>
      </c>
      <c r="BQ11" s="176"/>
      <c r="BR11" s="176"/>
      <c r="BS11" s="176"/>
      <c r="BT11" s="176"/>
      <c r="BU11" s="1197">
        <v>46203</v>
      </c>
      <c r="BV11" s="176"/>
      <c r="BW11" s="177" t="b">
        <v>0</v>
      </c>
      <c r="BX11" s="177" t="b">
        <v>0</v>
      </c>
      <c r="BY11" s="439" t="e">
        <f t="shared" si="10"/>
        <v>#DIV/0!</v>
      </c>
      <c r="BZ11" s="439" t="e">
        <f t="shared" si="11"/>
        <v>#DIV/0!</v>
      </c>
      <c r="CA11" s="348">
        <f t="shared" si="12"/>
        <v>0</v>
      </c>
      <c r="CB11" s="176"/>
      <c r="CC11" s="176"/>
      <c r="CD11" s="176"/>
      <c r="CE11" s="176"/>
      <c r="CF11" s="186"/>
      <c r="CG11" s="176"/>
      <c r="CH11" s="177" t="b">
        <v>0</v>
      </c>
      <c r="CI11" s="177" t="b">
        <v>0</v>
      </c>
      <c r="CJ11" s="439" t="e">
        <f t="shared" si="13"/>
        <v>#DIV/0!</v>
      </c>
      <c r="CK11" s="439" t="e">
        <f t="shared" si="14"/>
        <v>#DIV/0!</v>
      </c>
      <c r="CL11" s="348">
        <f t="shared" si="15"/>
        <v>0</v>
      </c>
      <c r="CM11" s="176"/>
      <c r="CN11" s="176"/>
      <c r="CO11" s="176"/>
      <c r="CP11" s="176"/>
      <c r="CQ11" s="186"/>
      <c r="CR11" s="176"/>
      <c r="CS11" s="177" t="b">
        <v>0</v>
      </c>
      <c r="CT11" s="177" t="b">
        <v>0</v>
      </c>
      <c r="CU11" s="176" t="e">
        <f t="shared" si="16"/>
        <v>#DIV/0!</v>
      </c>
      <c r="CV11" s="176" t="e">
        <f t="shared" si="17"/>
        <v>#DIV/0!</v>
      </c>
      <c r="CW11" s="348">
        <f t="shared" si="18"/>
        <v>0</v>
      </c>
      <c r="CX11" s="176"/>
      <c r="CY11" s="176"/>
      <c r="CZ11" s="176"/>
      <c r="DA11" s="176"/>
      <c r="DB11" s="186"/>
      <c r="DC11" s="176"/>
      <c r="DD11" s="177" t="b">
        <v>0</v>
      </c>
      <c r="DE11" s="177" t="b">
        <v>0</v>
      </c>
      <c r="DF11" s="439" t="e">
        <f t="shared" si="19"/>
        <v>#DIV/0!</v>
      </c>
      <c r="DG11" s="439" t="e">
        <f t="shared" si="20"/>
        <v>#DIV/0!</v>
      </c>
      <c r="DH11" s="348">
        <f t="shared" si="21"/>
        <v>0</v>
      </c>
      <c r="DI11" s="176"/>
      <c r="DJ11" s="176"/>
      <c r="DK11" s="176"/>
      <c r="DL11" s="176"/>
      <c r="DM11" s="176"/>
      <c r="DN11" s="186"/>
      <c r="DO11" s="176"/>
      <c r="DP11" s="177" t="b">
        <v>0</v>
      </c>
      <c r="DQ11" s="177" t="b">
        <v>0</v>
      </c>
      <c r="DR11" s="439" t="e">
        <f t="shared" si="22"/>
        <v>#DIV/0!</v>
      </c>
      <c r="DS11" s="884">
        <f t="shared" si="23"/>
        <v>0</v>
      </c>
      <c r="DT11" s="176"/>
      <c r="DU11" s="176"/>
      <c r="DV11" s="176"/>
      <c r="DW11" s="176"/>
      <c r="DX11" s="176"/>
      <c r="DY11" s="186"/>
      <c r="DZ11" s="176"/>
      <c r="EA11" s="177" t="b">
        <v>0</v>
      </c>
      <c r="EB11" s="177" t="b">
        <v>0</v>
      </c>
      <c r="EC11" s="439" t="e">
        <f t="shared" si="24"/>
        <v>#DIV/0!</v>
      </c>
      <c r="ED11" s="884">
        <f t="shared" si="25"/>
        <v>0</v>
      </c>
      <c r="EE11" s="176"/>
      <c r="EF11" s="176"/>
      <c r="EG11" s="176"/>
      <c r="EH11" s="176"/>
      <c r="EI11" s="176"/>
      <c r="EJ11" s="186"/>
      <c r="EK11" s="176"/>
      <c r="EL11" s="177" t="b">
        <v>0</v>
      </c>
      <c r="EM11" s="177" t="b">
        <v>0</v>
      </c>
      <c r="EN11" s="439" t="e">
        <f t="shared" si="26"/>
        <v>#DIV/0!</v>
      </c>
      <c r="EO11" s="884">
        <f t="shared" si="27"/>
        <v>0</v>
      </c>
      <c r="EP11" s="176"/>
      <c r="EQ11" s="176"/>
      <c r="ER11" s="176"/>
      <c r="ES11" s="176"/>
      <c r="ET11" s="176"/>
      <c r="EU11" s="186"/>
      <c r="EV11" s="176"/>
      <c r="EW11" s="177" t="b">
        <v>0</v>
      </c>
      <c r="EX11" s="177" t="b">
        <v>0</v>
      </c>
      <c r="EY11" s="439" t="e">
        <f t="shared" si="28"/>
        <v>#DIV/0!</v>
      </c>
      <c r="EZ11" s="439" t="e">
        <f t="shared" si="29"/>
        <v>#DIV/0!</v>
      </c>
    </row>
    <row r="12" spans="1:156" ht="15" customHeight="1">
      <c r="C12" s="421" t="s">
        <v>910</v>
      </c>
      <c r="D12" s="357">
        <v>1450022</v>
      </c>
      <c r="E12" s="357">
        <v>60</v>
      </c>
      <c r="F12" s="357">
        <v>27873</v>
      </c>
      <c r="G12" s="357"/>
      <c r="H12" s="357" t="s">
        <v>911</v>
      </c>
      <c r="I12" s="357" t="s">
        <v>912</v>
      </c>
      <c r="J12" s="357" t="s">
        <v>913</v>
      </c>
      <c r="K12" s="426">
        <v>27873</v>
      </c>
      <c r="L12" s="426"/>
      <c r="M12" s="357"/>
      <c r="N12" s="357"/>
      <c r="O12" s="429">
        <v>117</v>
      </c>
      <c r="P12" s="358"/>
      <c r="Q12" s="401">
        <v>33050.65</v>
      </c>
      <c r="R12" s="401"/>
      <c r="S12" s="358"/>
      <c r="T12" s="402">
        <f t="shared" si="31"/>
        <v>33050.65</v>
      </c>
      <c r="U12" s="403">
        <v>1550</v>
      </c>
      <c r="V12" s="404">
        <v>46062</v>
      </c>
      <c r="W12" s="405" t="s">
        <v>914</v>
      </c>
      <c r="X12" s="144">
        <f t="shared" si="0"/>
        <v>31984.5</v>
      </c>
      <c r="Y12" s="406"/>
      <c r="Z12" s="406"/>
      <c r="AA12" s="406">
        <v>31984.5</v>
      </c>
      <c r="AB12" s="148">
        <v>1500</v>
      </c>
      <c r="AC12" s="407">
        <v>46085</v>
      </c>
      <c r="AD12" s="148" t="s">
        <v>915</v>
      </c>
      <c r="AE12" s="164" t="b">
        <v>1</v>
      </c>
      <c r="AF12" s="164" t="b">
        <v>1</v>
      </c>
      <c r="AG12" s="408">
        <f t="shared" si="1"/>
        <v>-3.2258064516129031E-2</v>
      </c>
      <c r="AH12" s="409">
        <f>(X12-Q12)/Q12</f>
        <v>-3.2258064516129073E-2</v>
      </c>
      <c r="AI12" s="371">
        <v>30918.35</v>
      </c>
      <c r="AJ12" s="364">
        <v>0</v>
      </c>
      <c r="AK12" s="364">
        <v>0</v>
      </c>
      <c r="AL12" s="364">
        <v>30918.35</v>
      </c>
      <c r="AM12" s="148">
        <v>1450</v>
      </c>
      <c r="AN12" s="407">
        <v>46118</v>
      </c>
      <c r="AO12" s="148" t="s">
        <v>916</v>
      </c>
      <c r="AP12" s="164" t="b">
        <v>1</v>
      </c>
      <c r="AQ12" s="164" t="b">
        <v>1</v>
      </c>
      <c r="AR12" s="438">
        <f t="shared" si="2"/>
        <v>-3.3333333333333333E-2</v>
      </c>
      <c r="AS12" s="438">
        <f t="shared" si="3"/>
        <v>-3.3333333333333381E-2</v>
      </c>
      <c r="AT12" s="402">
        <f t="shared" si="32"/>
        <v>0</v>
      </c>
      <c r="AU12" s="402"/>
      <c r="AV12" s="402"/>
      <c r="AW12" s="402"/>
      <c r="AX12" s="148"/>
      <c r="AY12" s="407">
        <v>46148</v>
      </c>
      <c r="AZ12" s="148"/>
      <c r="BA12" s="164" t="b">
        <v>0</v>
      </c>
      <c r="BB12" s="164" t="b">
        <v>0</v>
      </c>
      <c r="BC12" s="438">
        <f t="shared" si="4"/>
        <v>-1</v>
      </c>
      <c r="BD12" s="438">
        <f t="shared" si="5"/>
        <v>-1</v>
      </c>
      <c r="BE12" s="364">
        <f t="shared" si="6"/>
        <v>0</v>
      </c>
      <c r="BF12" s="364"/>
      <c r="BG12" s="364"/>
      <c r="BH12" s="364"/>
      <c r="BI12" s="148"/>
      <c r="BJ12" s="1196">
        <v>46179</v>
      </c>
      <c r="BK12" s="148"/>
      <c r="BL12" s="164" t="b">
        <v>0</v>
      </c>
      <c r="BM12" s="164" t="b">
        <v>0</v>
      </c>
      <c r="BN12" s="357" t="e">
        <f t="shared" si="7"/>
        <v>#DIV/0!</v>
      </c>
      <c r="BO12" s="357" t="e">
        <f t="shared" si="8"/>
        <v>#DIV/0!</v>
      </c>
      <c r="BP12" s="401">
        <f t="shared" si="9"/>
        <v>0</v>
      </c>
      <c r="BQ12" s="358"/>
      <c r="BR12" s="358"/>
      <c r="BS12" s="358"/>
      <c r="BT12" s="358"/>
      <c r="BU12" s="1196">
        <v>46209</v>
      </c>
      <c r="BV12" s="358"/>
      <c r="BW12" s="164" t="b">
        <v>0</v>
      </c>
      <c r="BX12" s="164" t="b">
        <v>0</v>
      </c>
      <c r="BY12" s="438" t="e">
        <f t="shared" si="10"/>
        <v>#DIV/0!</v>
      </c>
      <c r="BZ12" s="438" t="e">
        <f t="shared" si="11"/>
        <v>#DIV/0!</v>
      </c>
      <c r="CA12" s="401">
        <f t="shared" si="12"/>
        <v>0</v>
      </c>
      <c r="CB12" s="358"/>
      <c r="CC12" s="358"/>
      <c r="CD12" s="358"/>
      <c r="CE12" s="358"/>
      <c r="CF12" s="404"/>
      <c r="CG12" s="358"/>
      <c r="CH12" s="164" t="b">
        <v>0</v>
      </c>
      <c r="CI12" s="164" t="b">
        <v>0</v>
      </c>
      <c r="CJ12" s="438" t="e">
        <f t="shared" si="13"/>
        <v>#DIV/0!</v>
      </c>
      <c r="CK12" s="438" t="e">
        <f t="shared" si="14"/>
        <v>#DIV/0!</v>
      </c>
      <c r="CL12" s="401">
        <f t="shared" si="15"/>
        <v>0</v>
      </c>
      <c r="CM12" s="358"/>
      <c r="CN12" s="358"/>
      <c r="CO12" s="358"/>
      <c r="CP12" s="358"/>
      <c r="CQ12" s="404"/>
      <c r="CR12" s="358"/>
      <c r="CS12" s="164" t="b">
        <v>0</v>
      </c>
      <c r="CT12" s="164" t="b">
        <v>0</v>
      </c>
      <c r="CU12" s="358" t="e">
        <f t="shared" si="16"/>
        <v>#DIV/0!</v>
      </c>
      <c r="CV12" s="358" t="e">
        <f t="shared" si="17"/>
        <v>#DIV/0!</v>
      </c>
      <c r="CW12" s="401">
        <f t="shared" si="18"/>
        <v>0</v>
      </c>
      <c r="CX12" s="358"/>
      <c r="CY12" s="358"/>
      <c r="CZ12" s="358"/>
      <c r="DA12" s="358"/>
      <c r="DB12" s="404"/>
      <c r="DC12" s="358"/>
      <c r="DD12" s="164" t="b">
        <v>0</v>
      </c>
      <c r="DE12" s="164" t="b">
        <v>0</v>
      </c>
      <c r="DF12" s="438" t="e">
        <f t="shared" si="19"/>
        <v>#DIV/0!</v>
      </c>
      <c r="DG12" s="438" t="e">
        <f t="shared" si="20"/>
        <v>#DIV/0!</v>
      </c>
      <c r="DH12" s="401">
        <f t="shared" si="21"/>
        <v>0</v>
      </c>
      <c r="DI12" s="358"/>
      <c r="DJ12" s="358"/>
      <c r="DK12" s="358"/>
      <c r="DL12" s="358"/>
      <c r="DM12" s="358"/>
      <c r="DN12" s="404"/>
      <c r="DO12" s="358"/>
      <c r="DP12" s="164" t="b">
        <v>0</v>
      </c>
      <c r="DQ12" s="164" t="b">
        <v>0</v>
      </c>
      <c r="DR12" s="438" t="e">
        <f t="shared" si="22"/>
        <v>#DIV/0!</v>
      </c>
      <c r="DS12" s="883">
        <f t="shared" si="23"/>
        <v>0</v>
      </c>
      <c r="DT12" s="358"/>
      <c r="DU12" s="358"/>
      <c r="DV12" s="358"/>
      <c r="DW12" s="358"/>
      <c r="DX12" s="358"/>
      <c r="DY12" s="404"/>
      <c r="DZ12" s="358"/>
      <c r="EA12" s="164" t="b">
        <v>0</v>
      </c>
      <c r="EB12" s="164" t="b">
        <v>0</v>
      </c>
      <c r="EC12" s="438" t="e">
        <f t="shared" si="24"/>
        <v>#DIV/0!</v>
      </c>
      <c r="ED12" s="883">
        <f t="shared" si="25"/>
        <v>0</v>
      </c>
      <c r="EE12" s="358"/>
      <c r="EF12" s="358"/>
      <c r="EG12" s="358"/>
      <c r="EH12" s="358"/>
      <c r="EI12" s="358"/>
      <c r="EJ12" s="404"/>
      <c r="EK12" s="358"/>
      <c r="EL12" s="164" t="b">
        <v>0</v>
      </c>
      <c r="EM12" s="164" t="b">
        <v>0</v>
      </c>
      <c r="EN12" s="438" t="e">
        <f t="shared" si="26"/>
        <v>#DIV/0!</v>
      </c>
      <c r="EO12" s="883">
        <f t="shared" si="27"/>
        <v>0</v>
      </c>
      <c r="EP12" s="358"/>
      <c r="EQ12" s="358"/>
      <c r="ER12" s="358"/>
      <c r="ES12" s="358"/>
      <c r="ET12" s="358"/>
      <c r="EU12" s="404"/>
      <c r="EV12" s="358"/>
      <c r="EW12" s="164" t="b">
        <v>0</v>
      </c>
      <c r="EX12" s="164" t="b">
        <v>0</v>
      </c>
      <c r="EY12" s="438" t="e">
        <f t="shared" si="28"/>
        <v>#DIV/0!</v>
      </c>
      <c r="EZ12" s="438" t="e">
        <f t="shared" si="29"/>
        <v>#DIV/0!</v>
      </c>
    </row>
    <row r="13" spans="1:156" ht="15" customHeight="1">
      <c r="C13" s="197" t="s">
        <v>917</v>
      </c>
      <c r="D13" s="154">
        <v>1450022</v>
      </c>
      <c r="E13" s="154">
        <v>129</v>
      </c>
      <c r="F13" s="154" t="s">
        <v>918</v>
      </c>
      <c r="G13" s="154" t="s">
        <v>919</v>
      </c>
      <c r="H13" s="154" t="s">
        <v>920</v>
      </c>
      <c r="I13" s="154" t="s">
        <v>921</v>
      </c>
      <c r="J13" s="154" t="s">
        <v>922</v>
      </c>
      <c r="K13" s="255" t="s">
        <v>918</v>
      </c>
      <c r="L13" s="255" t="s">
        <v>923</v>
      </c>
      <c r="M13" s="154"/>
      <c r="N13" s="154"/>
      <c r="O13" s="434">
        <v>126</v>
      </c>
      <c r="P13" s="154"/>
      <c r="Q13" s="348">
        <v>214160.26</v>
      </c>
      <c r="R13" s="348"/>
      <c r="S13" s="176"/>
      <c r="T13" s="203">
        <f t="shared" si="31"/>
        <v>214160.26</v>
      </c>
      <c r="U13" s="378">
        <v>16971</v>
      </c>
      <c r="V13" s="186">
        <v>46063</v>
      </c>
      <c r="W13" s="383" t="s">
        <v>924</v>
      </c>
      <c r="X13" s="144">
        <f t="shared" si="0"/>
        <v>165881.01999999999</v>
      </c>
      <c r="Y13" s="170">
        <v>0</v>
      </c>
      <c r="Z13" s="170">
        <v>0</v>
      </c>
      <c r="AA13" s="170">
        <v>165881.01999999999</v>
      </c>
      <c r="AB13" s="171">
        <v>13152</v>
      </c>
      <c r="AC13" s="172">
        <v>46091</v>
      </c>
      <c r="AD13" s="171" t="s">
        <v>925</v>
      </c>
      <c r="AE13" s="177" t="b">
        <v>1</v>
      </c>
      <c r="AF13" s="177" t="b">
        <v>1</v>
      </c>
      <c r="AG13" s="410">
        <f t="shared" si="1"/>
        <v>-0.22503093512462435</v>
      </c>
      <c r="AH13" s="392">
        <f>(X13-Q13)/Q13</f>
        <v>-0.22543510173175929</v>
      </c>
      <c r="AI13" s="455">
        <v>157120.24</v>
      </c>
      <c r="AJ13" s="368">
        <v>0</v>
      </c>
      <c r="AK13" s="368">
        <v>0</v>
      </c>
      <c r="AL13" s="368">
        <v>157120.24</v>
      </c>
      <c r="AM13" s="171">
        <v>12459</v>
      </c>
      <c r="AN13" s="172">
        <v>46122</v>
      </c>
      <c r="AO13" s="171" t="s">
        <v>926</v>
      </c>
      <c r="AP13" s="177" t="b">
        <v>1</v>
      </c>
      <c r="AQ13" s="177" t="b">
        <v>1</v>
      </c>
      <c r="AR13" s="439">
        <f t="shared" si="2"/>
        <v>-5.269160583941606E-2</v>
      </c>
      <c r="AS13" s="439">
        <f t="shared" si="3"/>
        <v>-5.2813637147878637E-2</v>
      </c>
      <c r="AT13" s="203">
        <f t="shared" si="32"/>
        <v>0</v>
      </c>
      <c r="AU13" s="203"/>
      <c r="AV13" s="203"/>
      <c r="AW13" s="203"/>
      <c r="AX13" s="171"/>
      <c r="AY13" s="172">
        <v>46152</v>
      </c>
      <c r="AZ13" s="171"/>
      <c r="BA13" s="177" t="b">
        <v>0</v>
      </c>
      <c r="BB13" s="177" t="b">
        <v>0</v>
      </c>
      <c r="BC13" s="439">
        <f t="shared" si="4"/>
        <v>-1</v>
      </c>
      <c r="BD13" s="439">
        <f t="shared" si="5"/>
        <v>-1</v>
      </c>
      <c r="BE13" s="368">
        <f t="shared" si="6"/>
        <v>0</v>
      </c>
      <c r="BF13" s="368"/>
      <c r="BG13" s="368"/>
      <c r="BH13" s="368"/>
      <c r="BI13" s="171"/>
      <c r="BJ13" s="1197">
        <v>46183</v>
      </c>
      <c r="BK13" s="171"/>
      <c r="BL13" s="177" t="b">
        <v>0</v>
      </c>
      <c r="BM13" s="177" t="b">
        <v>0</v>
      </c>
      <c r="BN13" s="154" t="e">
        <f t="shared" si="7"/>
        <v>#DIV/0!</v>
      </c>
      <c r="BO13" s="154" t="e">
        <f t="shared" si="8"/>
        <v>#DIV/0!</v>
      </c>
      <c r="BP13" s="348">
        <f t="shared" si="9"/>
        <v>0</v>
      </c>
      <c r="BQ13" s="176"/>
      <c r="BR13" s="176"/>
      <c r="BS13" s="176"/>
      <c r="BT13" s="176"/>
      <c r="BU13" s="1197">
        <v>46213</v>
      </c>
      <c r="BV13" s="176"/>
      <c r="BW13" s="177" t="b">
        <v>0</v>
      </c>
      <c r="BX13" s="177" t="b">
        <v>0</v>
      </c>
      <c r="BY13" s="439" t="e">
        <f t="shared" si="10"/>
        <v>#DIV/0!</v>
      </c>
      <c r="BZ13" s="439" t="e">
        <f t="shared" si="11"/>
        <v>#DIV/0!</v>
      </c>
      <c r="CA13" s="348">
        <f t="shared" si="12"/>
        <v>0</v>
      </c>
      <c r="CB13" s="176"/>
      <c r="CC13" s="176"/>
      <c r="CD13" s="176"/>
      <c r="CE13" s="176"/>
      <c r="CF13" s="186"/>
      <c r="CG13" s="176"/>
      <c r="CH13" s="177" t="b">
        <v>0</v>
      </c>
      <c r="CI13" s="177" t="b">
        <v>0</v>
      </c>
      <c r="CJ13" s="439" t="e">
        <f t="shared" si="13"/>
        <v>#DIV/0!</v>
      </c>
      <c r="CK13" s="439" t="e">
        <f t="shared" si="14"/>
        <v>#DIV/0!</v>
      </c>
      <c r="CL13" s="348">
        <f t="shared" si="15"/>
        <v>0</v>
      </c>
      <c r="CM13" s="176"/>
      <c r="CN13" s="176"/>
      <c r="CO13" s="176"/>
      <c r="CP13" s="176"/>
      <c r="CQ13" s="186"/>
      <c r="CR13" s="176"/>
      <c r="CS13" s="177" t="b">
        <v>0</v>
      </c>
      <c r="CT13" s="177" t="b">
        <v>0</v>
      </c>
      <c r="CU13" s="176" t="e">
        <f t="shared" si="16"/>
        <v>#DIV/0!</v>
      </c>
      <c r="CV13" s="176" t="e">
        <f t="shared" si="17"/>
        <v>#DIV/0!</v>
      </c>
      <c r="CW13" s="348">
        <f t="shared" si="18"/>
        <v>0</v>
      </c>
      <c r="CX13" s="176"/>
      <c r="CY13" s="176"/>
      <c r="CZ13" s="176"/>
      <c r="DA13" s="176"/>
      <c r="DB13" s="186"/>
      <c r="DC13" s="176"/>
      <c r="DD13" s="177" t="b">
        <v>0</v>
      </c>
      <c r="DE13" s="177" t="b">
        <v>0</v>
      </c>
      <c r="DF13" s="439" t="e">
        <f t="shared" si="19"/>
        <v>#DIV/0!</v>
      </c>
      <c r="DG13" s="439" t="e">
        <f t="shared" si="20"/>
        <v>#DIV/0!</v>
      </c>
      <c r="DH13" s="348">
        <f t="shared" si="21"/>
        <v>0</v>
      </c>
      <c r="DI13" s="176"/>
      <c r="DJ13" s="176"/>
      <c r="DK13" s="176"/>
      <c r="DL13" s="176"/>
      <c r="DM13" s="176"/>
      <c r="DN13" s="186"/>
      <c r="DO13" s="176"/>
      <c r="DP13" s="177" t="b">
        <v>0</v>
      </c>
      <c r="DQ13" s="177" t="b">
        <v>0</v>
      </c>
      <c r="DR13" s="439" t="e">
        <f t="shared" si="22"/>
        <v>#DIV/0!</v>
      </c>
      <c r="DS13" s="884">
        <f t="shared" si="23"/>
        <v>0</v>
      </c>
      <c r="DT13" s="176"/>
      <c r="DU13" s="176"/>
      <c r="DV13" s="176"/>
      <c r="DW13" s="176"/>
      <c r="DX13" s="176"/>
      <c r="DY13" s="186"/>
      <c r="DZ13" s="176"/>
      <c r="EA13" s="177" t="b">
        <v>0</v>
      </c>
      <c r="EB13" s="177" t="b">
        <v>0</v>
      </c>
      <c r="EC13" s="439" t="e">
        <f t="shared" si="24"/>
        <v>#DIV/0!</v>
      </c>
      <c r="ED13" s="884">
        <f t="shared" si="25"/>
        <v>0</v>
      </c>
      <c r="EE13" s="176"/>
      <c r="EF13" s="176"/>
      <c r="EG13" s="176"/>
      <c r="EH13" s="176"/>
      <c r="EI13" s="176"/>
      <c r="EJ13" s="186"/>
      <c r="EK13" s="176"/>
      <c r="EL13" s="177" t="b">
        <v>0</v>
      </c>
      <c r="EM13" s="177" t="b">
        <v>0</v>
      </c>
      <c r="EN13" s="439" t="e">
        <f t="shared" si="26"/>
        <v>#DIV/0!</v>
      </c>
      <c r="EO13" s="884">
        <f t="shared" si="27"/>
        <v>0</v>
      </c>
      <c r="EP13" s="176"/>
      <c r="EQ13" s="176"/>
      <c r="ER13" s="176"/>
      <c r="ES13" s="176"/>
      <c r="ET13" s="176"/>
      <c r="EU13" s="186"/>
      <c r="EV13" s="176"/>
      <c r="EW13" s="177" t="b">
        <v>0</v>
      </c>
      <c r="EX13" s="177" t="b">
        <v>0</v>
      </c>
      <c r="EY13" s="439" t="e">
        <f t="shared" si="28"/>
        <v>#DIV/0!</v>
      </c>
      <c r="EZ13" s="439" t="e">
        <f t="shared" si="29"/>
        <v>#DIV/0!</v>
      </c>
    </row>
    <row r="14" spans="1:156" ht="15" customHeight="1">
      <c r="C14" s="421" t="s">
        <v>927</v>
      </c>
      <c r="D14" s="357">
        <v>1450022</v>
      </c>
      <c r="E14" s="357">
        <v>31</v>
      </c>
      <c r="F14" s="357" t="s">
        <v>928</v>
      </c>
      <c r="G14" s="357"/>
      <c r="H14" s="357" t="s">
        <v>929</v>
      </c>
      <c r="I14" s="357" t="s">
        <v>930</v>
      </c>
      <c r="J14" s="357" t="s">
        <v>931</v>
      </c>
      <c r="K14" s="426" t="s">
        <v>928</v>
      </c>
      <c r="L14" s="426"/>
      <c r="M14" s="357"/>
      <c r="N14" s="357"/>
      <c r="O14" s="429">
        <v>116</v>
      </c>
      <c r="P14" s="358"/>
      <c r="Q14" s="401">
        <v>168318.38</v>
      </c>
      <c r="R14" s="401">
        <v>8079.28</v>
      </c>
      <c r="S14" s="422"/>
      <c r="T14" s="402">
        <f t="shared" si="31"/>
        <v>160239.1</v>
      </c>
      <c r="U14" s="403">
        <v>3100</v>
      </c>
      <c r="V14" s="404">
        <v>46052</v>
      </c>
      <c r="W14" s="423" t="s">
        <v>932</v>
      </c>
      <c r="X14" s="144">
        <f t="shared" si="0"/>
        <v>168318.38</v>
      </c>
      <c r="Y14" s="406">
        <v>8079.28</v>
      </c>
      <c r="Z14" s="406"/>
      <c r="AA14" s="406">
        <v>160239.1</v>
      </c>
      <c r="AB14" s="148">
        <v>3100</v>
      </c>
      <c r="AC14" s="407">
        <v>46080</v>
      </c>
      <c r="AD14" s="148" t="s">
        <v>933</v>
      </c>
      <c r="AE14" s="164" t="b">
        <v>1</v>
      </c>
      <c r="AF14" s="164" t="b">
        <v>1</v>
      </c>
      <c r="AG14" s="408">
        <f t="shared" si="1"/>
        <v>0</v>
      </c>
      <c r="AH14" s="409">
        <f>(X14-Q14)/Q14</f>
        <v>0</v>
      </c>
      <c r="AI14" s="1096">
        <f t="shared" si="30"/>
        <v>152029.5</v>
      </c>
      <c r="AJ14" s="364">
        <v>7297.42</v>
      </c>
      <c r="AK14" s="364">
        <v>0</v>
      </c>
      <c r="AL14" s="364">
        <v>144732.07999999999</v>
      </c>
      <c r="AM14" s="148">
        <v>2800</v>
      </c>
      <c r="AN14" s="407">
        <v>46111</v>
      </c>
      <c r="AO14" s="148" t="s">
        <v>934</v>
      </c>
      <c r="AP14" s="164" t="b">
        <v>1</v>
      </c>
      <c r="AQ14" s="164" t="b">
        <v>1</v>
      </c>
      <c r="AR14" s="409">
        <f t="shared" si="2"/>
        <v>-9.6774193548387094E-2</v>
      </c>
      <c r="AS14" s="409">
        <f t="shared" si="3"/>
        <v>-9.6774220379259854E-2</v>
      </c>
      <c r="AT14" s="364">
        <f t="shared" si="32"/>
        <v>0</v>
      </c>
      <c r="AU14" s="364"/>
      <c r="AV14" s="364"/>
      <c r="AW14" s="364"/>
      <c r="AX14" s="148"/>
      <c r="AY14" s="926">
        <v>46142</v>
      </c>
      <c r="AZ14" s="148"/>
      <c r="BA14" s="164" t="b">
        <v>0</v>
      </c>
      <c r="BB14" s="164" t="b">
        <v>0</v>
      </c>
      <c r="BC14" s="409">
        <f t="shared" si="4"/>
        <v>-1</v>
      </c>
      <c r="BD14" s="409">
        <f t="shared" si="5"/>
        <v>-1</v>
      </c>
      <c r="BE14" s="364">
        <f t="shared" si="6"/>
        <v>0</v>
      </c>
      <c r="BF14" s="364"/>
      <c r="BG14" s="364"/>
      <c r="BH14" s="364"/>
      <c r="BI14" s="148"/>
      <c r="BJ14" s="407">
        <v>46172</v>
      </c>
      <c r="BK14" s="148"/>
      <c r="BL14" s="164" t="b">
        <v>0</v>
      </c>
      <c r="BM14" s="164" t="b">
        <v>0</v>
      </c>
      <c r="BN14" s="148" t="e">
        <f t="shared" si="7"/>
        <v>#DIV/0!</v>
      </c>
      <c r="BO14" s="148" t="e">
        <f t="shared" si="8"/>
        <v>#DIV/0!</v>
      </c>
      <c r="BP14" s="406">
        <f t="shared" si="9"/>
        <v>0</v>
      </c>
      <c r="BQ14" s="148"/>
      <c r="BR14" s="148"/>
      <c r="BS14" s="148"/>
      <c r="BT14" s="148"/>
      <c r="BU14" s="407">
        <v>46203</v>
      </c>
      <c r="BV14" s="148"/>
      <c r="BW14" s="164" t="b">
        <v>0</v>
      </c>
      <c r="BX14" s="164" t="b">
        <v>0</v>
      </c>
      <c r="BY14" s="409" t="e">
        <f t="shared" si="10"/>
        <v>#DIV/0!</v>
      </c>
      <c r="BZ14" s="409" t="e">
        <f t="shared" si="11"/>
        <v>#DIV/0!</v>
      </c>
      <c r="CA14" s="406">
        <f t="shared" si="12"/>
        <v>0</v>
      </c>
      <c r="CB14" s="148"/>
      <c r="CC14" s="148"/>
      <c r="CD14" s="148"/>
      <c r="CE14" s="148"/>
      <c r="CF14" s="407"/>
      <c r="CG14" s="148"/>
      <c r="CH14" s="164" t="b">
        <v>0</v>
      </c>
      <c r="CI14" s="164" t="b">
        <v>0</v>
      </c>
      <c r="CJ14" s="409" t="e">
        <f t="shared" si="13"/>
        <v>#DIV/0!</v>
      </c>
      <c r="CK14" s="409" t="e">
        <f t="shared" si="14"/>
        <v>#DIV/0!</v>
      </c>
      <c r="CL14" s="406">
        <f t="shared" si="15"/>
        <v>0</v>
      </c>
      <c r="CM14" s="148"/>
      <c r="CN14" s="148"/>
      <c r="CO14" s="148"/>
      <c r="CP14" s="148"/>
      <c r="CQ14" s="407"/>
      <c r="CR14" s="148"/>
      <c r="CS14" s="164" t="b">
        <v>0</v>
      </c>
      <c r="CT14" s="164" t="b">
        <v>0</v>
      </c>
      <c r="CU14" s="148" t="e">
        <f t="shared" si="16"/>
        <v>#DIV/0!</v>
      </c>
      <c r="CV14" s="148" t="e">
        <f t="shared" si="17"/>
        <v>#DIV/0!</v>
      </c>
      <c r="CW14" s="406">
        <f t="shared" si="18"/>
        <v>0</v>
      </c>
      <c r="CX14" s="148"/>
      <c r="CY14" s="148"/>
      <c r="CZ14" s="148"/>
      <c r="DA14" s="148"/>
      <c r="DB14" s="407"/>
      <c r="DC14" s="148"/>
      <c r="DD14" s="164" t="b">
        <v>0</v>
      </c>
      <c r="DE14" s="164" t="b">
        <v>0</v>
      </c>
      <c r="DF14" s="409" t="e">
        <f t="shared" si="19"/>
        <v>#DIV/0!</v>
      </c>
      <c r="DG14" s="409" t="e">
        <f t="shared" si="20"/>
        <v>#DIV/0!</v>
      </c>
      <c r="DH14" s="406">
        <f t="shared" si="21"/>
        <v>0</v>
      </c>
      <c r="DI14" s="148"/>
      <c r="DJ14" s="148"/>
      <c r="DK14" s="148"/>
      <c r="DL14" s="148"/>
      <c r="DM14" s="148"/>
      <c r="DN14" s="407"/>
      <c r="DO14" s="148"/>
      <c r="DP14" s="164" t="b">
        <v>0</v>
      </c>
      <c r="DQ14" s="164" t="b">
        <v>0</v>
      </c>
      <c r="DR14" s="409" t="e">
        <f t="shared" si="22"/>
        <v>#DIV/0!</v>
      </c>
      <c r="DS14" s="406">
        <f t="shared" si="23"/>
        <v>0</v>
      </c>
      <c r="DT14" s="148"/>
      <c r="DU14" s="148"/>
      <c r="DV14" s="148"/>
      <c r="DW14" s="148"/>
      <c r="DX14" s="148"/>
      <c r="DY14" s="407"/>
      <c r="DZ14" s="148"/>
      <c r="EA14" s="164" t="b">
        <v>0</v>
      </c>
      <c r="EB14" s="164" t="b">
        <v>0</v>
      </c>
      <c r="EC14" s="409" t="e">
        <f t="shared" si="24"/>
        <v>#DIV/0!</v>
      </c>
      <c r="ED14" s="406">
        <f t="shared" si="25"/>
        <v>0</v>
      </c>
      <c r="EE14" s="148"/>
      <c r="EF14" s="148"/>
      <c r="EG14" s="148"/>
      <c r="EH14" s="148"/>
      <c r="EI14" s="148"/>
      <c r="EJ14" s="407"/>
      <c r="EK14" s="148"/>
      <c r="EL14" s="164" t="b">
        <v>0</v>
      </c>
      <c r="EM14" s="164" t="b">
        <v>0</v>
      </c>
      <c r="EN14" s="409" t="e">
        <f t="shared" si="26"/>
        <v>#DIV/0!</v>
      </c>
      <c r="EO14" s="406">
        <f t="shared" si="27"/>
        <v>0</v>
      </c>
      <c r="EP14" s="148"/>
      <c r="EQ14" s="148"/>
      <c r="ER14" s="148"/>
      <c r="ES14" s="148"/>
      <c r="ET14" s="148"/>
      <c r="EU14" s="407"/>
      <c r="EV14" s="148"/>
      <c r="EW14" s="164" t="b">
        <v>0</v>
      </c>
      <c r="EX14" s="164" t="b">
        <v>0</v>
      </c>
      <c r="EY14" s="409" t="e">
        <f t="shared" si="28"/>
        <v>#DIV/0!</v>
      </c>
      <c r="EZ14" s="409" t="e">
        <f t="shared" si="29"/>
        <v>#DIV/0!</v>
      </c>
    </row>
    <row r="15" spans="1:156" ht="15" customHeight="1">
      <c r="C15" s="197" t="s">
        <v>935</v>
      </c>
      <c r="D15" s="154">
        <v>1450022</v>
      </c>
      <c r="E15" s="154">
        <v>41</v>
      </c>
      <c r="F15" s="154" t="s">
        <v>936</v>
      </c>
      <c r="G15" s="154" t="s">
        <v>937</v>
      </c>
      <c r="H15" s="154" t="s">
        <v>938</v>
      </c>
      <c r="I15" s="154" t="s">
        <v>939</v>
      </c>
      <c r="J15" s="154" t="s">
        <v>940</v>
      </c>
      <c r="K15" s="255" t="s">
        <v>936</v>
      </c>
      <c r="L15" s="255" t="s">
        <v>937</v>
      </c>
      <c r="M15" s="154"/>
      <c r="N15" s="154"/>
      <c r="O15" s="434">
        <v>127</v>
      </c>
      <c r="P15" s="176"/>
      <c r="Q15" s="348">
        <v>57457.75</v>
      </c>
      <c r="R15" s="348"/>
      <c r="S15" s="176"/>
      <c r="T15" s="203">
        <f t="shared" si="31"/>
        <v>57457.75</v>
      </c>
      <c r="U15" s="378">
        <v>7156</v>
      </c>
      <c r="V15" s="186">
        <v>46063</v>
      </c>
      <c r="W15" s="383" t="s">
        <v>941</v>
      </c>
      <c r="X15" s="144">
        <f t="shared" si="0"/>
        <v>54306.29</v>
      </c>
      <c r="Y15" s="170">
        <v>0</v>
      </c>
      <c r="Z15" s="170"/>
      <c r="AA15" s="170">
        <v>54306.29</v>
      </c>
      <c r="AB15" s="171">
        <v>6765</v>
      </c>
      <c r="AC15" s="172">
        <v>46091</v>
      </c>
      <c r="AD15" s="171" t="s">
        <v>942</v>
      </c>
      <c r="AE15" s="177" t="b">
        <v>1</v>
      </c>
      <c r="AF15" s="177" t="b">
        <v>1</v>
      </c>
      <c r="AG15" s="410">
        <f t="shared" si="1"/>
        <v>-5.4639463387367242E-2</v>
      </c>
      <c r="AH15" s="392">
        <f>(X15-Q15)/Q15</f>
        <v>-5.4848301578116078E-2</v>
      </c>
      <c r="AI15" s="455">
        <v>56998.33</v>
      </c>
      <c r="AJ15" s="368">
        <v>0</v>
      </c>
      <c r="AK15" s="368"/>
      <c r="AL15" s="368">
        <v>56998.33</v>
      </c>
      <c r="AM15" s="171">
        <v>7099</v>
      </c>
      <c r="AN15" s="172">
        <v>46122</v>
      </c>
      <c r="AO15" s="171" t="s">
        <v>943</v>
      </c>
      <c r="AP15" s="177" t="b">
        <v>1</v>
      </c>
      <c r="AQ15" s="177" t="b">
        <v>1</v>
      </c>
      <c r="AR15" s="392">
        <f t="shared" si="2"/>
        <v>4.9371766444937175E-2</v>
      </c>
      <c r="AS15" s="392">
        <f t="shared" si="3"/>
        <v>4.9571421652998222E-2</v>
      </c>
      <c r="AT15" s="368">
        <f t="shared" si="32"/>
        <v>0</v>
      </c>
      <c r="AU15" s="368"/>
      <c r="AV15" s="368"/>
      <c r="AW15" s="368"/>
      <c r="AX15" s="171"/>
      <c r="AY15" s="172">
        <v>46152</v>
      </c>
      <c r="AZ15" s="171"/>
      <c r="BA15" s="177" t="b">
        <v>0</v>
      </c>
      <c r="BB15" s="177" t="b">
        <v>0</v>
      </c>
      <c r="BC15" s="392">
        <f t="shared" si="4"/>
        <v>-1</v>
      </c>
      <c r="BD15" s="392">
        <f t="shared" si="5"/>
        <v>-1</v>
      </c>
      <c r="BE15" s="368">
        <f t="shared" si="6"/>
        <v>0</v>
      </c>
      <c r="BF15" s="368"/>
      <c r="BG15" s="368"/>
      <c r="BH15" s="368"/>
      <c r="BI15" s="171"/>
      <c r="BJ15" s="172">
        <v>46183</v>
      </c>
      <c r="BK15" s="171"/>
      <c r="BL15" s="177" t="b">
        <v>0</v>
      </c>
      <c r="BM15" s="177" t="b">
        <v>0</v>
      </c>
      <c r="BN15" s="171" t="e">
        <f t="shared" si="7"/>
        <v>#DIV/0!</v>
      </c>
      <c r="BO15" s="171" t="e">
        <f t="shared" si="8"/>
        <v>#DIV/0!</v>
      </c>
      <c r="BP15" s="170">
        <f t="shared" si="9"/>
        <v>0</v>
      </c>
      <c r="BQ15" s="171"/>
      <c r="BR15" s="171"/>
      <c r="BS15" s="171"/>
      <c r="BT15" s="171"/>
      <c r="BU15" s="172">
        <v>46213</v>
      </c>
      <c r="BV15" s="171"/>
      <c r="BW15" s="177" t="b">
        <v>0</v>
      </c>
      <c r="BX15" s="177" t="b">
        <v>0</v>
      </c>
      <c r="BY15" s="392" t="e">
        <f t="shared" si="10"/>
        <v>#DIV/0!</v>
      </c>
      <c r="BZ15" s="392" t="e">
        <f t="shared" si="11"/>
        <v>#DIV/0!</v>
      </c>
      <c r="CA15" s="170">
        <f t="shared" si="12"/>
        <v>0</v>
      </c>
      <c r="CB15" s="171"/>
      <c r="CC15" s="171"/>
      <c r="CD15" s="171"/>
      <c r="CE15" s="171"/>
      <c r="CF15" s="172"/>
      <c r="CG15" s="171"/>
      <c r="CH15" s="177" t="b">
        <v>0</v>
      </c>
      <c r="CI15" s="177" t="b">
        <v>0</v>
      </c>
      <c r="CJ15" s="392" t="e">
        <f t="shared" si="13"/>
        <v>#DIV/0!</v>
      </c>
      <c r="CK15" s="392" t="e">
        <f t="shared" si="14"/>
        <v>#DIV/0!</v>
      </c>
      <c r="CL15" s="170">
        <f t="shared" si="15"/>
        <v>0</v>
      </c>
      <c r="CM15" s="171"/>
      <c r="CN15" s="171"/>
      <c r="CO15" s="171"/>
      <c r="CP15" s="171"/>
      <c r="CQ15" s="172"/>
      <c r="CR15" s="171"/>
      <c r="CS15" s="177" t="b">
        <v>0</v>
      </c>
      <c r="CT15" s="177" t="b">
        <v>0</v>
      </c>
      <c r="CU15" s="171" t="e">
        <f t="shared" si="16"/>
        <v>#DIV/0!</v>
      </c>
      <c r="CV15" s="171" t="e">
        <f t="shared" si="17"/>
        <v>#DIV/0!</v>
      </c>
      <c r="CW15" s="170">
        <f t="shared" si="18"/>
        <v>0</v>
      </c>
      <c r="CX15" s="171"/>
      <c r="CY15" s="171"/>
      <c r="CZ15" s="171"/>
      <c r="DA15" s="171"/>
      <c r="DB15" s="172"/>
      <c r="DC15" s="171"/>
      <c r="DD15" s="177" t="b">
        <v>0</v>
      </c>
      <c r="DE15" s="177" t="b">
        <v>0</v>
      </c>
      <c r="DF15" s="392" t="e">
        <f t="shared" si="19"/>
        <v>#DIV/0!</v>
      </c>
      <c r="DG15" s="392" t="e">
        <f t="shared" si="20"/>
        <v>#DIV/0!</v>
      </c>
      <c r="DH15" s="170">
        <f t="shared" si="21"/>
        <v>0</v>
      </c>
      <c r="DI15" s="171"/>
      <c r="DJ15" s="171"/>
      <c r="DK15" s="171"/>
      <c r="DL15" s="171"/>
      <c r="DM15" s="171"/>
      <c r="DN15" s="172"/>
      <c r="DO15" s="171"/>
      <c r="DP15" s="177" t="b">
        <v>0</v>
      </c>
      <c r="DQ15" s="177" t="b">
        <v>0</v>
      </c>
      <c r="DR15" s="392" t="e">
        <f t="shared" si="22"/>
        <v>#DIV/0!</v>
      </c>
      <c r="DS15" s="170">
        <f t="shared" si="23"/>
        <v>0</v>
      </c>
      <c r="DT15" s="171"/>
      <c r="DU15" s="171"/>
      <c r="DV15" s="171"/>
      <c r="DW15" s="171"/>
      <c r="DX15" s="171"/>
      <c r="DY15" s="172"/>
      <c r="DZ15" s="171"/>
      <c r="EA15" s="177" t="b">
        <v>0</v>
      </c>
      <c r="EB15" s="177" t="b">
        <v>0</v>
      </c>
      <c r="EC15" s="392" t="e">
        <f t="shared" si="24"/>
        <v>#DIV/0!</v>
      </c>
      <c r="ED15" s="170">
        <f t="shared" si="25"/>
        <v>0</v>
      </c>
      <c r="EE15" s="171"/>
      <c r="EF15" s="171"/>
      <c r="EG15" s="171"/>
      <c r="EH15" s="171"/>
      <c r="EI15" s="171"/>
      <c r="EJ15" s="172"/>
      <c r="EK15" s="171"/>
      <c r="EL15" s="177" t="b">
        <v>0</v>
      </c>
      <c r="EM15" s="177" t="b">
        <v>0</v>
      </c>
      <c r="EN15" s="392" t="e">
        <f t="shared" si="26"/>
        <v>#DIV/0!</v>
      </c>
      <c r="EO15" s="170">
        <f t="shared" si="27"/>
        <v>0</v>
      </c>
      <c r="EP15" s="171"/>
      <c r="EQ15" s="171"/>
      <c r="ER15" s="171"/>
      <c r="ES15" s="171"/>
      <c r="ET15" s="171"/>
      <c r="EU15" s="172"/>
      <c r="EV15" s="171"/>
      <c r="EW15" s="177" t="b">
        <v>0</v>
      </c>
      <c r="EX15" s="177" t="b">
        <v>0</v>
      </c>
      <c r="EY15" s="392" t="e">
        <f t="shared" si="28"/>
        <v>#DIV/0!</v>
      </c>
      <c r="EZ15" s="392" t="e">
        <f t="shared" si="29"/>
        <v>#DIV/0!</v>
      </c>
    </row>
    <row r="16" spans="1:156" ht="15" customHeight="1">
      <c r="C16" s="400" t="s">
        <v>944</v>
      </c>
      <c r="D16" s="357">
        <v>1450022</v>
      </c>
      <c r="E16" s="357">
        <v>218</v>
      </c>
      <c r="F16" s="357" t="s">
        <v>945</v>
      </c>
      <c r="G16" s="357" t="s">
        <v>946</v>
      </c>
      <c r="H16" s="357" t="s">
        <v>947</v>
      </c>
      <c r="I16" s="357" t="s">
        <v>948</v>
      </c>
      <c r="J16" s="357" t="s">
        <v>949</v>
      </c>
      <c r="K16" s="426" t="s">
        <v>945</v>
      </c>
      <c r="L16" s="426" t="s">
        <v>950</v>
      </c>
      <c r="M16" s="357"/>
      <c r="N16" s="357"/>
      <c r="O16" s="429">
        <v>25</v>
      </c>
      <c r="P16" s="433">
        <v>181</v>
      </c>
      <c r="Q16" s="401">
        <v>20275.97</v>
      </c>
      <c r="R16" s="401"/>
      <c r="S16" s="358"/>
      <c r="T16" s="402">
        <f t="shared" si="31"/>
        <v>20275.97</v>
      </c>
      <c r="U16" s="403">
        <v>1472</v>
      </c>
      <c r="V16" s="404">
        <v>46032</v>
      </c>
      <c r="W16" s="405" t="s">
        <v>951</v>
      </c>
      <c r="X16" s="144">
        <f t="shared" si="0"/>
        <v>21829.48</v>
      </c>
      <c r="Y16" s="406"/>
      <c r="Z16" s="406"/>
      <c r="AA16" s="406">
        <v>21829.48</v>
      </c>
      <c r="AB16" s="148">
        <v>1583</v>
      </c>
      <c r="AC16" s="407">
        <v>46063</v>
      </c>
      <c r="AD16" s="148" t="s">
        <v>952</v>
      </c>
      <c r="AE16" s="164" t="b">
        <v>1</v>
      </c>
      <c r="AF16" s="164" t="b">
        <v>1</v>
      </c>
      <c r="AG16" s="408">
        <f t="shared" si="1"/>
        <v>7.5407608695652176E-2</v>
      </c>
      <c r="AH16" s="409">
        <f>(X16-Q16)/Q16</f>
        <v>7.6618282627168924E-2</v>
      </c>
      <c r="AI16" s="1096">
        <f t="shared" si="30"/>
        <v>21941.439999999999</v>
      </c>
      <c r="AJ16" s="364"/>
      <c r="AK16" s="364"/>
      <c r="AL16" s="364">
        <v>21941.439999999999</v>
      </c>
      <c r="AM16" s="148">
        <v>1591</v>
      </c>
      <c r="AN16" s="407">
        <v>46091</v>
      </c>
      <c r="AO16" s="424" t="s">
        <v>953</v>
      </c>
      <c r="AP16" s="164" t="b">
        <v>1</v>
      </c>
      <c r="AQ16" s="164" t="b">
        <v>1</v>
      </c>
      <c r="AR16" s="438">
        <f t="shared" si="2"/>
        <v>5.0536955148452302E-3</v>
      </c>
      <c r="AS16" s="438">
        <f t="shared" si="3"/>
        <v>5.1288441135564902E-3</v>
      </c>
      <c r="AT16" s="402">
        <v>23929.360000000001</v>
      </c>
      <c r="AU16" s="402">
        <v>0</v>
      </c>
      <c r="AV16" s="402">
        <v>14.55</v>
      </c>
      <c r="AW16" s="402">
        <v>23914.81</v>
      </c>
      <c r="AX16" s="148">
        <v>1732</v>
      </c>
      <c r="AY16" s="407">
        <v>46122</v>
      </c>
      <c r="AZ16" s="148" t="s">
        <v>954</v>
      </c>
      <c r="BA16" s="164" t="b">
        <v>1</v>
      </c>
      <c r="BB16" s="164" t="b">
        <v>1</v>
      </c>
      <c r="BC16" s="438">
        <f t="shared" si="4"/>
        <v>8.8623507228158385E-2</v>
      </c>
      <c r="BD16" s="438">
        <f t="shared" si="5"/>
        <v>8.993803506059779E-2</v>
      </c>
      <c r="BE16" s="364">
        <f t="shared" si="6"/>
        <v>0</v>
      </c>
      <c r="BF16" s="364"/>
      <c r="BG16" s="364"/>
      <c r="BH16" s="364"/>
      <c r="BI16" s="148"/>
      <c r="BJ16" s="1196">
        <v>46152</v>
      </c>
      <c r="BK16" s="148"/>
      <c r="BL16" s="164" t="b">
        <v>0</v>
      </c>
      <c r="BM16" s="164" t="b">
        <v>0</v>
      </c>
      <c r="BN16" s="357">
        <f t="shared" si="7"/>
        <v>-1</v>
      </c>
      <c r="BO16" s="357">
        <f t="shared" si="8"/>
        <v>-1</v>
      </c>
      <c r="BP16" s="401">
        <f t="shared" si="9"/>
        <v>0</v>
      </c>
      <c r="BQ16" s="358"/>
      <c r="BR16" s="358"/>
      <c r="BS16" s="358"/>
      <c r="BT16" s="358"/>
      <c r="BU16" s="1196">
        <v>46183</v>
      </c>
      <c r="BV16" s="358"/>
      <c r="BW16" s="164" t="b">
        <v>0</v>
      </c>
      <c r="BX16" s="164" t="b">
        <v>0</v>
      </c>
      <c r="BY16" s="438" t="e">
        <f t="shared" si="10"/>
        <v>#DIV/0!</v>
      </c>
      <c r="BZ16" s="438" t="e">
        <f t="shared" si="11"/>
        <v>#DIV/0!</v>
      </c>
      <c r="CA16" s="401">
        <f t="shared" si="12"/>
        <v>0</v>
      </c>
      <c r="CB16" s="358"/>
      <c r="CC16" s="358"/>
      <c r="CD16" s="358"/>
      <c r="CE16" s="358"/>
      <c r="CF16" s="404"/>
      <c r="CG16" s="358"/>
      <c r="CH16" s="164" t="b">
        <v>0</v>
      </c>
      <c r="CI16" s="164" t="b">
        <v>0</v>
      </c>
      <c r="CJ16" s="438" t="e">
        <f t="shared" si="13"/>
        <v>#DIV/0!</v>
      </c>
      <c r="CK16" s="438" t="e">
        <f t="shared" si="14"/>
        <v>#DIV/0!</v>
      </c>
      <c r="CL16" s="401">
        <f t="shared" si="15"/>
        <v>0</v>
      </c>
      <c r="CM16" s="358"/>
      <c r="CN16" s="358"/>
      <c r="CO16" s="358"/>
      <c r="CP16" s="358"/>
      <c r="CQ16" s="404"/>
      <c r="CR16" s="358"/>
      <c r="CS16" s="164" t="b">
        <v>0</v>
      </c>
      <c r="CT16" s="164" t="b">
        <v>0</v>
      </c>
      <c r="CU16" s="358" t="e">
        <f t="shared" si="16"/>
        <v>#DIV/0!</v>
      </c>
      <c r="CV16" s="358" t="e">
        <f t="shared" si="17"/>
        <v>#DIV/0!</v>
      </c>
      <c r="CW16" s="401">
        <f t="shared" si="18"/>
        <v>0</v>
      </c>
      <c r="CX16" s="358"/>
      <c r="CY16" s="358"/>
      <c r="CZ16" s="358"/>
      <c r="DA16" s="358"/>
      <c r="DB16" s="404"/>
      <c r="DC16" s="358"/>
      <c r="DD16" s="164" t="b">
        <v>0</v>
      </c>
      <c r="DE16" s="164" t="b">
        <v>0</v>
      </c>
      <c r="DF16" s="438" t="e">
        <f t="shared" si="19"/>
        <v>#DIV/0!</v>
      </c>
      <c r="DG16" s="438" t="e">
        <f t="shared" si="20"/>
        <v>#DIV/0!</v>
      </c>
      <c r="DH16" s="401">
        <f t="shared" si="21"/>
        <v>0</v>
      </c>
      <c r="DI16" s="358"/>
      <c r="DJ16" s="358"/>
      <c r="DK16" s="358"/>
      <c r="DL16" s="358"/>
      <c r="DM16" s="358"/>
      <c r="DN16" s="404"/>
      <c r="DO16" s="358"/>
      <c r="DP16" s="164" t="b">
        <v>0</v>
      </c>
      <c r="DQ16" s="164" t="b">
        <v>0</v>
      </c>
      <c r="DR16" s="438" t="e">
        <f t="shared" si="22"/>
        <v>#DIV/0!</v>
      </c>
      <c r="DS16" s="883">
        <f t="shared" si="23"/>
        <v>0</v>
      </c>
      <c r="DT16" s="358"/>
      <c r="DU16" s="358"/>
      <c r="DV16" s="358"/>
      <c r="DW16" s="358"/>
      <c r="DX16" s="358"/>
      <c r="DY16" s="404"/>
      <c r="DZ16" s="358"/>
      <c r="EA16" s="164" t="b">
        <v>0</v>
      </c>
      <c r="EB16" s="164" t="b">
        <v>0</v>
      </c>
      <c r="EC16" s="438" t="e">
        <f t="shared" si="24"/>
        <v>#DIV/0!</v>
      </c>
      <c r="ED16" s="883">
        <f t="shared" si="25"/>
        <v>0</v>
      </c>
      <c r="EE16" s="358"/>
      <c r="EF16" s="358"/>
      <c r="EG16" s="358"/>
      <c r="EH16" s="358"/>
      <c r="EI16" s="358"/>
      <c r="EJ16" s="404"/>
      <c r="EK16" s="358"/>
      <c r="EL16" s="164" t="b">
        <v>0</v>
      </c>
      <c r="EM16" s="164" t="b">
        <v>0</v>
      </c>
      <c r="EN16" s="438" t="e">
        <f t="shared" si="26"/>
        <v>#DIV/0!</v>
      </c>
      <c r="EO16" s="883">
        <f t="shared" si="27"/>
        <v>0</v>
      </c>
      <c r="EP16" s="358"/>
      <c r="EQ16" s="358"/>
      <c r="ER16" s="358"/>
      <c r="ES16" s="358"/>
      <c r="ET16" s="358"/>
      <c r="EU16" s="404"/>
      <c r="EV16" s="358"/>
      <c r="EW16" s="164" t="b">
        <v>0</v>
      </c>
      <c r="EX16" s="164" t="b">
        <v>0</v>
      </c>
      <c r="EY16" s="438" t="e">
        <f t="shared" si="28"/>
        <v>#DIV/0!</v>
      </c>
      <c r="EZ16" s="438" t="e">
        <f t="shared" si="29"/>
        <v>#DIV/0!</v>
      </c>
    </row>
    <row r="17" spans="1:156" ht="15" customHeight="1">
      <c r="C17" s="195" t="s">
        <v>955</v>
      </c>
      <c r="D17" s="154">
        <v>1450022</v>
      </c>
      <c r="E17" s="154">
        <v>339</v>
      </c>
      <c r="F17" s="154" t="s">
        <v>956</v>
      </c>
      <c r="G17" s="154" t="s">
        <v>957</v>
      </c>
      <c r="H17" s="154" t="s">
        <v>947</v>
      </c>
      <c r="I17" s="154" t="s">
        <v>958</v>
      </c>
      <c r="J17" s="154" t="s">
        <v>959</v>
      </c>
      <c r="K17" s="255" t="s">
        <v>956</v>
      </c>
      <c r="L17" s="255" t="s">
        <v>960</v>
      </c>
      <c r="M17" s="154"/>
      <c r="N17" s="154"/>
      <c r="O17" s="434">
        <v>14</v>
      </c>
      <c r="P17" s="432">
        <v>170</v>
      </c>
      <c r="Q17" s="348">
        <v>10520.45</v>
      </c>
      <c r="R17" s="348"/>
      <c r="S17" s="176"/>
      <c r="T17" s="203">
        <f t="shared" si="31"/>
        <v>10520.45</v>
      </c>
      <c r="U17" s="378">
        <v>1082</v>
      </c>
      <c r="V17" s="186">
        <v>46019</v>
      </c>
      <c r="W17" s="383" t="s">
        <v>961</v>
      </c>
      <c r="X17" s="144">
        <f t="shared" si="0"/>
        <v>14146.89</v>
      </c>
      <c r="Y17" s="170"/>
      <c r="Z17" s="170"/>
      <c r="AA17" s="170">
        <v>14146.89</v>
      </c>
      <c r="AB17" s="171">
        <v>1454</v>
      </c>
      <c r="AC17" s="172">
        <v>46050</v>
      </c>
      <c r="AD17" s="171" t="s">
        <v>962</v>
      </c>
      <c r="AE17" s="177" t="b">
        <v>1</v>
      </c>
      <c r="AF17" s="177" t="b">
        <v>1</v>
      </c>
      <c r="AG17" s="410">
        <f t="shared" si="1"/>
        <v>0.34380776340110908</v>
      </c>
      <c r="AH17" s="392">
        <f>(X17-Q17)/Q17</f>
        <v>0.34470388624060744</v>
      </c>
      <c r="AI17" s="455">
        <f t="shared" si="30"/>
        <v>10920.14</v>
      </c>
      <c r="AJ17" s="368"/>
      <c r="AK17" s="368">
        <v>0</v>
      </c>
      <c r="AL17" s="368">
        <v>10920.14</v>
      </c>
      <c r="AM17" s="171">
        <v>1123</v>
      </c>
      <c r="AN17" s="172">
        <v>46083</v>
      </c>
      <c r="AO17" s="171" t="s">
        <v>963</v>
      </c>
      <c r="AP17" s="177" t="b">
        <v>1</v>
      </c>
      <c r="AQ17" s="177" t="b">
        <v>1</v>
      </c>
      <c r="AR17" s="439">
        <f t="shared" si="2"/>
        <v>-0.22764786795048142</v>
      </c>
      <c r="AS17" s="439">
        <f t="shared" si="3"/>
        <v>-0.22808900047996417</v>
      </c>
      <c r="AT17" s="203">
        <v>11550.7</v>
      </c>
      <c r="AU17" s="203">
        <v>0</v>
      </c>
      <c r="AV17" s="203">
        <v>337.94</v>
      </c>
      <c r="AW17" s="203">
        <v>11212.76</v>
      </c>
      <c r="AX17" s="171">
        <v>1153</v>
      </c>
      <c r="AY17" s="172">
        <v>46111</v>
      </c>
      <c r="AZ17" s="171" t="s">
        <v>964</v>
      </c>
      <c r="BA17" s="177" t="b">
        <v>1</v>
      </c>
      <c r="BB17" s="177" t="b">
        <v>1</v>
      </c>
      <c r="BC17" s="439">
        <f t="shared" si="4"/>
        <v>2.6714158504007122E-2</v>
      </c>
      <c r="BD17" s="439">
        <f t="shared" si="5"/>
        <v>2.6796359753629605E-2</v>
      </c>
      <c r="BE17" s="368">
        <f t="shared" si="6"/>
        <v>0</v>
      </c>
      <c r="BF17" s="368"/>
      <c r="BG17" s="368"/>
      <c r="BH17" s="368"/>
      <c r="BI17" s="171"/>
      <c r="BJ17" s="1199">
        <v>46142</v>
      </c>
      <c r="BK17" s="171"/>
      <c r="BL17" s="177" t="b">
        <v>0</v>
      </c>
      <c r="BM17" s="177" t="b">
        <v>0</v>
      </c>
      <c r="BN17" s="154">
        <f t="shared" si="7"/>
        <v>-1</v>
      </c>
      <c r="BO17" s="154">
        <f t="shared" si="8"/>
        <v>-1</v>
      </c>
      <c r="BP17" s="348">
        <f t="shared" si="9"/>
        <v>0</v>
      </c>
      <c r="BQ17" s="176"/>
      <c r="BR17" s="176"/>
      <c r="BS17" s="176"/>
      <c r="BT17" s="176"/>
      <c r="BU17" s="1197">
        <v>46172</v>
      </c>
      <c r="BV17" s="176"/>
      <c r="BW17" s="177" t="b">
        <v>0</v>
      </c>
      <c r="BX17" s="177" t="b">
        <v>0</v>
      </c>
      <c r="BY17" s="439" t="e">
        <f t="shared" si="10"/>
        <v>#DIV/0!</v>
      </c>
      <c r="BZ17" s="439" t="e">
        <f t="shared" si="11"/>
        <v>#DIV/0!</v>
      </c>
      <c r="CA17" s="348">
        <f t="shared" si="12"/>
        <v>0</v>
      </c>
      <c r="CB17" s="176"/>
      <c r="CC17" s="176"/>
      <c r="CD17" s="176"/>
      <c r="CE17" s="176"/>
      <c r="CF17" s="186"/>
      <c r="CG17" s="176"/>
      <c r="CH17" s="177" t="b">
        <v>0</v>
      </c>
      <c r="CI17" s="177" t="b">
        <v>0</v>
      </c>
      <c r="CJ17" s="439" t="e">
        <f t="shared" si="13"/>
        <v>#DIV/0!</v>
      </c>
      <c r="CK17" s="439" t="e">
        <f t="shared" si="14"/>
        <v>#DIV/0!</v>
      </c>
      <c r="CL17" s="348">
        <f t="shared" si="15"/>
        <v>0</v>
      </c>
      <c r="CM17" s="176"/>
      <c r="CN17" s="176"/>
      <c r="CO17" s="176"/>
      <c r="CP17" s="176"/>
      <c r="CQ17" s="186"/>
      <c r="CR17" s="176"/>
      <c r="CS17" s="177" t="b">
        <v>0</v>
      </c>
      <c r="CT17" s="177" t="b">
        <v>0</v>
      </c>
      <c r="CU17" s="176" t="e">
        <f t="shared" si="16"/>
        <v>#DIV/0!</v>
      </c>
      <c r="CV17" s="176" t="e">
        <f t="shared" si="17"/>
        <v>#DIV/0!</v>
      </c>
      <c r="CW17" s="348">
        <f t="shared" si="18"/>
        <v>0</v>
      </c>
      <c r="CX17" s="176"/>
      <c r="CY17" s="176"/>
      <c r="CZ17" s="176"/>
      <c r="DA17" s="176"/>
      <c r="DB17" s="186"/>
      <c r="DC17" s="176"/>
      <c r="DD17" s="177" t="b">
        <v>0</v>
      </c>
      <c r="DE17" s="177" t="b">
        <v>0</v>
      </c>
      <c r="DF17" s="439" t="e">
        <f t="shared" si="19"/>
        <v>#DIV/0!</v>
      </c>
      <c r="DG17" s="439" t="e">
        <f t="shared" si="20"/>
        <v>#DIV/0!</v>
      </c>
      <c r="DH17" s="348">
        <f t="shared" si="21"/>
        <v>0</v>
      </c>
      <c r="DI17" s="176"/>
      <c r="DJ17" s="176"/>
      <c r="DK17" s="176"/>
      <c r="DL17" s="176"/>
      <c r="DM17" s="176"/>
      <c r="DN17" s="186"/>
      <c r="DO17" s="176"/>
      <c r="DP17" s="177" t="b">
        <v>0</v>
      </c>
      <c r="DQ17" s="177" t="b">
        <v>0</v>
      </c>
      <c r="DR17" s="439" t="e">
        <f t="shared" si="22"/>
        <v>#DIV/0!</v>
      </c>
      <c r="DS17" s="884">
        <f t="shared" si="23"/>
        <v>0</v>
      </c>
      <c r="DT17" s="176"/>
      <c r="DU17" s="176"/>
      <c r="DV17" s="176"/>
      <c r="DW17" s="176"/>
      <c r="DX17" s="176"/>
      <c r="DY17" s="186"/>
      <c r="DZ17" s="176"/>
      <c r="EA17" s="177" t="b">
        <v>0</v>
      </c>
      <c r="EB17" s="177" t="b">
        <v>0</v>
      </c>
      <c r="EC17" s="439" t="e">
        <f t="shared" si="24"/>
        <v>#DIV/0!</v>
      </c>
      <c r="ED17" s="884">
        <f t="shared" si="25"/>
        <v>0</v>
      </c>
      <c r="EE17" s="176"/>
      <c r="EF17" s="176"/>
      <c r="EG17" s="176"/>
      <c r="EH17" s="176"/>
      <c r="EI17" s="176"/>
      <c r="EJ17" s="186"/>
      <c r="EK17" s="176"/>
      <c r="EL17" s="177" t="b">
        <v>0</v>
      </c>
      <c r="EM17" s="177" t="b">
        <v>0</v>
      </c>
      <c r="EN17" s="439" t="e">
        <f t="shared" si="26"/>
        <v>#DIV/0!</v>
      </c>
      <c r="EO17" s="884">
        <f t="shared" si="27"/>
        <v>0</v>
      </c>
      <c r="EP17" s="176"/>
      <c r="EQ17" s="176"/>
      <c r="ER17" s="176"/>
      <c r="ES17" s="176"/>
      <c r="ET17" s="176"/>
      <c r="EU17" s="186"/>
      <c r="EV17" s="176"/>
      <c r="EW17" s="177" t="b">
        <v>0</v>
      </c>
      <c r="EX17" s="177" t="b">
        <v>0</v>
      </c>
      <c r="EY17" s="439" t="e">
        <f t="shared" si="28"/>
        <v>#DIV/0!</v>
      </c>
      <c r="EZ17" s="439" t="e">
        <f t="shared" si="29"/>
        <v>#DIV/0!</v>
      </c>
    </row>
    <row r="18" spans="1:156" ht="15" customHeight="1">
      <c r="C18" s="400" t="s">
        <v>965</v>
      </c>
      <c r="D18" s="357">
        <v>1450022</v>
      </c>
      <c r="E18" s="357">
        <v>47</v>
      </c>
      <c r="F18" s="357" t="s">
        <v>966</v>
      </c>
      <c r="G18" s="357" t="s">
        <v>967</v>
      </c>
      <c r="H18" s="357" t="s">
        <v>968</v>
      </c>
      <c r="I18" s="357" t="s">
        <v>969</v>
      </c>
      <c r="J18" s="357" t="s">
        <v>970</v>
      </c>
      <c r="K18" s="426" t="s">
        <v>966</v>
      </c>
      <c r="L18" s="426" t="s">
        <v>971</v>
      </c>
      <c r="M18" s="357"/>
      <c r="N18" s="357"/>
      <c r="O18" s="429">
        <v>128</v>
      </c>
      <c r="P18" s="358"/>
      <c r="Q18" s="401">
        <v>21267.09</v>
      </c>
      <c r="R18" s="401"/>
      <c r="S18" s="358"/>
      <c r="T18" s="402">
        <f t="shared" si="31"/>
        <v>21267.09</v>
      </c>
      <c r="U18" s="403">
        <v>3084</v>
      </c>
      <c r="V18" s="404">
        <v>46063</v>
      </c>
      <c r="W18" s="405" t="s">
        <v>972</v>
      </c>
      <c r="X18" s="144">
        <f t="shared" si="0"/>
        <v>23759.46</v>
      </c>
      <c r="Y18" s="406">
        <v>0</v>
      </c>
      <c r="Z18" s="406">
        <v>0</v>
      </c>
      <c r="AA18" s="406">
        <v>23759.46</v>
      </c>
      <c r="AB18" s="148">
        <v>3084</v>
      </c>
      <c r="AC18" s="407">
        <v>46083</v>
      </c>
      <c r="AD18" s="148" t="s">
        <v>973</v>
      </c>
      <c r="AE18" s="164" t="b">
        <v>1</v>
      </c>
      <c r="AF18" s="164" t="b">
        <v>1</v>
      </c>
      <c r="AG18" s="408">
        <f t="shared" si="1"/>
        <v>0</v>
      </c>
      <c r="AH18" s="409">
        <f>(X18-Q18)/Q18</f>
        <v>0.1171937486510848</v>
      </c>
      <c r="AI18" s="1096">
        <v>23759.46</v>
      </c>
      <c r="AJ18" s="364">
        <v>0</v>
      </c>
      <c r="AK18" s="364"/>
      <c r="AL18" s="364">
        <v>23759.46</v>
      </c>
      <c r="AM18" s="148">
        <v>3084</v>
      </c>
      <c r="AN18" s="407">
        <v>46112</v>
      </c>
      <c r="AO18" s="148" t="s">
        <v>974</v>
      </c>
      <c r="AP18" s="164" t="b">
        <v>1</v>
      </c>
      <c r="AQ18" s="164" t="b">
        <v>1</v>
      </c>
      <c r="AR18" s="409">
        <f t="shared" si="2"/>
        <v>0</v>
      </c>
      <c r="AS18" s="409">
        <f t="shared" si="3"/>
        <v>0</v>
      </c>
      <c r="AT18" s="364">
        <f t="shared" si="32"/>
        <v>0</v>
      </c>
      <c r="AU18" s="364"/>
      <c r="AV18" s="364"/>
      <c r="AW18" s="364"/>
      <c r="AX18" s="148"/>
      <c r="AY18" s="926">
        <v>46142</v>
      </c>
      <c r="AZ18" s="148"/>
      <c r="BA18" s="164" t="b">
        <v>0</v>
      </c>
      <c r="BB18" s="164" t="b">
        <v>0</v>
      </c>
      <c r="BC18" s="409">
        <f t="shared" si="4"/>
        <v>-1</v>
      </c>
      <c r="BD18" s="409">
        <f t="shared" si="5"/>
        <v>-1</v>
      </c>
      <c r="BE18" s="364">
        <f t="shared" si="6"/>
        <v>0</v>
      </c>
      <c r="BF18" s="364"/>
      <c r="BG18" s="364"/>
      <c r="BH18" s="364"/>
      <c r="BI18" s="148"/>
      <c r="BJ18" s="407">
        <v>46172</v>
      </c>
      <c r="BK18" s="148"/>
      <c r="BL18" s="164" t="b">
        <v>0</v>
      </c>
      <c r="BM18" s="164" t="b">
        <v>0</v>
      </c>
      <c r="BN18" s="148" t="e">
        <f t="shared" si="7"/>
        <v>#DIV/0!</v>
      </c>
      <c r="BO18" s="148" t="e">
        <f t="shared" si="8"/>
        <v>#DIV/0!</v>
      </c>
      <c r="BP18" s="406">
        <f t="shared" si="9"/>
        <v>0</v>
      </c>
      <c r="BQ18" s="148"/>
      <c r="BR18" s="148"/>
      <c r="BS18" s="148"/>
      <c r="BT18" s="148"/>
      <c r="BU18" s="407">
        <v>46203</v>
      </c>
      <c r="BV18" s="148"/>
      <c r="BW18" s="164" t="b">
        <v>0</v>
      </c>
      <c r="BX18" s="164" t="b">
        <v>0</v>
      </c>
      <c r="BY18" s="409" t="e">
        <f t="shared" si="10"/>
        <v>#DIV/0!</v>
      </c>
      <c r="BZ18" s="409" t="e">
        <f t="shared" si="11"/>
        <v>#DIV/0!</v>
      </c>
      <c r="CA18" s="406">
        <f t="shared" si="12"/>
        <v>0</v>
      </c>
      <c r="CB18" s="148"/>
      <c r="CC18" s="148"/>
      <c r="CD18" s="148"/>
      <c r="CE18" s="148"/>
      <c r="CF18" s="407"/>
      <c r="CG18" s="148"/>
      <c r="CH18" s="164" t="b">
        <v>0</v>
      </c>
      <c r="CI18" s="164" t="b">
        <v>0</v>
      </c>
      <c r="CJ18" s="409" t="e">
        <f t="shared" si="13"/>
        <v>#DIV/0!</v>
      </c>
      <c r="CK18" s="409" t="e">
        <f t="shared" si="14"/>
        <v>#DIV/0!</v>
      </c>
      <c r="CL18" s="406">
        <f t="shared" si="15"/>
        <v>0</v>
      </c>
      <c r="CM18" s="148"/>
      <c r="CN18" s="148"/>
      <c r="CO18" s="148"/>
      <c r="CP18" s="148"/>
      <c r="CQ18" s="407"/>
      <c r="CR18" s="148"/>
      <c r="CS18" s="164" t="b">
        <v>0</v>
      </c>
      <c r="CT18" s="164" t="b">
        <v>0</v>
      </c>
      <c r="CU18" s="148" t="e">
        <f t="shared" si="16"/>
        <v>#DIV/0!</v>
      </c>
      <c r="CV18" s="148" t="e">
        <f t="shared" si="17"/>
        <v>#DIV/0!</v>
      </c>
      <c r="CW18" s="406">
        <f t="shared" si="18"/>
        <v>0</v>
      </c>
      <c r="CX18" s="148"/>
      <c r="CY18" s="148"/>
      <c r="CZ18" s="148"/>
      <c r="DA18" s="148"/>
      <c r="DB18" s="407"/>
      <c r="DC18" s="148"/>
      <c r="DD18" s="164" t="b">
        <v>0</v>
      </c>
      <c r="DE18" s="164" t="b">
        <v>0</v>
      </c>
      <c r="DF18" s="409" t="e">
        <f t="shared" si="19"/>
        <v>#DIV/0!</v>
      </c>
      <c r="DG18" s="409" t="e">
        <f t="shared" si="20"/>
        <v>#DIV/0!</v>
      </c>
      <c r="DH18" s="406">
        <f t="shared" si="21"/>
        <v>0</v>
      </c>
      <c r="DI18" s="148"/>
      <c r="DJ18" s="148"/>
      <c r="DK18" s="148"/>
      <c r="DL18" s="148"/>
      <c r="DM18" s="148"/>
      <c r="DN18" s="407"/>
      <c r="DO18" s="148"/>
      <c r="DP18" s="164" t="b">
        <v>0</v>
      </c>
      <c r="DQ18" s="164" t="b">
        <v>0</v>
      </c>
      <c r="DR18" s="409" t="e">
        <f t="shared" si="22"/>
        <v>#DIV/0!</v>
      </c>
      <c r="DS18" s="406">
        <f t="shared" si="23"/>
        <v>0</v>
      </c>
      <c r="DT18" s="148"/>
      <c r="DU18" s="148"/>
      <c r="DV18" s="148"/>
      <c r="DW18" s="148"/>
      <c r="DX18" s="148"/>
      <c r="DY18" s="407"/>
      <c r="DZ18" s="148"/>
      <c r="EA18" s="164" t="b">
        <v>0</v>
      </c>
      <c r="EB18" s="164" t="b">
        <v>0</v>
      </c>
      <c r="EC18" s="409" t="e">
        <f t="shared" si="24"/>
        <v>#DIV/0!</v>
      </c>
      <c r="ED18" s="406">
        <f t="shared" si="25"/>
        <v>0</v>
      </c>
      <c r="EE18" s="148"/>
      <c r="EF18" s="148"/>
      <c r="EG18" s="148"/>
      <c r="EH18" s="148"/>
      <c r="EI18" s="148"/>
      <c r="EJ18" s="407"/>
      <c r="EK18" s="148"/>
      <c r="EL18" s="164" t="b">
        <v>0</v>
      </c>
      <c r="EM18" s="164" t="b">
        <v>0</v>
      </c>
      <c r="EN18" s="409" t="e">
        <f t="shared" si="26"/>
        <v>#DIV/0!</v>
      </c>
      <c r="EO18" s="406">
        <f t="shared" si="27"/>
        <v>0</v>
      </c>
      <c r="EP18" s="148"/>
      <c r="EQ18" s="148"/>
      <c r="ER18" s="148"/>
      <c r="ES18" s="148"/>
      <c r="ET18" s="148"/>
      <c r="EU18" s="407"/>
      <c r="EV18" s="148"/>
      <c r="EW18" s="164" t="b">
        <v>0</v>
      </c>
      <c r="EX18" s="164" t="b">
        <v>0</v>
      </c>
      <c r="EY18" s="409" t="e">
        <f t="shared" si="28"/>
        <v>#DIV/0!</v>
      </c>
      <c r="EZ18" s="409" t="e">
        <f t="shared" si="29"/>
        <v>#DIV/0!</v>
      </c>
    </row>
    <row r="19" spans="1:156" s="175" customFormat="1" ht="15" customHeight="1">
      <c r="A19" s="184"/>
      <c r="C19" s="400" t="s">
        <v>975</v>
      </c>
      <c r="D19" s="357">
        <v>1450022</v>
      </c>
      <c r="E19" s="357">
        <v>47</v>
      </c>
      <c r="F19" s="357" t="s">
        <v>976</v>
      </c>
      <c r="G19" s="357" t="s">
        <v>977</v>
      </c>
      <c r="H19" s="357" t="s">
        <v>968</v>
      </c>
      <c r="I19" s="357" t="s">
        <v>969</v>
      </c>
      <c r="J19" s="357" t="s">
        <v>970</v>
      </c>
      <c r="K19" s="426" t="s">
        <v>976</v>
      </c>
      <c r="L19" s="426" t="s">
        <v>978</v>
      </c>
      <c r="M19" s="357"/>
      <c r="N19" s="357"/>
      <c r="O19" s="429">
        <v>128</v>
      </c>
      <c r="P19" s="358"/>
      <c r="Q19" s="401">
        <v>13159.31</v>
      </c>
      <c r="R19" s="401"/>
      <c r="S19" s="358"/>
      <c r="T19" s="402">
        <f t="shared" si="31"/>
        <v>13159.31</v>
      </c>
      <c r="U19" s="403">
        <v>1911</v>
      </c>
      <c r="V19" s="404">
        <v>46063</v>
      </c>
      <c r="W19" s="405" t="s">
        <v>972</v>
      </c>
      <c r="X19" s="144">
        <f t="shared" si="0"/>
        <v>14701.55</v>
      </c>
      <c r="Y19" s="406">
        <v>0</v>
      </c>
      <c r="Z19" s="406">
        <v>0</v>
      </c>
      <c r="AA19" s="406">
        <v>14701.55</v>
      </c>
      <c r="AB19" s="148">
        <v>1911</v>
      </c>
      <c r="AC19" s="407">
        <v>46083</v>
      </c>
      <c r="AD19" s="148" t="s">
        <v>973</v>
      </c>
      <c r="AE19" s="164" t="b">
        <v>1</v>
      </c>
      <c r="AF19" s="164" t="b">
        <v>1</v>
      </c>
      <c r="AG19" s="408">
        <f t="shared" si="1"/>
        <v>0</v>
      </c>
      <c r="AH19" s="409">
        <f>(X19-Q19)/Q19</f>
        <v>0.11719763422246302</v>
      </c>
      <c r="AI19" s="371">
        <v>14701.55</v>
      </c>
      <c r="AJ19" s="364">
        <v>0</v>
      </c>
      <c r="AK19" s="364">
        <v>0</v>
      </c>
      <c r="AL19" s="364">
        <v>14701.55</v>
      </c>
      <c r="AM19" s="148">
        <v>1911</v>
      </c>
      <c r="AN19" s="407">
        <v>46112</v>
      </c>
      <c r="AO19" s="148" t="s">
        <v>974</v>
      </c>
      <c r="AP19" s="164" t="b">
        <v>1</v>
      </c>
      <c r="AQ19" s="164" t="b">
        <v>1</v>
      </c>
      <c r="AR19" s="409">
        <f t="shared" si="2"/>
        <v>0</v>
      </c>
      <c r="AS19" s="409">
        <f t="shared" si="3"/>
        <v>0</v>
      </c>
      <c r="AT19" s="364">
        <f t="shared" si="32"/>
        <v>0</v>
      </c>
      <c r="AU19" s="364"/>
      <c r="AV19" s="364"/>
      <c r="AW19" s="364"/>
      <c r="AX19" s="148"/>
      <c r="AY19" s="926">
        <v>46142</v>
      </c>
      <c r="AZ19" s="148"/>
      <c r="BA19" s="164" t="b">
        <v>0</v>
      </c>
      <c r="BB19" s="164" t="b">
        <v>0</v>
      </c>
      <c r="BC19" s="409">
        <f t="shared" si="4"/>
        <v>-1</v>
      </c>
      <c r="BD19" s="409">
        <f t="shared" si="5"/>
        <v>-1</v>
      </c>
      <c r="BE19" s="364">
        <f t="shared" si="6"/>
        <v>0</v>
      </c>
      <c r="BF19" s="364"/>
      <c r="BG19" s="364"/>
      <c r="BH19" s="364"/>
      <c r="BI19" s="148"/>
      <c r="BJ19" s="407">
        <v>46172</v>
      </c>
      <c r="BK19" s="148"/>
      <c r="BL19" s="164" t="b">
        <v>0</v>
      </c>
      <c r="BM19" s="164" t="b">
        <v>0</v>
      </c>
      <c r="BN19" s="148" t="e">
        <f t="shared" si="7"/>
        <v>#DIV/0!</v>
      </c>
      <c r="BO19" s="148" t="e">
        <f t="shared" si="8"/>
        <v>#DIV/0!</v>
      </c>
      <c r="BP19" s="406">
        <f t="shared" si="9"/>
        <v>0</v>
      </c>
      <c r="BQ19" s="148"/>
      <c r="BR19" s="148"/>
      <c r="BS19" s="148"/>
      <c r="BT19" s="148"/>
      <c r="BU19" s="407">
        <v>46203</v>
      </c>
      <c r="BV19" s="148"/>
      <c r="BW19" s="164" t="b">
        <v>0</v>
      </c>
      <c r="BX19" s="164" t="b">
        <v>0</v>
      </c>
      <c r="BY19" s="409" t="e">
        <f t="shared" si="10"/>
        <v>#DIV/0!</v>
      </c>
      <c r="BZ19" s="409" t="e">
        <f t="shared" si="11"/>
        <v>#DIV/0!</v>
      </c>
      <c r="CA19" s="406">
        <f t="shared" si="12"/>
        <v>0</v>
      </c>
      <c r="CB19" s="148"/>
      <c r="CC19" s="148"/>
      <c r="CD19" s="148"/>
      <c r="CE19" s="148"/>
      <c r="CF19" s="407"/>
      <c r="CG19" s="148"/>
      <c r="CH19" s="164" t="b">
        <v>0</v>
      </c>
      <c r="CI19" s="164" t="b">
        <v>0</v>
      </c>
      <c r="CJ19" s="409" t="e">
        <f t="shared" si="13"/>
        <v>#DIV/0!</v>
      </c>
      <c r="CK19" s="409" t="e">
        <f t="shared" si="14"/>
        <v>#DIV/0!</v>
      </c>
      <c r="CL19" s="406">
        <f t="shared" si="15"/>
        <v>0</v>
      </c>
      <c r="CM19" s="148"/>
      <c r="CN19" s="148"/>
      <c r="CO19" s="148"/>
      <c r="CP19" s="148"/>
      <c r="CQ19" s="407"/>
      <c r="CR19" s="148"/>
      <c r="CS19" s="164" t="b">
        <v>0</v>
      </c>
      <c r="CT19" s="164" t="b">
        <v>0</v>
      </c>
      <c r="CU19" s="148" t="e">
        <f t="shared" si="16"/>
        <v>#DIV/0!</v>
      </c>
      <c r="CV19" s="148" t="e">
        <f t="shared" si="17"/>
        <v>#DIV/0!</v>
      </c>
      <c r="CW19" s="406">
        <f t="shared" si="18"/>
        <v>0</v>
      </c>
      <c r="CX19" s="148"/>
      <c r="CY19" s="148"/>
      <c r="CZ19" s="148"/>
      <c r="DA19" s="148"/>
      <c r="DB19" s="407"/>
      <c r="DC19" s="148"/>
      <c r="DD19" s="164" t="b">
        <v>0</v>
      </c>
      <c r="DE19" s="164" t="b">
        <v>0</v>
      </c>
      <c r="DF19" s="409" t="e">
        <f t="shared" si="19"/>
        <v>#DIV/0!</v>
      </c>
      <c r="DG19" s="409" t="e">
        <f t="shared" si="20"/>
        <v>#DIV/0!</v>
      </c>
      <c r="DH19" s="406">
        <f t="shared" si="21"/>
        <v>0</v>
      </c>
      <c r="DI19" s="148"/>
      <c r="DJ19" s="148"/>
      <c r="DK19" s="148"/>
      <c r="DL19" s="148"/>
      <c r="DM19" s="148"/>
      <c r="DN19" s="407"/>
      <c r="DO19" s="148"/>
      <c r="DP19" s="164" t="b">
        <v>0</v>
      </c>
      <c r="DQ19" s="164" t="b">
        <v>0</v>
      </c>
      <c r="DR19" s="409" t="e">
        <f t="shared" si="22"/>
        <v>#DIV/0!</v>
      </c>
      <c r="DS19" s="406">
        <f t="shared" si="23"/>
        <v>0</v>
      </c>
      <c r="DT19" s="148"/>
      <c r="DU19" s="148"/>
      <c r="DV19" s="148"/>
      <c r="DW19" s="148"/>
      <c r="DX19" s="148"/>
      <c r="DY19" s="407"/>
      <c r="DZ19" s="148"/>
      <c r="EA19" s="164" t="b">
        <v>0</v>
      </c>
      <c r="EB19" s="164" t="b">
        <v>0</v>
      </c>
      <c r="EC19" s="409" t="e">
        <f t="shared" si="24"/>
        <v>#DIV/0!</v>
      </c>
      <c r="ED19" s="406">
        <f t="shared" si="25"/>
        <v>0</v>
      </c>
      <c r="EE19" s="148"/>
      <c r="EF19" s="148"/>
      <c r="EG19" s="148"/>
      <c r="EH19" s="148"/>
      <c r="EI19" s="148"/>
      <c r="EJ19" s="407"/>
      <c r="EK19" s="148"/>
      <c r="EL19" s="164" t="b">
        <v>0</v>
      </c>
      <c r="EM19" s="164" t="b">
        <v>0</v>
      </c>
      <c r="EN19" s="409" t="e">
        <f t="shared" si="26"/>
        <v>#DIV/0!</v>
      </c>
      <c r="EO19" s="406">
        <f t="shared" si="27"/>
        <v>0</v>
      </c>
      <c r="EP19" s="148"/>
      <c r="EQ19" s="148"/>
      <c r="ER19" s="148"/>
      <c r="ES19" s="148"/>
      <c r="ET19" s="148"/>
      <c r="EU19" s="407"/>
      <c r="EV19" s="148"/>
      <c r="EW19" s="164" t="b">
        <v>0</v>
      </c>
      <c r="EX19" s="164" t="b">
        <v>0</v>
      </c>
      <c r="EY19" s="409" t="e">
        <f t="shared" si="28"/>
        <v>#DIV/0!</v>
      </c>
      <c r="EZ19" s="409" t="e">
        <f t="shared" si="29"/>
        <v>#DIV/0!</v>
      </c>
    </row>
    <row r="20" spans="1:156" ht="15" customHeight="1">
      <c r="C20" s="195" t="s">
        <v>979</v>
      </c>
      <c r="D20" s="154">
        <v>1450022</v>
      </c>
      <c r="E20" s="154">
        <v>115</v>
      </c>
      <c r="F20" s="154" t="s">
        <v>980</v>
      </c>
      <c r="G20" s="154" t="s">
        <v>981</v>
      </c>
      <c r="H20" s="154" t="s">
        <v>982</v>
      </c>
      <c r="I20" s="154" t="s">
        <v>870</v>
      </c>
      <c r="J20" s="154" t="s">
        <v>871</v>
      </c>
      <c r="K20" s="255" t="s">
        <v>980</v>
      </c>
      <c r="L20" s="255"/>
      <c r="M20" s="154"/>
      <c r="N20" s="154"/>
      <c r="O20" s="434">
        <v>43</v>
      </c>
      <c r="P20" s="176"/>
      <c r="Q20" s="348">
        <v>90973.32</v>
      </c>
      <c r="R20" s="348"/>
      <c r="S20" s="176"/>
      <c r="T20" s="203">
        <f t="shared" si="31"/>
        <v>90973.32</v>
      </c>
      <c r="U20" s="378">
        <v>1786</v>
      </c>
      <c r="V20" s="186">
        <v>46045</v>
      </c>
      <c r="W20" s="383" t="s">
        <v>983</v>
      </c>
      <c r="X20" s="144">
        <f t="shared" si="0"/>
        <v>102989.9</v>
      </c>
      <c r="Y20" s="170"/>
      <c r="Z20" s="170"/>
      <c r="AA20" s="170">
        <v>102989.9</v>
      </c>
      <c r="AB20" s="171">
        <v>2018</v>
      </c>
      <c r="AC20" s="172">
        <v>46076</v>
      </c>
      <c r="AD20" s="171" t="s">
        <v>984</v>
      </c>
      <c r="AE20" s="177" t="b">
        <v>1</v>
      </c>
      <c r="AF20" s="177" t="b">
        <v>1</v>
      </c>
      <c r="AG20" s="410">
        <f t="shared" si="1"/>
        <v>0.12989921612541994</v>
      </c>
      <c r="AH20" s="392">
        <f>(X20-Q20)/Q20</f>
        <v>0.13208905643984398</v>
      </c>
      <c r="AI20" s="371">
        <f t="shared" si="30"/>
        <v>86363.51</v>
      </c>
      <c r="AJ20" s="368"/>
      <c r="AK20" s="368">
        <v>0</v>
      </c>
      <c r="AL20" s="368">
        <v>86363.51</v>
      </c>
      <c r="AM20" s="171">
        <v>1697</v>
      </c>
      <c r="AN20" s="172">
        <v>46104</v>
      </c>
      <c r="AO20" s="171" t="s">
        <v>985</v>
      </c>
      <c r="AP20" s="177" t="b">
        <v>1</v>
      </c>
      <c r="AQ20" s="177" t="b">
        <v>1</v>
      </c>
      <c r="AR20" s="439">
        <f t="shared" si="2"/>
        <v>-0.15906838453914768</v>
      </c>
      <c r="AS20" s="439">
        <f t="shared" si="3"/>
        <v>-0.16143709237507756</v>
      </c>
      <c r="AT20" s="203">
        <v>118506.47</v>
      </c>
      <c r="AU20" s="203">
        <v>0</v>
      </c>
      <c r="AV20" s="203">
        <v>0</v>
      </c>
      <c r="AW20" s="203">
        <v>118506.47</v>
      </c>
      <c r="AX20" s="171">
        <v>1901</v>
      </c>
      <c r="AY20" s="172">
        <v>46135</v>
      </c>
      <c r="AZ20" s="171" t="s">
        <v>986</v>
      </c>
      <c r="BA20" s="177" t="b">
        <v>1</v>
      </c>
      <c r="BB20" s="177" t="b">
        <v>1</v>
      </c>
      <c r="BC20" s="439">
        <f t="shared" si="4"/>
        <v>0.12021213906894519</v>
      </c>
      <c r="BD20" s="439">
        <f t="shared" si="5"/>
        <v>0.37218218666656794</v>
      </c>
      <c r="BE20" s="368">
        <f t="shared" si="6"/>
        <v>0</v>
      </c>
      <c r="BF20" s="368"/>
      <c r="BG20" s="368"/>
      <c r="BH20" s="368"/>
      <c r="BI20" s="171"/>
      <c r="BJ20" s="1197">
        <v>46165</v>
      </c>
      <c r="BK20" s="171"/>
      <c r="BL20" s="177" t="b">
        <v>0</v>
      </c>
      <c r="BM20" s="177" t="b">
        <v>0</v>
      </c>
      <c r="BN20" s="154">
        <f t="shared" si="7"/>
        <v>-1</v>
      </c>
      <c r="BO20" s="154">
        <f t="shared" si="8"/>
        <v>-1</v>
      </c>
      <c r="BP20" s="348">
        <f t="shared" si="9"/>
        <v>0</v>
      </c>
      <c r="BQ20" s="176"/>
      <c r="BR20" s="176"/>
      <c r="BS20" s="176"/>
      <c r="BT20" s="176"/>
      <c r="BU20" s="1197">
        <v>46196</v>
      </c>
      <c r="BV20" s="176"/>
      <c r="BW20" s="177" t="b">
        <v>0</v>
      </c>
      <c r="BX20" s="177" t="b">
        <v>0</v>
      </c>
      <c r="BY20" s="439" t="e">
        <f t="shared" si="10"/>
        <v>#DIV/0!</v>
      </c>
      <c r="BZ20" s="439" t="e">
        <f t="shared" si="11"/>
        <v>#DIV/0!</v>
      </c>
      <c r="CA20" s="348">
        <f t="shared" si="12"/>
        <v>0</v>
      </c>
      <c r="CB20" s="176"/>
      <c r="CC20" s="176"/>
      <c r="CD20" s="176"/>
      <c r="CE20" s="176"/>
      <c r="CF20" s="186"/>
      <c r="CG20" s="176"/>
      <c r="CH20" s="177" t="b">
        <v>0</v>
      </c>
      <c r="CI20" s="177" t="b">
        <v>0</v>
      </c>
      <c r="CJ20" s="439" t="e">
        <f t="shared" si="13"/>
        <v>#DIV/0!</v>
      </c>
      <c r="CK20" s="439" t="e">
        <f t="shared" si="14"/>
        <v>#DIV/0!</v>
      </c>
      <c r="CL20" s="348">
        <f t="shared" si="15"/>
        <v>0</v>
      </c>
      <c r="CM20" s="176"/>
      <c r="CN20" s="176"/>
      <c r="CO20" s="176"/>
      <c r="CP20" s="176"/>
      <c r="CQ20" s="186"/>
      <c r="CR20" s="176"/>
      <c r="CS20" s="177" t="b">
        <v>0</v>
      </c>
      <c r="CT20" s="177" t="b">
        <v>0</v>
      </c>
      <c r="CU20" s="176" t="e">
        <f t="shared" si="16"/>
        <v>#DIV/0!</v>
      </c>
      <c r="CV20" s="176" t="e">
        <f t="shared" si="17"/>
        <v>#DIV/0!</v>
      </c>
      <c r="CW20" s="348">
        <f t="shared" si="18"/>
        <v>0</v>
      </c>
      <c r="CX20" s="176"/>
      <c r="CY20" s="176"/>
      <c r="CZ20" s="176"/>
      <c r="DA20" s="176"/>
      <c r="DB20" s="186"/>
      <c r="DC20" s="176"/>
      <c r="DD20" s="177" t="b">
        <v>0</v>
      </c>
      <c r="DE20" s="177" t="b">
        <v>0</v>
      </c>
      <c r="DF20" s="439" t="e">
        <f t="shared" si="19"/>
        <v>#DIV/0!</v>
      </c>
      <c r="DG20" s="439" t="e">
        <f t="shared" si="20"/>
        <v>#DIV/0!</v>
      </c>
      <c r="DH20" s="348">
        <f t="shared" si="21"/>
        <v>0</v>
      </c>
      <c r="DI20" s="176"/>
      <c r="DJ20" s="176"/>
      <c r="DK20" s="176"/>
      <c r="DL20" s="176"/>
      <c r="DM20" s="176"/>
      <c r="DN20" s="186"/>
      <c r="DO20" s="176"/>
      <c r="DP20" s="177" t="b">
        <v>0</v>
      </c>
      <c r="DQ20" s="177" t="b">
        <v>0</v>
      </c>
      <c r="DR20" s="439" t="e">
        <f t="shared" si="22"/>
        <v>#DIV/0!</v>
      </c>
      <c r="DS20" s="884">
        <f t="shared" si="23"/>
        <v>0</v>
      </c>
      <c r="DT20" s="176"/>
      <c r="DU20" s="176"/>
      <c r="DV20" s="176"/>
      <c r="DW20" s="176"/>
      <c r="DX20" s="176"/>
      <c r="DY20" s="186"/>
      <c r="DZ20" s="176"/>
      <c r="EA20" s="177" t="b">
        <v>0</v>
      </c>
      <c r="EB20" s="177" t="b">
        <v>0</v>
      </c>
      <c r="EC20" s="439" t="e">
        <f t="shared" si="24"/>
        <v>#DIV/0!</v>
      </c>
      <c r="ED20" s="884">
        <f t="shared" si="25"/>
        <v>0</v>
      </c>
      <c r="EE20" s="176"/>
      <c r="EF20" s="176"/>
      <c r="EG20" s="176"/>
      <c r="EH20" s="176"/>
      <c r="EI20" s="176"/>
      <c r="EJ20" s="186"/>
      <c r="EK20" s="176"/>
      <c r="EL20" s="177" t="b">
        <v>0</v>
      </c>
      <c r="EM20" s="177" t="b">
        <v>0</v>
      </c>
      <c r="EN20" s="439" t="e">
        <f t="shared" si="26"/>
        <v>#DIV/0!</v>
      </c>
      <c r="EO20" s="884">
        <f t="shared" si="27"/>
        <v>0</v>
      </c>
      <c r="EP20" s="176"/>
      <c r="EQ20" s="176"/>
      <c r="ER20" s="176"/>
      <c r="ES20" s="176"/>
      <c r="ET20" s="176"/>
      <c r="EU20" s="186"/>
      <c r="EV20" s="176"/>
      <c r="EW20" s="177" t="b">
        <v>0</v>
      </c>
      <c r="EX20" s="177" t="b">
        <v>0</v>
      </c>
      <c r="EY20" s="439" t="e">
        <f t="shared" si="28"/>
        <v>#DIV/0!</v>
      </c>
      <c r="EZ20" s="439" t="e">
        <f t="shared" si="29"/>
        <v>#DIV/0!</v>
      </c>
    </row>
    <row r="21" spans="1:156" ht="15" customHeight="1">
      <c r="C21" s="400" t="s">
        <v>987</v>
      </c>
      <c r="D21" s="357">
        <v>1450022</v>
      </c>
      <c r="E21" s="357">
        <v>203</v>
      </c>
      <c r="F21" s="357" t="s">
        <v>988</v>
      </c>
      <c r="G21" s="357" t="s">
        <v>989</v>
      </c>
      <c r="H21" s="357" t="s">
        <v>901</v>
      </c>
      <c r="I21" s="357" t="s">
        <v>990</v>
      </c>
      <c r="J21" s="357" t="s">
        <v>991</v>
      </c>
      <c r="K21" s="426" t="s">
        <v>988</v>
      </c>
      <c r="L21" s="426" t="s">
        <v>992</v>
      </c>
      <c r="M21" s="357"/>
      <c r="N21" s="357"/>
      <c r="O21" s="429">
        <v>34</v>
      </c>
      <c r="P21" s="357"/>
      <c r="Q21" s="401">
        <v>3878.63</v>
      </c>
      <c r="R21" s="401"/>
      <c r="S21" s="358"/>
      <c r="T21" s="402">
        <f t="shared" si="31"/>
        <v>3878.63</v>
      </c>
      <c r="U21" s="403">
        <v>257</v>
      </c>
      <c r="V21" s="404">
        <v>46040</v>
      </c>
      <c r="W21" s="405" t="s">
        <v>993</v>
      </c>
      <c r="X21" s="144">
        <f t="shared" si="0"/>
        <v>4876.07</v>
      </c>
      <c r="Y21" s="406"/>
      <c r="Z21" s="406"/>
      <c r="AA21" s="406">
        <v>4876.07</v>
      </c>
      <c r="AB21" s="148">
        <v>313</v>
      </c>
      <c r="AC21" s="407">
        <v>46071</v>
      </c>
      <c r="AD21" s="148" t="s">
        <v>994</v>
      </c>
      <c r="AE21" s="164" t="b">
        <v>1</v>
      </c>
      <c r="AF21" s="164" t="b">
        <v>1</v>
      </c>
      <c r="AG21" s="408">
        <f t="shared" si="1"/>
        <v>0.21789883268482491</v>
      </c>
      <c r="AH21" s="409">
        <f>(X21-Q21)/Q21</f>
        <v>0.25716296733640476</v>
      </c>
      <c r="AI21" s="1096">
        <f t="shared" si="30"/>
        <v>4092.37</v>
      </c>
      <c r="AJ21" s="364"/>
      <c r="AK21" s="364">
        <v>0</v>
      </c>
      <c r="AL21" s="364">
        <v>4092.37</v>
      </c>
      <c r="AM21" s="148">
        <v>269</v>
      </c>
      <c r="AN21" s="407">
        <v>46099</v>
      </c>
      <c r="AO21" s="148" t="s">
        <v>995</v>
      </c>
      <c r="AP21" s="164" t="b">
        <v>1</v>
      </c>
      <c r="AQ21" s="164" t="b">
        <v>1</v>
      </c>
      <c r="AR21" s="438">
        <f t="shared" si="2"/>
        <v>-0.14057507987220447</v>
      </c>
      <c r="AS21" s="438">
        <f t="shared" si="3"/>
        <v>-0.16072369756791841</v>
      </c>
      <c r="AT21" s="402">
        <v>4858.26</v>
      </c>
      <c r="AU21" s="402">
        <v>0</v>
      </c>
      <c r="AV21" s="402"/>
      <c r="AW21" s="402">
        <v>4858.26</v>
      </c>
      <c r="AX21" s="148">
        <v>312</v>
      </c>
      <c r="AY21" s="407">
        <v>46130</v>
      </c>
      <c r="AZ21" s="148" t="s">
        <v>996</v>
      </c>
      <c r="BA21" s="164" t="b">
        <v>1</v>
      </c>
      <c r="BB21" s="164" t="b">
        <v>1</v>
      </c>
      <c r="BC21" s="438">
        <f t="shared" si="4"/>
        <v>0.15985130111524162</v>
      </c>
      <c r="BD21" s="438">
        <f t="shared" si="5"/>
        <v>0.18715072195329366</v>
      </c>
      <c r="BE21" s="364">
        <f t="shared" si="6"/>
        <v>0</v>
      </c>
      <c r="BF21" s="364"/>
      <c r="BG21" s="364"/>
      <c r="BH21" s="364"/>
      <c r="BI21" s="148"/>
      <c r="BJ21" s="1196">
        <v>46160</v>
      </c>
      <c r="BK21" s="148"/>
      <c r="BL21" s="164" t="b">
        <v>0</v>
      </c>
      <c r="BM21" s="164" t="b">
        <v>0</v>
      </c>
      <c r="BN21" s="357">
        <f t="shared" si="7"/>
        <v>-1</v>
      </c>
      <c r="BO21" s="357">
        <f t="shared" si="8"/>
        <v>-1</v>
      </c>
      <c r="BP21" s="401">
        <f t="shared" si="9"/>
        <v>0</v>
      </c>
      <c r="BQ21" s="358"/>
      <c r="BR21" s="358"/>
      <c r="BS21" s="358"/>
      <c r="BT21" s="358"/>
      <c r="BU21" s="1196">
        <v>46191</v>
      </c>
      <c r="BV21" s="358"/>
      <c r="BW21" s="164" t="b">
        <v>0</v>
      </c>
      <c r="BX21" s="164" t="b">
        <v>0</v>
      </c>
      <c r="BY21" s="438" t="e">
        <f t="shared" si="10"/>
        <v>#DIV/0!</v>
      </c>
      <c r="BZ21" s="438" t="e">
        <f t="shared" si="11"/>
        <v>#DIV/0!</v>
      </c>
      <c r="CA21" s="401">
        <f t="shared" si="12"/>
        <v>0</v>
      </c>
      <c r="CB21" s="358"/>
      <c r="CC21" s="358"/>
      <c r="CD21" s="358"/>
      <c r="CE21" s="358"/>
      <c r="CF21" s="404"/>
      <c r="CG21" s="358"/>
      <c r="CH21" s="164" t="b">
        <v>0</v>
      </c>
      <c r="CI21" s="164" t="b">
        <v>0</v>
      </c>
      <c r="CJ21" s="438" t="e">
        <f t="shared" si="13"/>
        <v>#DIV/0!</v>
      </c>
      <c r="CK21" s="438" t="e">
        <f t="shared" si="14"/>
        <v>#DIV/0!</v>
      </c>
      <c r="CL21" s="401">
        <f t="shared" si="15"/>
        <v>0</v>
      </c>
      <c r="CM21" s="358"/>
      <c r="CN21" s="358"/>
      <c r="CO21" s="358"/>
      <c r="CP21" s="358"/>
      <c r="CQ21" s="404"/>
      <c r="CR21" s="358"/>
      <c r="CS21" s="164" t="b">
        <v>0</v>
      </c>
      <c r="CT21" s="164" t="b">
        <v>0</v>
      </c>
      <c r="CU21" s="358" t="e">
        <f t="shared" si="16"/>
        <v>#DIV/0!</v>
      </c>
      <c r="CV21" s="358" t="e">
        <f t="shared" si="17"/>
        <v>#DIV/0!</v>
      </c>
      <c r="CW21" s="401">
        <f t="shared" si="18"/>
        <v>0</v>
      </c>
      <c r="CX21" s="358"/>
      <c r="CY21" s="358"/>
      <c r="CZ21" s="358"/>
      <c r="DA21" s="358"/>
      <c r="DB21" s="404"/>
      <c r="DC21" s="358"/>
      <c r="DD21" s="164" t="b">
        <v>0</v>
      </c>
      <c r="DE21" s="164" t="b">
        <v>0</v>
      </c>
      <c r="DF21" s="438" t="e">
        <f t="shared" si="19"/>
        <v>#DIV/0!</v>
      </c>
      <c r="DG21" s="438" t="e">
        <f t="shared" si="20"/>
        <v>#DIV/0!</v>
      </c>
      <c r="DH21" s="401">
        <f t="shared" si="21"/>
        <v>0</v>
      </c>
      <c r="DI21" s="358"/>
      <c r="DJ21" s="358"/>
      <c r="DK21" s="358"/>
      <c r="DL21" s="358"/>
      <c r="DM21" s="358"/>
      <c r="DN21" s="404"/>
      <c r="DO21" s="358"/>
      <c r="DP21" s="164" t="b">
        <v>0</v>
      </c>
      <c r="DQ21" s="164" t="b">
        <v>0</v>
      </c>
      <c r="DR21" s="438" t="e">
        <f t="shared" si="22"/>
        <v>#DIV/0!</v>
      </c>
      <c r="DS21" s="883">
        <f t="shared" si="23"/>
        <v>0</v>
      </c>
      <c r="DT21" s="358"/>
      <c r="DU21" s="358"/>
      <c r="DV21" s="358"/>
      <c r="DW21" s="358"/>
      <c r="DX21" s="358"/>
      <c r="DY21" s="404"/>
      <c r="DZ21" s="358"/>
      <c r="EA21" s="164" t="b">
        <v>0</v>
      </c>
      <c r="EB21" s="164" t="b">
        <v>0</v>
      </c>
      <c r="EC21" s="438" t="e">
        <f t="shared" si="24"/>
        <v>#DIV/0!</v>
      </c>
      <c r="ED21" s="883">
        <f t="shared" si="25"/>
        <v>0</v>
      </c>
      <c r="EE21" s="358"/>
      <c r="EF21" s="358"/>
      <c r="EG21" s="358"/>
      <c r="EH21" s="358"/>
      <c r="EI21" s="358"/>
      <c r="EJ21" s="404"/>
      <c r="EK21" s="358"/>
      <c r="EL21" s="164" t="b">
        <v>0</v>
      </c>
      <c r="EM21" s="164" t="b">
        <v>0</v>
      </c>
      <c r="EN21" s="438" t="e">
        <f t="shared" si="26"/>
        <v>#DIV/0!</v>
      </c>
      <c r="EO21" s="883">
        <f t="shared" si="27"/>
        <v>0</v>
      </c>
      <c r="EP21" s="358"/>
      <c r="EQ21" s="358"/>
      <c r="ER21" s="358"/>
      <c r="ES21" s="358"/>
      <c r="ET21" s="358"/>
      <c r="EU21" s="404"/>
      <c r="EV21" s="358"/>
      <c r="EW21" s="164" t="b">
        <v>0</v>
      </c>
      <c r="EX21" s="164" t="b">
        <v>0</v>
      </c>
      <c r="EY21" s="438" t="e">
        <f t="shared" si="28"/>
        <v>#DIV/0!</v>
      </c>
      <c r="EZ21" s="438" t="e">
        <f t="shared" si="29"/>
        <v>#DIV/0!</v>
      </c>
    </row>
    <row r="22" spans="1:156" ht="15" customHeight="1">
      <c r="C22" s="195" t="s">
        <v>997</v>
      </c>
      <c r="D22" s="154">
        <v>1450022</v>
      </c>
      <c r="E22" s="154">
        <v>318</v>
      </c>
      <c r="F22" s="154" t="s">
        <v>998</v>
      </c>
      <c r="G22" s="154" t="s">
        <v>999</v>
      </c>
      <c r="H22" s="154" t="s">
        <v>901</v>
      </c>
      <c r="I22" s="154" t="s">
        <v>1000</v>
      </c>
      <c r="J22" s="154" t="s">
        <v>1001</v>
      </c>
      <c r="K22" s="255" t="s">
        <v>998</v>
      </c>
      <c r="L22" s="255" t="s">
        <v>1002</v>
      </c>
      <c r="M22" s="154"/>
      <c r="N22" s="154"/>
      <c r="O22" s="434">
        <v>37</v>
      </c>
      <c r="P22" s="432">
        <v>182</v>
      </c>
      <c r="Q22" s="348">
        <v>5422.37</v>
      </c>
      <c r="R22" s="348"/>
      <c r="S22" s="176"/>
      <c r="T22" s="203">
        <f t="shared" si="31"/>
        <v>5422.37</v>
      </c>
      <c r="U22" s="378">
        <v>477</v>
      </c>
      <c r="V22" s="186">
        <v>46042</v>
      </c>
      <c r="W22" s="383" t="s">
        <v>1003</v>
      </c>
      <c r="X22" s="144">
        <f t="shared" si="0"/>
        <v>6329.77</v>
      </c>
      <c r="Y22" s="170"/>
      <c r="Z22" s="170"/>
      <c r="AA22" s="170">
        <v>6329.77</v>
      </c>
      <c r="AB22" s="171">
        <v>549</v>
      </c>
      <c r="AC22" s="172">
        <v>46073</v>
      </c>
      <c r="AD22" s="171" t="s">
        <v>1004</v>
      </c>
      <c r="AE22" s="177" t="b">
        <v>1</v>
      </c>
      <c r="AF22" s="177" t="b">
        <v>1</v>
      </c>
      <c r="AG22" s="410">
        <f t="shared" si="1"/>
        <v>0.15094339622641509</v>
      </c>
      <c r="AH22" s="392">
        <f>(X22-Q22)/Q22</f>
        <v>0.16734379985135661</v>
      </c>
      <c r="AI22" s="371">
        <v>4034.81</v>
      </c>
      <c r="AJ22" s="368">
        <v>0</v>
      </c>
      <c r="AK22" s="368">
        <v>162.58000000000001</v>
      </c>
      <c r="AL22" s="368">
        <v>3872.23</v>
      </c>
      <c r="AM22" s="171">
        <v>354</v>
      </c>
      <c r="AN22" s="172">
        <v>46112</v>
      </c>
      <c r="AO22" s="484" t="s">
        <v>1005</v>
      </c>
      <c r="AP22" s="177" t="b">
        <v>1</v>
      </c>
      <c r="AQ22" s="177" t="b">
        <v>1</v>
      </c>
      <c r="AR22" s="439">
        <f t="shared" si="2"/>
        <v>-0.3551912568306011</v>
      </c>
      <c r="AS22" s="439">
        <f t="shared" si="3"/>
        <v>-0.36256609639844739</v>
      </c>
      <c r="AT22" s="203">
        <v>5888.68</v>
      </c>
      <c r="AU22" s="203">
        <v>0</v>
      </c>
      <c r="AV22" s="203">
        <v>0</v>
      </c>
      <c r="AW22" s="203">
        <v>5888.68</v>
      </c>
      <c r="AX22" s="171">
        <v>514</v>
      </c>
      <c r="AY22" s="172">
        <v>46132</v>
      </c>
      <c r="AZ22" s="171" t="s">
        <v>1006</v>
      </c>
      <c r="BA22" s="177" t="b">
        <v>1</v>
      </c>
      <c r="BB22" s="177" t="b">
        <v>1</v>
      </c>
      <c r="BC22" s="439">
        <f t="shared" si="4"/>
        <v>0.4519774011299435</v>
      </c>
      <c r="BD22" s="439">
        <f t="shared" si="5"/>
        <v>0.52074644326395902</v>
      </c>
      <c r="BE22" s="368">
        <f t="shared" si="6"/>
        <v>0</v>
      </c>
      <c r="BF22" s="368"/>
      <c r="BG22" s="368"/>
      <c r="BH22" s="368"/>
      <c r="BI22" s="171"/>
      <c r="BJ22" s="1197">
        <v>46162</v>
      </c>
      <c r="BK22" s="171"/>
      <c r="BL22" s="177" t="b">
        <v>0</v>
      </c>
      <c r="BM22" s="177" t="b">
        <v>0</v>
      </c>
      <c r="BN22" s="154">
        <f t="shared" si="7"/>
        <v>-1</v>
      </c>
      <c r="BO22" s="154">
        <f t="shared" si="8"/>
        <v>-1</v>
      </c>
      <c r="BP22" s="348">
        <f t="shared" si="9"/>
        <v>0</v>
      </c>
      <c r="BQ22" s="176"/>
      <c r="BR22" s="176"/>
      <c r="BS22" s="176"/>
      <c r="BT22" s="176"/>
      <c r="BU22" s="1197">
        <v>46193</v>
      </c>
      <c r="BV22" s="176"/>
      <c r="BW22" s="177" t="b">
        <v>0</v>
      </c>
      <c r="BX22" s="177" t="b">
        <v>0</v>
      </c>
      <c r="BY22" s="439" t="e">
        <f t="shared" si="10"/>
        <v>#DIV/0!</v>
      </c>
      <c r="BZ22" s="439" t="e">
        <f t="shared" si="11"/>
        <v>#DIV/0!</v>
      </c>
      <c r="CA22" s="348">
        <f t="shared" si="12"/>
        <v>0</v>
      </c>
      <c r="CB22" s="176"/>
      <c r="CC22" s="176"/>
      <c r="CD22" s="176"/>
      <c r="CE22" s="176"/>
      <c r="CF22" s="186"/>
      <c r="CG22" s="176"/>
      <c r="CH22" s="177" t="b">
        <v>0</v>
      </c>
      <c r="CI22" s="177" t="b">
        <v>0</v>
      </c>
      <c r="CJ22" s="439" t="e">
        <f t="shared" si="13"/>
        <v>#DIV/0!</v>
      </c>
      <c r="CK22" s="439" t="e">
        <f t="shared" si="14"/>
        <v>#DIV/0!</v>
      </c>
      <c r="CL22" s="348">
        <f t="shared" si="15"/>
        <v>0</v>
      </c>
      <c r="CM22" s="176"/>
      <c r="CN22" s="176"/>
      <c r="CO22" s="176"/>
      <c r="CP22" s="176"/>
      <c r="CQ22" s="186"/>
      <c r="CR22" s="176"/>
      <c r="CS22" s="177" t="b">
        <v>0</v>
      </c>
      <c r="CT22" s="177" t="b">
        <v>0</v>
      </c>
      <c r="CU22" s="176" t="e">
        <f t="shared" si="16"/>
        <v>#DIV/0!</v>
      </c>
      <c r="CV22" s="176" t="e">
        <f t="shared" si="17"/>
        <v>#DIV/0!</v>
      </c>
      <c r="CW22" s="348">
        <f t="shared" si="18"/>
        <v>0</v>
      </c>
      <c r="CX22" s="176"/>
      <c r="CY22" s="176"/>
      <c r="CZ22" s="176"/>
      <c r="DA22" s="176"/>
      <c r="DB22" s="186"/>
      <c r="DC22" s="176"/>
      <c r="DD22" s="177" t="b">
        <v>0</v>
      </c>
      <c r="DE22" s="177" t="b">
        <v>0</v>
      </c>
      <c r="DF22" s="439" t="e">
        <f t="shared" si="19"/>
        <v>#DIV/0!</v>
      </c>
      <c r="DG22" s="439" t="e">
        <f t="shared" si="20"/>
        <v>#DIV/0!</v>
      </c>
      <c r="DH22" s="348">
        <f t="shared" si="21"/>
        <v>0</v>
      </c>
      <c r="DI22" s="176"/>
      <c r="DJ22" s="176"/>
      <c r="DK22" s="176"/>
      <c r="DL22" s="176"/>
      <c r="DM22" s="176"/>
      <c r="DN22" s="186"/>
      <c r="DO22" s="176"/>
      <c r="DP22" s="177" t="b">
        <v>0</v>
      </c>
      <c r="DQ22" s="177" t="b">
        <v>0</v>
      </c>
      <c r="DR22" s="439" t="e">
        <f t="shared" si="22"/>
        <v>#DIV/0!</v>
      </c>
      <c r="DS22" s="884">
        <f t="shared" si="23"/>
        <v>0</v>
      </c>
      <c r="DT22" s="176"/>
      <c r="DU22" s="176"/>
      <c r="DV22" s="176"/>
      <c r="DW22" s="176"/>
      <c r="DX22" s="176"/>
      <c r="DY22" s="186"/>
      <c r="DZ22" s="176"/>
      <c r="EA22" s="177" t="b">
        <v>0</v>
      </c>
      <c r="EB22" s="177" t="b">
        <v>0</v>
      </c>
      <c r="EC22" s="439" t="e">
        <f t="shared" si="24"/>
        <v>#DIV/0!</v>
      </c>
      <c r="ED22" s="884">
        <f t="shared" si="25"/>
        <v>0</v>
      </c>
      <c r="EE22" s="176"/>
      <c r="EF22" s="176"/>
      <c r="EG22" s="176"/>
      <c r="EH22" s="176"/>
      <c r="EI22" s="176"/>
      <c r="EJ22" s="186"/>
      <c r="EK22" s="176"/>
      <c r="EL22" s="177" t="b">
        <v>0</v>
      </c>
      <c r="EM22" s="177" t="b">
        <v>0</v>
      </c>
      <c r="EN22" s="439" t="e">
        <f t="shared" si="26"/>
        <v>#DIV/0!</v>
      </c>
      <c r="EO22" s="884">
        <f t="shared" si="27"/>
        <v>0</v>
      </c>
      <c r="EP22" s="176"/>
      <c r="EQ22" s="176"/>
      <c r="ER22" s="176"/>
      <c r="ES22" s="176"/>
      <c r="ET22" s="176"/>
      <c r="EU22" s="186"/>
      <c r="EV22" s="176"/>
      <c r="EW22" s="177" t="b">
        <v>0</v>
      </c>
      <c r="EX22" s="177" t="b">
        <v>0</v>
      </c>
      <c r="EY22" s="439" t="e">
        <f t="shared" si="28"/>
        <v>#DIV/0!</v>
      </c>
      <c r="EZ22" s="439" t="e">
        <f t="shared" si="29"/>
        <v>#DIV/0!</v>
      </c>
    </row>
    <row r="23" spans="1:156" ht="15" customHeight="1">
      <c r="C23" s="195" t="s">
        <v>997</v>
      </c>
      <c r="D23" s="154">
        <v>1450022</v>
      </c>
      <c r="E23" s="154">
        <v>318</v>
      </c>
      <c r="F23" s="154" t="s">
        <v>1007</v>
      </c>
      <c r="G23" s="154" t="s">
        <v>1008</v>
      </c>
      <c r="H23" s="154" t="s">
        <v>901</v>
      </c>
      <c r="I23" s="154" t="s">
        <v>1000</v>
      </c>
      <c r="J23" s="154" t="s">
        <v>1001</v>
      </c>
      <c r="K23" s="255" t="s">
        <v>1007</v>
      </c>
      <c r="L23" s="255" t="s">
        <v>1009</v>
      </c>
      <c r="M23" s="154"/>
      <c r="N23" s="154"/>
      <c r="O23" s="434">
        <v>37</v>
      </c>
      <c r="P23" s="432">
        <v>182</v>
      </c>
      <c r="Q23" s="348">
        <v>12402.3</v>
      </c>
      <c r="R23" s="348"/>
      <c r="S23" s="176"/>
      <c r="T23" s="203">
        <f t="shared" si="31"/>
        <v>12402.3</v>
      </c>
      <c r="U23" s="378">
        <v>594</v>
      </c>
      <c r="V23" s="186">
        <v>46042</v>
      </c>
      <c r="W23" s="383" t="s">
        <v>1003</v>
      </c>
      <c r="X23" s="144">
        <f t="shared" si="0"/>
        <v>16258.76</v>
      </c>
      <c r="Y23" s="170"/>
      <c r="Z23" s="170"/>
      <c r="AA23" s="170">
        <v>16258.76</v>
      </c>
      <c r="AB23" s="171">
        <v>764</v>
      </c>
      <c r="AC23" s="172">
        <v>46073</v>
      </c>
      <c r="AD23" s="171" t="s">
        <v>1004</v>
      </c>
      <c r="AE23" s="177" t="b">
        <v>1</v>
      </c>
      <c r="AF23" s="177" t="b">
        <v>1</v>
      </c>
      <c r="AG23" s="410">
        <f t="shared" si="1"/>
        <v>0.28619528619528617</v>
      </c>
      <c r="AH23" s="392">
        <f>(X23-Q23)/Q23</f>
        <v>0.31094716302621295</v>
      </c>
      <c r="AI23" s="455">
        <v>10995.83</v>
      </c>
      <c r="AJ23" s="368">
        <v>0</v>
      </c>
      <c r="AK23" s="368">
        <v>0</v>
      </c>
      <c r="AL23" s="368">
        <v>10995.83</v>
      </c>
      <c r="AM23" s="171">
        <v>532</v>
      </c>
      <c r="AN23" s="172">
        <v>46112</v>
      </c>
      <c r="AO23" s="484" t="s">
        <v>1005</v>
      </c>
      <c r="AP23" s="177" t="b">
        <v>1</v>
      </c>
      <c r="AQ23" s="177" t="b">
        <v>1</v>
      </c>
      <c r="AR23" s="439">
        <f t="shared" si="2"/>
        <v>-0.30366492146596857</v>
      </c>
      <c r="AS23" s="439">
        <f t="shared" si="3"/>
        <v>-0.32369811719958963</v>
      </c>
      <c r="AT23" s="203">
        <v>16916.62</v>
      </c>
      <c r="AU23" s="203">
        <v>0</v>
      </c>
      <c r="AV23" s="203">
        <v>0</v>
      </c>
      <c r="AW23" s="203">
        <v>16916.62</v>
      </c>
      <c r="AX23" s="171">
        <v>793</v>
      </c>
      <c r="AY23" s="172">
        <v>46132</v>
      </c>
      <c r="AZ23" s="171" t="s">
        <v>1006</v>
      </c>
      <c r="BA23" s="177" t="b">
        <v>1</v>
      </c>
      <c r="BB23" s="177" t="b">
        <v>1</v>
      </c>
      <c r="BC23" s="439">
        <f t="shared" si="4"/>
        <v>0.49060150375939848</v>
      </c>
      <c r="BD23" s="439">
        <f t="shared" si="5"/>
        <v>0.53845776080568719</v>
      </c>
      <c r="BE23" s="368">
        <f t="shared" si="6"/>
        <v>0</v>
      </c>
      <c r="BF23" s="368"/>
      <c r="BG23" s="368"/>
      <c r="BH23" s="368"/>
      <c r="BI23" s="171"/>
      <c r="BJ23" s="1197">
        <v>46162</v>
      </c>
      <c r="BK23" s="171"/>
      <c r="BL23" s="177" t="b">
        <v>0</v>
      </c>
      <c r="BM23" s="177" t="b">
        <v>0</v>
      </c>
      <c r="BN23" s="154">
        <f t="shared" si="7"/>
        <v>-1</v>
      </c>
      <c r="BO23" s="154">
        <f t="shared" si="8"/>
        <v>-1</v>
      </c>
      <c r="BP23" s="348">
        <f t="shared" si="9"/>
        <v>0</v>
      </c>
      <c r="BQ23" s="176"/>
      <c r="BR23" s="176"/>
      <c r="BS23" s="176"/>
      <c r="BT23" s="176"/>
      <c r="BU23" s="1197">
        <v>46193</v>
      </c>
      <c r="BV23" s="176"/>
      <c r="BW23" s="177" t="b">
        <v>0</v>
      </c>
      <c r="BX23" s="177" t="b">
        <v>0</v>
      </c>
      <c r="BY23" s="439" t="e">
        <f t="shared" si="10"/>
        <v>#DIV/0!</v>
      </c>
      <c r="BZ23" s="439" t="e">
        <f t="shared" si="11"/>
        <v>#DIV/0!</v>
      </c>
      <c r="CA23" s="348">
        <f t="shared" si="12"/>
        <v>0</v>
      </c>
      <c r="CB23" s="176"/>
      <c r="CC23" s="176"/>
      <c r="CD23" s="176"/>
      <c r="CE23" s="176"/>
      <c r="CF23" s="186"/>
      <c r="CG23" s="176"/>
      <c r="CH23" s="177" t="b">
        <v>0</v>
      </c>
      <c r="CI23" s="177" t="b">
        <v>0</v>
      </c>
      <c r="CJ23" s="439" t="e">
        <f t="shared" si="13"/>
        <v>#DIV/0!</v>
      </c>
      <c r="CK23" s="439" t="e">
        <f t="shared" si="14"/>
        <v>#DIV/0!</v>
      </c>
      <c r="CL23" s="348">
        <f t="shared" si="15"/>
        <v>0</v>
      </c>
      <c r="CM23" s="176"/>
      <c r="CN23" s="176"/>
      <c r="CO23" s="176"/>
      <c r="CP23" s="176"/>
      <c r="CQ23" s="186"/>
      <c r="CR23" s="176"/>
      <c r="CS23" s="177" t="b">
        <v>0</v>
      </c>
      <c r="CT23" s="177" t="b">
        <v>0</v>
      </c>
      <c r="CU23" s="176" t="e">
        <f t="shared" si="16"/>
        <v>#DIV/0!</v>
      </c>
      <c r="CV23" s="176" t="e">
        <f t="shared" si="17"/>
        <v>#DIV/0!</v>
      </c>
      <c r="CW23" s="348">
        <f t="shared" si="18"/>
        <v>0</v>
      </c>
      <c r="CX23" s="176"/>
      <c r="CY23" s="176"/>
      <c r="CZ23" s="176"/>
      <c r="DA23" s="176"/>
      <c r="DB23" s="186"/>
      <c r="DC23" s="176"/>
      <c r="DD23" s="177" t="b">
        <v>0</v>
      </c>
      <c r="DE23" s="177" t="b">
        <v>0</v>
      </c>
      <c r="DF23" s="439" t="e">
        <f t="shared" si="19"/>
        <v>#DIV/0!</v>
      </c>
      <c r="DG23" s="439" t="e">
        <f t="shared" si="20"/>
        <v>#DIV/0!</v>
      </c>
      <c r="DH23" s="348">
        <f t="shared" si="21"/>
        <v>0</v>
      </c>
      <c r="DI23" s="176"/>
      <c r="DJ23" s="176"/>
      <c r="DK23" s="176"/>
      <c r="DL23" s="176"/>
      <c r="DM23" s="176"/>
      <c r="DN23" s="186"/>
      <c r="DO23" s="176"/>
      <c r="DP23" s="177" t="b">
        <v>0</v>
      </c>
      <c r="DQ23" s="177" t="b">
        <v>0</v>
      </c>
      <c r="DR23" s="439" t="e">
        <f t="shared" si="22"/>
        <v>#DIV/0!</v>
      </c>
      <c r="DS23" s="884">
        <f t="shared" si="23"/>
        <v>0</v>
      </c>
      <c r="DT23" s="176"/>
      <c r="DU23" s="176"/>
      <c r="DV23" s="176"/>
      <c r="DW23" s="176"/>
      <c r="DX23" s="176"/>
      <c r="DY23" s="186"/>
      <c r="DZ23" s="176"/>
      <c r="EA23" s="177" t="b">
        <v>0</v>
      </c>
      <c r="EB23" s="177" t="b">
        <v>0</v>
      </c>
      <c r="EC23" s="439" t="e">
        <f t="shared" si="24"/>
        <v>#DIV/0!</v>
      </c>
      <c r="ED23" s="884">
        <f t="shared" si="25"/>
        <v>0</v>
      </c>
      <c r="EE23" s="176"/>
      <c r="EF23" s="176"/>
      <c r="EG23" s="176"/>
      <c r="EH23" s="176"/>
      <c r="EI23" s="176"/>
      <c r="EJ23" s="186"/>
      <c r="EK23" s="176"/>
      <c r="EL23" s="177" t="b">
        <v>0</v>
      </c>
      <c r="EM23" s="177" t="b">
        <v>0</v>
      </c>
      <c r="EN23" s="439" t="e">
        <f t="shared" si="26"/>
        <v>#DIV/0!</v>
      </c>
      <c r="EO23" s="884">
        <f t="shared" si="27"/>
        <v>0</v>
      </c>
      <c r="EP23" s="176"/>
      <c r="EQ23" s="176"/>
      <c r="ER23" s="176"/>
      <c r="ES23" s="176"/>
      <c r="ET23" s="176"/>
      <c r="EU23" s="186"/>
      <c r="EV23" s="176"/>
      <c r="EW23" s="177" t="b">
        <v>0</v>
      </c>
      <c r="EX23" s="177" t="b">
        <v>0</v>
      </c>
      <c r="EY23" s="439" t="e">
        <f t="shared" si="28"/>
        <v>#DIV/0!</v>
      </c>
      <c r="EZ23" s="439" t="e">
        <f t="shared" si="29"/>
        <v>#DIV/0!</v>
      </c>
    </row>
    <row r="24" spans="1:156" ht="15" customHeight="1">
      <c r="C24" s="400" t="s">
        <v>1010</v>
      </c>
      <c r="D24" s="357">
        <v>1450022</v>
      </c>
      <c r="E24" s="357">
        <v>188</v>
      </c>
      <c r="F24" s="357" t="s">
        <v>1011</v>
      </c>
      <c r="G24" s="357" t="s">
        <v>1012</v>
      </c>
      <c r="H24" s="357" t="s">
        <v>901</v>
      </c>
      <c r="I24" s="357" t="s">
        <v>1013</v>
      </c>
      <c r="J24" s="357" t="s">
        <v>1014</v>
      </c>
      <c r="K24" s="426" t="s">
        <v>1011</v>
      </c>
      <c r="L24" s="426" t="s">
        <v>1015</v>
      </c>
      <c r="M24" s="357"/>
      <c r="N24" s="357"/>
      <c r="O24" s="429">
        <v>22</v>
      </c>
      <c r="P24" s="357"/>
      <c r="Q24" s="401">
        <v>13744.17</v>
      </c>
      <c r="R24" s="401"/>
      <c r="S24" s="358"/>
      <c r="T24" s="402">
        <f t="shared" si="31"/>
        <v>13744.17</v>
      </c>
      <c r="U24" s="403">
        <v>663</v>
      </c>
      <c r="V24" s="404">
        <v>46032</v>
      </c>
      <c r="W24" s="405" t="s">
        <v>1016</v>
      </c>
      <c r="X24" s="144">
        <f t="shared" si="0"/>
        <v>9858.99</v>
      </c>
      <c r="Y24" s="406"/>
      <c r="Z24" s="406"/>
      <c r="AA24" s="406">
        <v>9858.99</v>
      </c>
      <c r="AB24" s="148">
        <v>490</v>
      </c>
      <c r="AC24" s="407">
        <v>46063</v>
      </c>
      <c r="AD24" s="148" t="s">
        <v>1017</v>
      </c>
      <c r="AE24" s="164" t="b">
        <v>1</v>
      </c>
      <c r="AF24" s="164" t="b">
        <v>1</v>
      </c>
      <c r="AG24" s="408">
        <f t="shared" si="1"/>
        <v>-0.26093514328808448</v>
      </c>
      <c r="AH24" s="409">
        <f>(X24-Q24)/Q24</f>
        <v>-0.28267840109661041</v>
      </c>
      <c r="AI24" s="1096">
        <f t="shared" si="30"/>
        <v>11183.99</v>
      </c>
      <c r="AJ24" s="364"/>
      <c r="AK24" s="364"/>
      <c r="AL24" s="364">
        <v>11183.99</v>
      </c>
      <c r="AM24" s="148">
        <v>549</v>
      </c>
      <c r="AN24" s="407">
        <v>46091</v>
      </c>
      <c r="AO24" s="148" t="s">
        <v>1018</v>
      </c>
      <c r="AP24" s="164" t="b">
        <v>1</v>
      </c>
      <c r="AQ24" s="164" t="b">
        <v>1</v>
      </c>
      <c r="AR24" s="438">
        <f t="shared" si="2"/>
        <v>0.12040816326530612</v>
      </c>
      <c r="AS24" s="438">
        <f t="shared" si="3"/>
        <v>0.13439510538097715</v>
      </c>
      <c r="AT24" s="402">
        <v>12306.87</v>
      </c>
      <c r="AU24" s="402">
        <v>0</v>
      </c>
      <c r="AV24" s="402">
        <v>0</v>
      </c>
      <c r="AW24" s="402">
        <v>12306.87</v>
      </c>
      <c r="AX24" s="148">
        <v>599</v>
      </c>
      <c r="AY24" s="407">
        <v>46122</v>
      </c>
      <c r="AZ24" s="148" t="s">
        <v>1019</v>
      </c>
      <c r="BA24" s="164" t="b">
        <v>1</v>
      </c>
      <c r="BB24" s="164" t="b">
        <v>0</v>
      </c>
      <c r="BC24" s="438">
        <f t="shared" si="4"/>
        <v>9.107468123861566E-2</v>
      </c>
      <c r="BD24" s="438">
        <f t="shared" si="5"/>
        <v>0.10040066201775941</v>
      </c>
      <c r="BE24" s="364">
        <f t="shared" si="6"/>
        <v>0</v>
      </c>
      <c r="BF24" s="364"/>
      <c r="BG24" s="364"/>
      <c r="BH24" s="364"/>
      <c r="BI24" s="148"/>
      <c r="BJ24" s="1196">
        <v>46152</v>
      </c>
      <c r="BK24" s="148"/>
      <c r="BL24" s="164" t="b">
        <v>0</v>
      </c>
      <c r="BM24" s="164" t="b">
        <v>0</v>
      </c>
      <c r="BN24" s="357">
        <f t="shared" si="7"/>
        <v>-1</v>
      </c>
      <c r="BO24" s="357">
        <f t="shared" si="8"/>
        <v>-1</v>
      </c>
      <c r="BP24" s="401">
        <f t="shared" si="9"/>
        <v>0</v>
      </c>
      <c r="BQ24" s="358"/>
      <c r="BR24" s="358"/>
      <c r="BS24" s="358"/>
      <c r="BT24" s="358"/>
      <c r="BU24" s="1196">
        <v>46183</v>
      </c>
      <c r="BV24" s="358"/>
      <c r="BW24" s="164" t="b">
        <v>0</v>
      </c>
      <c r="BX24" s="164" t="b">
        <v>0</v>
      </c>
      <c r="BY24" s="438" t="e">
        <f t="shared" si="10"/>
        <v>#DIV/0!</v>
      </c>
      <c r="BZ24" s="438" t="e">
        <f t="shared" si="11"/>
        <v>#DIV/0!</v>
      </c>
      <c r="CA24" s="401">
        <f t="shared" si="12"/>
        <v>0</v>
      </c>
      <c r="CB24" s="358"/>
      <c r="CC24" s="358"/>
      <c r="CD24" s="358"/>
      <c r="CE24" s="358"/>
      <c r="CF24" s="404"/>
      <c r="CG24" s="358"/>
      <c r="CH24" s="164" t="b">
        <v>0</v>
      </c>
      <c r="CI24" s="164" t="b">
        <v>0</v>
      </c>
      <c r="CJ24" s="438" t="e">
        <f t="shared" si="13"/>
        <v>#DIV/0!</v>
      </c>
      <c r="CK24" s="438" t="e">
        <f t="shared" si="14"/>
        <v>#DIV/0!</v>
      </c>
      <c r="CL24" s="401">
        <f t="shared" si="15"/>
        <v>0</v>
      </c>
      <c r="CM24" s="358"/>
      <c r="CN24" s="358"/>
      <c r="CO24" s="358"/>
      <c r="CP24" s="358"/>
      <c r="CQ24" s="404"/>
      <c r="CR24" s="358"/>
      <c r="CS24" s="164" t="b">
        <v>0</v>
      </c>
      <c r="CT24" s="164" t="b">
        <v>0</v>
      </c>
      <c r="CU24" s="358" t="e">
        <f t="shared" si="16"/>
        <v>#DIV/0!</v>
      </c>
      <c r="CV24" s="358" t="e">
        <f t="shared" si="17"/>
        <v>#DIV/0!</v>
      </c>
      <c r="CW24" s="401">
        <f t="shared" si="18"/>
        <v>0</v>
      </c>
      <c r="CX24" s="358"/>
      <c r="CY24" s="358"/>
      <c r="CZ24" s="358"/>
      <c r="DA24" s="358"/>
      <c r="DB24" s="404"/>
      <c r="DC24" s="358"/>
      <c r="DD24" s="164" t="b">
        <v>0</v>
      </c>
      <c r="DE24" s="164" t="b">
        <v>0</v>
      </c>
      <c r="DF24" s="438" t="e">
        <f t="shared" si="19"/>
        <v>#DIV/0!</v>
      </c>
      <c r="DG24" s="438" t="e">
        <f t="shared" si="20"/>
        <v>#DIV/0!</v>
      </c>
      <c r="DH24" s="401">
        <f t="shared" si="21"/>
        <v>0</v>
      </c>
      <c r="DI24" s="358"/>
      <c r="DJ24" s="358"/>
      <c r="DK24" s="358"/>
      <c r="DL24" s="358"/>
      <c r="DM24" s="358"/>
      <c r="DN24" s="404"/>
      <c r="DO24" s="358"/>
      <c r="DP24" s="164" t="b">
        <v>0</v>
      </c>
      <c r="DQ24" s="164" t="b">
        <v>0</v>
      </c>
      <c r="DR24" s="438" t="e">
        <f t="shared" si="22"/>
        <v>#DIV/0!</v>
      </c>
      <c r="DS24" s="883">
        <f t="shared" si="23"/>
        <v>0</v>
      </c>
      <c r="DT24" s="358"/>
      <c r="DU24" s="358"/>
      <c r="DV24" s="358"/>
      <c r="DW24" s="358"/>
      <c r="DX24" s="358"/>
      <c r="DY24" s="404"/>
      <c r="DZ24" s="358"/>
      <c r="EA24" s="164" t="b">
        <v>0</v>
      </c>
      <c r="EB24" s="164" t="b">
        <v>0</v>
      </c>
      <c r="EC24" s="438" t="e">
        <f t="shared" si="24"/>
        <v>#DIV/0!</v>
      </c>
      <c r="ED24" s="883">
        <f t="shared" si="25"/>
        <v>0</v>
      </c>
      <c r="EE24" s="358"/>
      <c r="EF24" s="358"/>
      <c r="EG24" s="358"/>
      <c r="EH24" s="358"/>
      <c r="EI24" s="358"/>
      <c r="EJ24" s="404"/>
      <c r="EK24" s="358"/>
      <c r="EL24" s="164" t="b">
        <v>0</v>
      </c>
      <c r="EM24" s="164" t="b">
        <v>0</v>
      </c>
      <c r="EN24" s="438" t="e">
        <f t="shared" si="26"/>
        <v>#DIV/0!</v>
      </c>
      <c r="EO24" s="883">
        <f t="shared" si="27"/>
        <v>0</v>
      </c>
      <c r="EP24" s="358"/>
      <c r="EQ24" s="358"/>
      <c r="ER24" s="358"/>
      <c r="ES24" s="358"/>
      <c r="ET24" s="358"/>
      <c r="EU24" s="404"/>
      <c r="EV24" s="358"/>
      <c r="EW24" s="164" t="b">
        <v>0</v>
      </c>
      <c r="EX24" s="164" t="b">
        <v>0</v>
      </c>
      <c r="EY24" s="438" t="e">
        <f t="shared" si="28"/>
        <v>#DIV/0!</v>
      </c>
      <c r="EZ24" s="438" t="e">
        <f t="shared" si="29"/>
        <v>#DIV/0!</v>
      </c>
    </row>
    <row r="25" spans="1:156" ht="15" customHeight="1">
      <c r="C25" s="197" t="s">
        <v>1020</v>
      </c>
      <c r="D25" s="154">
        <v>1450022</v>
      </c>
      <c r="E25" s="154">
        <v>239</v>
      </c>
      <c r="F25" s="154">
        <v>50800037</v>
      </c>
      <c r="G25" s="154" t="s">
        <v>1021</v>
      </c>
      <c r="H25" s="154" t="s">
        <v>1022</v>
      </c>
      <c r="I25" s="154" t="s">
        <v>1023</v>
      </c>
      <c r="J25" s="154" t="s">
        <v>1024</v>
      </c>
      <c r="K25" s="255" t="s">
        <v>1025</v>
      </c>
      <c r="L25" s="255" t="s">
        <v>1026</v>
      </c>
      <c r="M25" s="154"/>
      <c r="N25" s="154"/>
      <c r="O25" s="434">
        <v>110</v>
      </c>
      <c r="P25" s="432">
        <v>158</v>
      </c>
      <c r="Q25" s="348">
        <v>16102.36</v>
      </c>
      <c r="R25" s="348"/>
      <c r="S25" s="176"/>
      <c r="T25" s="203">
        <f t="shared" si="31"/>
        <v>16102.36</v>
      </c>
      <c r="U25" s="378">
        <v>1034</v>
      </c>
      <c r="V25" s="186">
        <v>46042</v>
      </c>
      <c r="W25" s="383" t="s">
        <v>1027</v>
      </c>
      <c r="X25" s="144">
        <f t="shared" si="0"/>
        <v>15423.76</v>
      </c>
      <c r="Y25" s="170">
        <v>0</v>
      </c>
      <c r="Z25" s="170"/>
      <c r="AA25" s="170">
        <v>15423.76</v>
      </c>
      <c r="AB25" s="171">
        <v>992</v>
      </c>
      <c r="AC25" s="172">
        <v>46073</v>
      </c>
      <c r="AD25" s="171" t="s">
        <v>1028</v>
      </c>
      <c r="AE25" s="177" t="b">
        <v>1</v>
      </c>
      <c r="AF25" s="177" t="b">
        <v>1</v>
      </c>
      <c r="AG25" s="410">
        <f t="shared" si="1"/>
        <v>-4.0618955512572531E-2</v>
      </c>
      <c r="AH25" s="392">
        <f>(X25-Q25)/Q25</f>
        <v>-4.2142890855750362E-2</v>
      </c>
      <c r="AI25" s="455">
        <v>18509.77</v>
      </c>
      <c r="AJ25" s="368">
        <v>0</v>
      </c>
      <c r="AK25" s="368">
        <v>0</v>
      </c>
      <c r="AL25" s="368">
        <v>18509.77</v>
      </c>
      <c r="AM25" s="171">
        <v>1183</v>
      </c>
      <c r="AN25" s="172">
        <v>46101</v>
      </c>
      <c r="AO25" s="171" t="s">
        <v>1029</v>
      </c>
      <c r="AP25" s="177" t="b">
        <v>1</v>
      </c>
      <c r="AQ25" s="177" t="b">
        <v>1</v>
      </c>
      <c r="AR25" s="439">
        <f t="shared" si="2"/>
        <v>0.19254032258064516</v>
      </c>
      <c r="AS25" s="439">
        <f t="shared" si="3"/>
        <v>0.20008156247244513</v>
      </c>
      <c r="AT25" s="203">
        <f t="shared" si="32"/>
        <v>0</v>
      </c>
      <c r="AU25" s="203"/>
      <c r="AV25" s="203"/>
      <c r="AW25" s="203"/>
      <c r="AX25" s="171"/>
      <c r="AY25" s="925">
        <v>46132</v>
      </c>
      <c r="AZ25" s="171"/>
      <c r="BA25" s="177" t="b">
        <v>0</v>
      </c>
      <c r="BB25" s="177" t="b">
        <v>0</v>
      </c>
      <c r="BC25" s="439">
        <f t="shared" si="4"/>
        <v>-1</v>
      </c>
      <c r="BD25" s="439">
        <f t="shared" si="5"/>
        <v>-1</v>
      </c>
      <c r="BE25" s="368">
        <f t="shared" si="6"/>
        <v>0</v>
      </c>
      <c r="BF25" s="368"/>
      <c r="BG25" s="368"/>
      <c r="BH25" s="368"/>
      <c r="BI25" s="171"/>
      <c r="BJ25" s="1197">
        <v>46162</v>
      </c>
      <c r="BK25" s="171"/>
      <c r="BL25" s="177" t="b">
        <v>0</v>
      </c>
      <c r="BM25" s="177" t="b">
        <v>0</v>
      </c>
      <c r="BN25" s="154" t="e">
        <f t="shared" si="7"/>
        <v>#DIV/0!</v>
      </c>
      <c r="BO25" s="154" t="e">
        <f t="shared" si="8"/>
        <v>#DIV/0!</v>
      </c>
      <c r="BP25" s="348">
        <f t="shared" si="9"/>
        <v>0</v>
      </c>
      <c r="BQ25" s="176"/>
      <c r="BR25" s="176"/>
      <c r="BS25" s="176"/>
      <c r="BT25" s="176"/>
      <c r="BU25" s="1197">
        <v>46193</v>
      </c>
      <c r="BV25" s="176"/>
      <c r="BW25" s="177" t="b">
        <v>0</v>
      </c>
      <c r="BX25" s="177" t="b">
        <v>0</v>
      </c>
      <c r="BY25" s="439" t="e">
        <f t="shared" si="10"/>
        <v>#DIV/0!</v>
      </c>
      <c r="BZ25" s="439" t="e">
        <f t="shared" si="11"/>
        <v>#DIV/0!</v>
      </c>
      <c r="CA25" s="348">
        <f t="shared" si="12"/>
        <v>0</v>
      </c>
      <c r="CB25" s="176"/>
      <c r="CC25" s="176"/>
      <c r="CD25" s="176"/>
      <c r="CE25" s="176"/>
      <c r="CF25" s="186"/>
      <c r="CG25" s="176"/>
      <c r="CH25" s="177" t="b">
        <v>0</v>
      </c>
      <c r="CI25" s="177" t="b">
        <v>0</v>
      </c>
      <c r="CJ25" s="439" t="e">
        <f t="shared" si="13"/>
        <v>#DIV/0!</v>
      </c>
      <c r="CK25" s="439" t="e">
        <f t="shared" si="14"/>
        <v>#DIV/0!</v>
      </c>
      <c r="CL25" s="348">
        <f t="shared" si="15"/>
        <v>0</v>
      </c>
      <c r="CM25" s="176"/>
      <c r="CN25" s="176"/>
      <c r="CO25" s="176"/>
      <c r="CP25" s="176"/>
      <c r="CQ25" s="186"/>
      <c r="CR25" s="176"/>
      <c r="CS25" s="177" t="b">
        <v>0</v>
      </c>
      <c r="CT25" s="177" t="b">
        <v>0</v>
      </c>
      <c r="CU25" s="176" t="e">
        <f t="shared" si="16"/>
        <v>#DIV/0!</v>
      </c>
      <c r="CV25" s="176" t="e">
        <f t="shared" si="17"/>
        <v>#DIV/0!</v>
      </c>
      <c r="CW25" s="348">
        <f t="shared" si="18"/>
        <v>0</v>
      </c>
      <c r="CX25" s="176"/>
      <c r="CY25" s="176"/>
      <c r="CZ25" s="176"/>
      <c r="DA25" s="176"/>
      <c r="DB25" s="186"/>
      <c r="DC25" s="176"/>
      <c r="DD25" s="177" t="b">
        <v>0</v>
      </c>
      <c r="DE25" s="177" t="b">
        <v>0</v>
      </c>
      <c r="DF25" s="439" t="e">
        <f t="shared" si="19"/>
        <v>#DIV/0!</v>
      </c>
      <c r="DG25" s="439" t="e">
        <f t="shared" si="20"/>
        <v>#DIV/0!</v>
      </c>
      <c r="DH25" s="348">
        <f t="shared" si="21"/>
        <v>0</v>
      </c>
      <c r="DI25" s="176"/>
      <c r="DJ25" s="176"/>
      <c r="DK25" s="176"/>
      <c r="DL25" s="176"/>
      <c r="DM25" s="176"/>
      <c r="DN25" s="186"/>
      <c r="DO25" s="176"/>
      <c r="DP25" s="177" t="b">
        <v>0</v>
      </c>
      <c r="DQ25" s="177" t="b">
        <v>0</v>
      </c>
      <c r="DR25" s="439" t="e">
        <f t="shared" si="22"/>
        <v>#DIV/0!</v>
      </c>
      <c r="DS25" s="884">
        <f t="shared" si="23"/>
        <v>0</v>
      </c>
      <c r="DT25" s="176"/>
      <c r="DU25" s="176"/>
      <c r="DV25" s="176"/>
      <c r="DW25" s="176"/>
      <c r="DX25" s="176"/>
      <c r="DY25" s="186"/>
      <c r="DZ25" s="176"/>
      <c r="EA25" s="177" t="b">
        <v>0</v>
      </c>
      <c r="EB25" s="177" t="b">
        <v>0</v>
      </c>
      <c r="EC25" s="439" t="e">
        <f t="shared" si="24"/>
        <v>#DIV/0!</v>
      </c>
      <c r="ED25" s="884">
        <f t="shared" si="25"/>
        <v>0</v>
      </c>
      <c r="EE25" s="176"/>
      <c r="EF25" s="176"/>
      <c r="EG25" s="176"/>
      <c r="EH25" s="176"/>
      <c r="EI25" s="176"/>
      <c r="EJ25" s="186"/>
      <c r="EK25" s="176"/>
      <c r="EL25" s="177" t="b">
        <v>0</v>
      </c>
      <c r="EM25" s="177" t="b">
        <v>0</v>
      </c>
      <c r="EN25" s="439" t="e">
        <f t="shared" si="26"/>
        <v>#DIV/0!</v>
      </c>
      <c r="EO25" s="884">
        <f t="shared" si="27"/>
        <v>0</v>
      </c>
      <c r="EP25" s="176"/>
      <c r="EQ25" s="176"/>
      <c r="ER25" s="176"/>
      <c r="ES25" s="176"/>
      <c r="ET25" s="176"/>
      <c r="EU25" s="186"/>
      <c r="EV25" s="176"/>
      <c r="EW25" s="177" t="b">
        <v>0</v>
      </c>
      <c r="EX25" s="177" t="b">
        <v>0</v>
      </c>
      <c r="EY25" s="439" t="e">
        <f t="shared" si="28"/>
        <v>#DIV/0!</v>
      </c>
      <c r="EZ25" s="439" t="e">
        <f t="shared" si="29"/>
        <v>#DIV/0!</v>
      </c>
    </row>
    <row r="26" spans="1:156" ht="15" customHeight="1">
      <c r="C26" s="400" t="s">
        <v>1030</v>
      </c>
      <c r="D26" s="357">
        <v>1450022</v>
      </c>
      <c r="E26" s="357">
        <v>224</v>
      </c>
      <c r="F26" s="357" t="s">
        <v>1031</v>
      </c>
      <c r="G26" s="357" t="s">
        <v>1032</v>
      </c>
      <c r="H26" s="357" t="s">
        <v>1033</v>
      </c>
      <c r="I26" s="357" t="s">
        <v>1034</v>
      </c>
      <c r="J26" s="357" t="s">
        <v>1035</v>
      </c>
      <c r="K26" s="426" t="s">
        <v>1031</v>
      </c>
      <c r="L26" s="426" t="s">
        <v>1036</v>
      </c>
      <c r="M26" s="357"/>
      <c r="N26" s="357"/>
      <c r="O26" s="429">
        <v>24</v>
      </c>
      <c r="P26" s="357"/>
      <c r="Q26" s="401">
        <v>26963.09</v>
      </c>
      <c r="R26" s="401"/>
      <c r="S26" s="358"/>
      <c r="T26" s="402">
        <f t="shared" si="31"/>
        <v>26963.09</v>
      </c>
      <c r="U26" s="403">
        <v>1432</v>
      </c>
      <c r="V26" s="404">
        <v>46032</v>
      </c>
      <c r="W26" s="405" t="s">
        <v>1037</v>
      </c>
      <c r="X26" s="144">
        <f t="shared" si="0"/>
        <v>32094.14</v>
      </c>
      <c r="Y26" s="406"/>
      <c r="Z26" s="406"/>
      <c r="AA26" s="406">
        <v>32094.14</v>
      </c>
      <c r="AB26" s="148">
        <v>1699</v>
      </c>
      <c r="AC26" s="407">
        <v>46063</v>
      </c>
      <c r="AD26" s="148" t="s">
        <v>1038</v>
      </c>
      <c r="AE26" s="164" t="b">
        <v>1</v>
      </c>
      <c r="AF26" s="164" t="b">
        <v>1</v>
      </c>
      <c r="AG26" s="408">
        <f t="shared" si="1"/>
        <v>0.18645251396648044</v>
      </c>
      <c r="AH26" s="409">
        <f>(X26-Q26)/Q26</f>
        <v>0.19029903471746001</v>
      </c>
      <c r="AI26" s="1096">
        <v>26847.79</v>
      </c>
      <c r="AJ26" s="364">
        <v>0</v>
      </c>
      <c r="AK26" s="364"/>
      <c r="AL26" s="364">
        <v>26847.79</v>
      </c>
      <c r="AM26" s="148">
        <v>1426</v>
      </c>
      <c r="AN26" s="407">
        <v>46091</v>
      </c>
      <c r="AO26" s="148" t="s">
        <v>1039</v>
      </c>
      <c r="AP26" s="164" t="b">
        <v>1</v>
      </c>
      <c r="AQ26" s="164" t="b">
        <v>1</v>
      </c>
      <c r="AR26" s="438">
        <f t="shared" si="2"/>
        <v>-0.16068275456150677</v>
      </c>
      <c r="AS26" s="438">
        <f t="shared" si="3"/>
        <v>-0.16346753644123191</v>
      </c>
      <c r="AT26" s="402">
        <v>28566.9</v>
      </c>
      <c r="AU26" s="402">
        <v>0</v>
      </c>
      <c r="AV26" s="402">
        <v>0</v>
      </c>
      <c r="AW26" s="402">
        <v>28566.9</v>
      </c>
      <c r="AX26" s="148">
        <v>1452</v>
      </c>
      <c r="AY26" s="407">
        <v>46122</v>
      </c>
      <c r="AZ26" s="148" t="s">
        <v>1040</v>
      </c>
      <c r="BA26" s="164" t="b">
        <v>1</v>
      </c>
      <c r="BB26" s="164" t="b">
        <v>1</v>
      </c>
      <c r="BC26" s="438">
        <f t="shared" si="4"/>
        <v>1.82328190743338E-2</v>
      </c>
      <c r="BD26" s="438">
        <f t="shared" si="5"/>
        <v>6.4031713597283074E-2</v>
      </c>
      <c r="BE26" s="364">
        <f t="shared" si="6"/>
        <v>0</v>
      </c>
      <c r="BF26" s="364"/>
      <c r="BG26" s="364"/>
      <c r="BH26" s="364"/>
      <c r="BI26" s="148"/>
      <c r="BJ26" s="1196">
        <v>46152</v>
      </c>
      <c r="BK26" s="148"/>
      <c r="BL26" s="164" t="b">
        <v>0</v>
      </c>
      <c r="BM26" s="164" t="b">
        <v>0</v>
      </c>
      <c r="BN26" s="357">
        <f t="shared" si="7"/>
        <v>-1</v>
      </c>
      <c r="BO26" s="357">
        <f t="shared" si="8"/>
        <v>-1</v>
      </c>
      <c r="BP26" s="401">
        <f t="shared" si="9"/>
        <v>0</v>
      </c>
      <c r="BQ26" s="358"/>
      <c r="BR26" s="358"/>
      <c r="BS26" s="358"/>
      <c r="BT26" s="358"/>
      <c r="BU26" s="1196">
        <v>46183</v>
      </c>
      <c r="BV26" s="358"/>
      <c r="BW26" s="164" t="b">
        <v>0</v>
      </c>
      <c r="BX26" s="164" t="b">
        <v>0</v>
      </c>
      <c r="BY26" s="438" t="e">
        <f t="shared" si="10"/>
        <v>#DIV/0!</v>
      </c>
      <c r="BZ26" s="438" t="e">
        <f t="shared" si="11"/>
        <v>#DIV/0!</v>
      </c>
      <c r="CA26" s="401">
        <f t="shared" si="12"/>
        <v>0</v>
      </c>
      <c r="CB26" s="358"/>
      <c r="CC26" s="358"/>
      <c r="CD26" s="358"/>
      <c r="CE26" s="358"/>
      <c r="CF26" s="404"/>
      <c r="CG26" s="358"/>
      <c r="CH26" s="164" t="b">
        <v>0</v>
      </c>
      <c r="CI26" s="164" t="b">
        <v>0</v>
      </c>
      <c r="CJ26" s="438" t="e">
        <f t="shared" si="13"/>
        <v>#DIV/0!</v>
      </c>
      <c r="CK26" s="438" t="e">
        <f t="shared" si="14"/>
        <v>#DIV/0!</v>
      </c>
      <c r="CL26" s="401">
        <f t="shared" si="15"/>
        <v>0</v>
      </c>
      <c r="CM26" s="358"/>
      <c r="CN26" s="358"/>
      <c r="CO26" s="358"/>
      <c r="CP26" s="358"/>
      <c r="CQ26" s="404"/>
      <c r="CR26" s="358"/>
      <c r="CS26" s="164" t="b">
        <v>0</v>
      </c>
      <c r="CT26" s="164" t="b">
        <v>0</v>
      </c>
      <c r="CU26" s="358" t="e">
        <f t="shared" si="16"/>
        <v>#DIV/0!</v>
      </c>
      <c r="CV26" s="358" t="e">
        <f t="shared" si="17"/>
        <v>#DIV/0!</v>
      </c>
      <c r="CW26" s="401">
        <f t="shared" si="18"/>
        <v>0</v>
      </c>
      <c r="CX26" s="358"/>
      <c r="CY26" s="358"/>
      <c r="CZ26" s="358"/>
      <c r="DA26" s="358"/>
      <c r="DB26" s="404"/>
      <c r="DC26" s="358"/>
      <c r="DD26" s="164" t="b">
        <v>0</v>
      </c>
      <c r="DE26" s="164" t="b">
        <v>0</v>
      </c>
      <c r="DF26" s="438" t="e">
        <f t="shared" si="19"/>
        <v>#DIV/0!</v>
      </c>
      <c r="DG26" s="438" t="e">
        <f t="shared" si="20"/>
        <v>#DIV/0!</v>
      </c>
      <c r="DH26" s="401">
        <f t="shared" si="21"/>
        <v>0</v>
      </c>
      <c r="DI26" s="358"/>
      <c r="DJ26" s="358"/>
      <c r="DK26" s="358"/>
      <c r="DL26" s="358"/>
      <c r="DM26" s="358"/>
      <c r="DN26" s="404"/>
      <c r="DO26" s="358"/>
      <c r="DP26" s="164" t="b">
        <v>0</v>
      </c>
      <c r="DQ26" s="164" t="b">
        <v>0</v>
      </c>
      <c r="DR26" s="438" t="e">
        <f t="shared" si="22"/>
        <v>#DIV/0!</v>
      </c>
      <c r="DS26" s="883">
        <f t="shared" si="23"/>
        <v>0</v>
      </c>
      <c r="DT26" s="358"/>
      <c r="DU26" s="358"/>
      <c r="DV26" s="358"/>
      <c r="DW26" s="358"/>
      <c r="DX26" s="358"/>
      <c r="DY26" s="404"/>
      <c r="DZ26" s="358"/>
      <c r="EA26" s="164" t="b">
        <v>0</v>
      </c>
      <c r="EB26" s="164" t="b">
        <v>0</v>
      </c>
      <c r="EC26" s="438" t="e">
        <f t="shared" si="24"/>
        <v>#DIV/0!</v>
      </c>
      <c r="ED26" s="883">
        <f t="shared" si="25"/>
        <v>0</v>
      </c>
      <c r="EE26" s="358"/>
      <c r="EF26" s="358"/>
      <c r="EG26" s="358"/>
      <c r="EH26" s="358"/>
      <c r="EI26" s="358"/>
      <c r="EJ26" s="404"/>
      <c r="EK26" s="358"/>
      <c r="EL26" s="164" t="b">
        <v>0</v>
      </c>
      <c r="EM26" s="164" t="b">
        <v>0</v>
      </c>
      <c r="EN26" s="438" t="e">
        <f t="shared" si="26"/>
        <v>#DIV/0!</v>
      </c>
      <c r="EO26" s="883">
        <f t="shared" si="27"/>
        <v>0</v>
      </c>
      <c r="EP26" s="358"/>
      <c r="EQ26" s="358"/>
      <c r="ER26" s="358"/>
      <c r="ES26" s="358"/>
      <c r="ET26" s="358"/>
      <c r="EU26" s="404"/>
      <c r="EV26" s="358"/>
      <c r="EW26" s="164" t="b">
        <v>0</v>
      </c>
      <c r="EX26" s="164" t="b">
        <v>0</v>
      </c>
      <c r="EY26" s="438" t="e">
        <f t="shared" si="28"/>
        <v>#DIV/0!</v>
      </c>
      <c r="EZ26" s="438" t="e">
        <f t="shared" si="29"/>
        <v>#DIV/0!</v>
      </c>
    </row>
    <row r="27" spans="1:156" ht="15" customHeight="1">
      <c r="C27" s="195" t="s">
        <v>1041</v>
      </c>
      <c r="D27" s="154">
        <v>1450022</v>
      </c>
      <c r="E27" s="154">
        <v>152</v>
      </c>
      <c r="F27" s="154" t="s">
        <v>1042</v>
      </c>
      <c r="G27" s="154" t="s">
        <v>1043</v>
      </c>
      <c r="H27" s="154" t="s">
        <v>901</v>
      </c>
      <c r="I27" s="154" t="s">
        <v>1044</v>
      </c>
      <c r="J27" s="154" t="s">
        <v>1045</v>
      </c>
      <c r="K27" s="255" t="s">
        <v>1042</v>
      </c>
      <c r="L27" s="255" t="s">
        <v>1046</v>
      </c>
      <c r="M27" s="154"/>
      <c r="N27" s="154"/>
      <c r="O27" s="193">
        <v>23</v>
      </c>
      <c r="P27" s="154"/>
      <c r="Q27" s="348">
        <v>4770.7700000000004</v>
      </c>
      <c r="R27" s="348"/>
      <c r="S27" s="176"/>
      <c r="T27" s="203">
        <f t="shared" si="31"/>
        <v>4770.7700000000004</v>
      </c>
      <c r="U27" s="378">
        <v>369</v>
      </c>
      <c r="V27" s="186">
        <v>46032</v>
      </c>
      <c r="W27" s="383" t="s">
        <v>1047</v>
      </c>
      <c r="X27" s="144">
        <f t="shared" si="0"/>
        <v>6929.2</v>
      </c>
      <c r="Y27" s="170"/>
      <c r="Z27" s="170"/>
      <c r="AA27" s="170">
        <v>6929.2</v>
      </c>
      <c r="AB27" s="171">
        <v>521</v>
      </c>
      <c r="AC27" s="172">
        <v>46063</v>
      </c>
      <c r="AD27" s="171" t="s">
        <v>1048</v>
      </c>
      <c r="AE27" s="177" t="b">
        <v>1</v>
      </c>
      <c r="AF27" s="177" t="b">
        <v>1</v>
      </c>
      <c r="AG27" s="410">
        <f t="shared" si="1"/>
        <v>0.41192411924119243</v>
      </c>
      <c r="AH27" s="392">
        <f>(X27-Q27)/Q27</f>
        <v>0.45242801476491201</v>
      </c>
      <c r="AI27" s="455">
        <f t="shared" si="30"/>
        <v>7255.62</v>
      </c>
      <c r="AJ27" s="368"/>
      <c r="AK27" s="368">
        <v>0</v>
      </c>
      <c r="AL27" s="368">
        <v>7255.62</v>
      </c>
      <c r="AM27" s="171">
        <v>544</v>
      </c>
      <c r="AN27" s="172">
        <v>46091</v>
      </c>
      <c r="AO27" s="435" t="s">
        <v>1049</v>
      </c>
      <c r="AP27" s="177" t="b">
        <v>1</v>
      </c>
      <c r="AQ27" s="177" t="b">
        <v>1</v>
      </c>
      <c r="AR27" s="439">
        <f t="shared" si="2"/>
        <v>4.4145873320537425E-2</v>
      </c>
      <c r="AS27" s="439">
        <f t="shared" si="3"/>
        <v>4.7107891242856331E-2</v>
      </c>
      <c r="AT27" s="203">
        <v>9114.81</v>
      </c>
      <c r="AU27" s="203">
        <v>0</v>
      </c>
      <c r="AV27" s="203">
        <v>0</v>
      </c>
      <c r="AW27" s="203">
        <v>9114.81</v>
      </c>
      <c r="AX27" s="171">
        <v>675</v>
      </c>
      <c r="AY27" s="172">
        <v>46122</v>
      </c>
      <c r="AZ27" s="171" t="s">
        <v>1050</v>
      </c>
      <c r="BA27" s="177" t="b">
        <v>1</v>
      </c>
      <c r="BB27" s="177" t="b">
        <v>1</v>
      </c>
      <c r="BC27" s="439">
        <f t="shared" si="4"/>
        <v>0.24080882352941177</v>
      </c>
      <c r="BD27" s="439">
        <f t="shared" si="5"/>
        <v>0.25624136875966486</v>
      </c>
      <c r="BE27" s="368">
        <f t="shared" si="6"/>
        <v>0</v>
      </c>
      <c r="BF27" s="368"/>
      <c r="BG27" s="368"/>
      <c r="BH27" s="368"/>
      <c r="BI27" s="171"/>
      <c r="BJ27" s="1197">
        <v>46152</v>
      </c>
      <c r="BK27" s="171"/>
      <c r="BL27" s="177" t="b">
        <v>0</v>
      </c>
      <c r="BM27" s="177" t="b">
        <v>0</v>
      </c>
      <c r="BN27" s="154">
        <f t="shared" si="7"/>
        <v>-1</v>
      </c>
      <c r="BO27" s="154">
        <f t="shared" si="8"/>
        <v>-1</v>
      </c>
      <c r="BP27" s="348">
        <f t="shared" si="9"/>
        <v>0</v>
      </c>
      <c r="BQ27" s="176"/>
      <c r="BR27" s="176"/>
      <c r="BS27" s="176"/>
      <c r="BT27" s="176"/>
      <c r="BU27" s="1197">
        <v>46183</v>
      </c>
      <c r="BV27" s="176"/>
      <c r="BW27" s="177" t="b">
        <v>0</v>
      </c>
      <c r="BX27" s="177" t="b">
        <v>0</v>
      </c>
      <c r="BY27" s="439" t="e">
        <f t="shared" si="10"/>
        <v>#DIV/0!</v>
      </c>
      <c r="BZ27" s="439" t="e">
        <f t="shared" si="11"/>
        <v>#DIV/0!</v>
      </c>
      <c r="CA27" s="348">
        <f t="shared" si="12"/>
        <v>0</v>
      </c>
      <c r="CB27" s="176"/>
      <c r="CC27" s="176"/>
      <c r="CD27" s="176"/>
      <c r="CE27" s="176"/>
      <c r="CF27" s="186"/>
      <c r="CG27" s="176"/>
      <c r="CH27" s="177" t="b">
        <v>0</v>
      </c>
      <c r="CI27" s="177" t="b">
        <v>0</v>
      </c>
      <c r="CJ27" s="439" t="e">
        <f t="shared" si="13"/>
        <v>#DIV/0!</v>
      </c>
      <c r="CK27" s="439" t="e">
        <f t="shared" si="14"/>
        <v>#DIV/0!</v>
      </c>
      <c r="CL27" s="348">
        <f t="shared" si="15"/>
        <v>0</v>
      </c>
      <c r="CM27" s="176"/>
      <c r="CN27" s="176"/>
      <c r="CO27" s="176"/>
      <c r="CP27" s="176"/>
      <c r="CQ27" s="186"/>
      <c r="CR27" s="176"/>
      <c r="CS27" s="177" t="b">
        <v>0</v>
      </c>
      <c r="CT27" s="177" t="b">
        <v>0</v>
      </c>
      <c r="CU27" s="176" t="e">
        <f t="shared" si="16"/>
        <v>#DIV/0!</v>
      </c>
      <c r="CV27" s="176" t="e">
        <f t="shared" si="17"/>
        <v>#DIV/0!</v>
      </c>
      <c r="CW27" s="348">
        <f t="shared" si="18"/>
        <v>0</v>
      </c>
      <c r="CX27" s="176"/>
      <c r="CY27" s="176"/>
      <c r="CZ27" s="176"/>
      <c r="DA27" s="176"/>
      <c r="DB27" s="186"/>
      <c r="DC27" s="176"/>
      <c r="DD27" s="177" t="b">
        <v>0</v>
      </c>
      <c r="DE27" s="177" t="b">
        <v>0</v>
      </c>
      <c r="DF27" s="439" t="e">
        <f t="shared" si="19"/>
        <v>#DIV/0!</v>
      </c>
      <c r="DG27" s="439" t="e">
        <f t="shared" si="20"/>
        <v>#DIV/0!</v>
      </c>
      <c r="DH27" s="348">
        <f t="shared" si="21"/>
        <v>0</v>
      </c>
      <c r="DI27" s="176"/>
      <c r="DJ27" s="176"/>
      <c r="DK27" s="176"/>
      <c r="DL27" s="176"/>
      <c r="DM27" s="176"/>
      <c r="DN27" s="186"/>
      <c r="DO27" s="176"/>
      <c r="DP27" s="177" t="b">
        <v>0</v>
      </c>
      <c r="DQ27" s="177" t="b">
        <v>0</v>
      </c>
      <c r="DR27" s="439" t="e">
        <f t="shared" si="22"/>
        <v>#DIV/0!</v>
      </c>
      <c r="DS27" s="884">
        <f t="shared" si="23"/>
        <v>0</v>
      </c>
      <c r="DT27" s="176"/>
      <c r="DU27" s="176"/>
      <c r="DV27" s="176"/>
      <c r="DW27" s="176"/>
      <c r="DX27" s="176"/>
      <c r="DY27" s="186"/>
      <c r="DZ27" s="176"/>
      <c r="EA27" s="177" t="b">
        <v>0</v>
      </c>
      <c r="EB27" s="177" t="b">
        <v>0</v>
      </c>
      <c r="EC27" s="439" t="e">
        <f t="shared" si="24"/>
        <v>#DIV/0!</v>
      </c>
      <c r="ED27" s="884">
        <f t="shared" si="25"/>
        <v>0</v>
      </c>
      <c r="EE27" s="176"/>
      <c r="EF27" s="176"/>
      <c r="EG27" s="176"/>
      <c r="EH27" s="176"/>
      <c r="EI27" s="176"/>
      <c r="EJ27" s="186"/>
      <c r="EK27" s="176"/>
      <c r="EL27" s="177" t="b">
        <v>0</v>
      </c>
      <c r="EM27" s="177" t="b">
        <v>0</v>
      </c>
      <c r="EN27" s="439" t="e">
        <f t="shared" si="26"/>
        <v>#DIV/0!</v>
      </c>
      <c r="EO27" s="884">
        <f t="shared" si="27"/>
        <v>0</v>
      </c>
      <c r="EP27" s="176"/>
      <c r="EQ27" s="176"/>
      <c r="ER27" s="176"/>
      <c r="ES27" s="176"/>
      <c r="ET27" s="176"/>
      <c r="EU27" s="186"/>
      <c r="EV27" s="176"/>
      <c r="EW27" s="177" t="b">
        <v>0</v>
      </c>
      <c r="EX27" s="177" t="b">
        <v>0</v>
      </c>
      <c r="EY27" s="439" t="e">
        <f t="shared" si="28"/>
        <v>#DIV/0!</v>
      </c>
      <c r="EZ27" s="439" t="e">
        <f t="shared" si="29"/>
        <v>#DIV/0!</v>
      </c>
    </row>
    <row r="28" spans="1:156" ht="15" customHeight="1">
      <c r="C28" s="400" t="s">
        <v>1051</v>
      </c>
      <c r="D28" s="357">
        <v>1450022</v>
      </c>
      <c r="E28" s="357">
        <v>69</v>
      </c>
      <c r="F28" s="357" t="s">
        <v>1052</v>
      </c>
      <c r="G28" s="357" t="s">
        <v>1053</v>
      </c>
      <c r="H28" s="357" t="s">
        <v>929</v>
      </c>
      <c r="I28" s="357" t="s">
        <v>930</v>
      </c>
      <c r="J28" s="357" t="s">
        <v>931</v>
      </c>
      <c r="K28" s="426" t="s">
        <v>1052</v>
      </c>
      <c r="L28" s="426" t="s">
        <v>1053</v>
      </c>
      <c r="M28" s="357"/>
      <c r="N28" s="357"/>
      <c r="O28" s="359">
        <v>36</v>
      </c>
      <c r="P28" s="358"/>
      <c r="Q28" s="401">
        <v>43732.160000000003</v>
      </c>
      <c r="R28" s="401">
        <v>2099.14</v>
      </c>
      <c r="S28" s="358"/>
      <c r="T28" s="402">
        <f t="shared" si="31"/>
        <v>41633.020000000004</v>
      </c>
      <c r="U28" s="403">
        <v>3044</v>
      </c>
      <c r="V28" s="404">
        <v>46021</v>
      </c>
      <c r="W28" s="405" t="s">
        <v>1054</v>
      </c>
      <c r="X28" s="144">
        <f t="shared" si="0"/>
        <v>46437.69</v>
      </c>
      <c r="Y28" s="406">
        <v>0</v>
      </c>
      <c r="Z28" s="406"/>
      <c r="AA28" s="406">
        <v>46437.69</v>
      </c>
      <c r="AB28" s="148">
        <v>3229</v>
      </c>
      <c r="AC28" s="407">
        <v>46052</v>
      </c>
      <c r="AD28" s="148" t="s">
        <v>1055</v>
      </c>
      <c r="AE28" s="164" t="b">
        <v>1</v>
      </c>
      <c r="AF28" s="164" t="b">
        <v>1</v>
      </c>
      <c r="AG28" s="408">
        <f t="shared" si="1"/>
        <v>6.0775295663600529E-2</v>
      </c>
      <c r="AH28" s="409">
        <f>(X28-Q28)/Q28</f>
        <v>6.1865912865954907E-2</v>
      </c>
      <c r="AI28" s="1096">
        <f t="shared" si="30"/>
        <v>44443.67</v>
      </c>
      <c r="AJ28" s="364"/>
      <c r="AK28" s="364">
        <v>0</v>
      </c>
      <c r="AL28" s="364">
        <v>44443.67</v>
      </c>
      <c r="AM28" s="148">
        <v>3104</v>
      </c>
      <c r="AN28" s="407">
        <v>46080</v>
      </c>
      <c r="AO28" s="148" t="s">
        <v>1056</v>
      </c>
      <c r="AP28" s="164" t="b">
        <v>1</v>
      </c>
      <c r="AQ28" s="164" t="b">
        <v>1</v>
      </c>
      <c r="AR28" s="438">
        <f t="shared" si="2"/>
        <v>-3.8711675441313098E-2</v>
      </c>
      <c r="AS28" s="438">
        <f t="shared" si="3"/>
        <v>-4.2939689721861789E-2</v>
      </c>
      <c r="AT28" s="402">
        <v>70111.839999999997</v>
      </c>
      <c r="AU28" s="402">
        <v>0</v>
      </c>
      <c r="AV28" s="402">
        <v>0</v>
      </c>
      <c r="AW28" s="402">
        <v>70111.839999999997</v>
      </c>
      <c r="AX28" s="148">
        <v>4890</v>
      </c>
      <c r="AY28" s="407">
        <v>46098</v>
      </c>
      <c r="AZ28" s="148" t="s">
        <v>1057</v>
      </c>
      <c r="BA28" s="164" t="b">
        <v>1</v>
      </c>
      <c r="BB28" s="164" t="b">
        <v>1</v>
      </c>
      <c r="BC28" s="438">
        <f t="shared" si="4"/>
        <v>0.57538659793814428</v>
      </c>
      <c r="BD28" s="438">
        <f t="shared" si="5"/>
        <v>0.57754388870226059</v>
      </c>
      <c r="BE28" s="364">
        <f t="shared" si="6"/>
        <v>0</v>
      </c>
      <c r="BF28" s="364"/>
      <c r="BG28" s="364"/>
      <c r="BH28" s="364"/>
      <c r="BI28" s="148"/>
      <c r="BJ28" s="1198">
        <v>46129</v>
      </c>
      <c r="BK28" s="148"/>
      <c r="BL28" s="164" t="b">
        <v>0</v>
      </c>
      <c r="BM28" s="164" t="b">
        <v>0</v>
      </c>
      <c r="BN28" s="357">
        <f t="shared" si="7"/>
        <v>-1</v>
      </c>
      <c r="BO28" s="357">
        <f t="shared" si="8"/>
        <v>-1</v>
      </c>
      <c r="BP28" s="401">
        <f t="shared" si="9"/>
        <v>0</v>
      </c>
      <c r="BQ28" s="358"/>
      <c r="BR28" s="358"/>
      <c r="BS28" s="358"/>
      <c r="BT28" s="358"/>
      <c r="BU28" s="1196">
        <v>46159</v>
      </c>
      <c r="BV28" s="358"/>
      <c r="BW28" s="164" t="b">
        <v>0</v>
      </c>
      <c r="BX28" s="164" t="b">
        <v>0</v>
      </c>
      <c r="BY28" s="438" t="e">
        <f t="shared" si="10"/>
        <v>#DIV/0!</v>
      </c>
      <c r="BZ28" s="438" t="e">
        <f t="shared" si="11"/>
        <v>#DIV/0!</v>
      </c>
      <c r="CA28" s="401">
        <f t="shared" si="12"/>
        <v>0</v>
      </c>
      <c r="CB28" s="358"/>
      <c r="CC28" s="358"/>
      <c r="CD28" s="358"/>
      <c r="CE28" s="358"/>
      <c r="CF28" s="404"/>
      <c r="CG28" s="358"/>
      <c r="CH28" s="164" t="b">
        <v>0</v>
      </c>
      <c r="CI28" s="164" t="b">
        <v>0</v>
      </c>
      <c r="CJ28" s="438" t="e">
        <f t="shared" si="13"/>
        <v>#DIV/0!</v>
      </c>
      <c r="CK28" s="438" t="e">
        <f t="shared" si="14"/>
        <v>#DIV/0!</v>
      </c>
      <c r="CL28" s="401">
        <f t="shared" si="15"/>
        <v>0</v>
      </c>
      <c r="CM28" s="358"/>
      <c r="CN28" s="358"/>
      <c r="CO28" s="358"/>
      <c r="CP28" s="358"/>
      <c r="CQ28" s="404"/>
      <c r="CR28" s="358"/>
      <c r="CS28" s="164" t="b">
        <v>0</v>
      </c>
      <c r="CT28" s="164" t="b">
        <v>0</v>
      </c>
      <c r="CU28" s="358" t="e">
        <f t="shared" si="16"/>
        <v>#DIV/0!</v>
      </c>
      <c r="CV28" s="358" t="e">
        <f t="shared" si="17"/>
        <v>#DIV/0!</v>
      </c>
      <c r="CW28" s="401">
        <f t="shared" si="18"/>
        <v>0</v>
      </c>
      <c r="CX28" s="358"/>
      <c r="CY28" s="358"/>
      <c r="CZ28" s="358"/>
      <c r="DA28" s="358"/>
      <c r="DB28" s="404"/>
      <c r="DC28" s="358"/>
      <c r="DD28" s="164" t="b">
        <v>0</v>
      </c>
      <c r="DE28" s="164" t="b">
        <v>0</v>
      </c>
      <c r="DF28" s="438" t="e">
        <f t="shared" si="19"/>
        <v>#DIV/0!</v>
      </c>
      <c r="DG28" s="438" t="e">
        <f t="shared" si="20"/>
        <v>#DIV/0!</v>
      </c>
      <c r="DH28" s="401">
        <f t="shared" si="21"/>
        <v>0</v>
      </c>
      <c r="DI28" s="358"/>
      <c r="DJ28" s="358"/>
      <c r="DK28" s="358"/>
      <c r="DL28" s="358"/>
      <c r="DM28" s="358"/>
      <c r="DN28" s="404"/>
      <c r="DO28" s="358"/>
      <c r="DP28" s="164" t="b">
        <v>0</v>
      </c>
      <c r="DQ28" s="164" t="b">
        <v>0</v>
      </c>
      <c r="DR28" s="438" t="e">
        <f t="shared" si="22"/>
        <v>#DIV/0!</v>
      </c>
      <c r="DS28" s="883">
        <f t="shared" si="23"/>
        <v>0</v>
      </c>
      <c r="DT28" s="358"/>
      <c r="DU28" s="358"/>
      <c r="DV28" s="358"/>
      <c r="DW28" s="358"/>
      <c r="DX28" s="358"/>
      <c r="DY28" s="404"/>
      <c r="DZ28" s="358"/>
      <c r="EA28" s="164" t="b">
        <v>0</v>
      </c>
      <c r="EB28" s="164" t="b">
        <v>0</v>
      </c>
      <c r="EC28" s="438" t="e">
        <f t="shared" si="24"/>
        <v>#DIV/0!</v>
      </c>
      <c r="ED28" s="883">
        <f t="shared" si="25"/>
        <v>0</v>
      </c>
      <c r="EE28" s="358"/>
      <c r="EF28" s="358"/>
      <c r="EG28" s="358"/>
      <c r="EH28" s="358"/>
      <c r="EI28" s="358"/>
      <c r="EJ28" s="404"/>
      <c r="EK28" s="358"/>
      <c r="EL28" s="164" t="b">
        <v>0</v>
      </c>
      <c r="EM28" s="164" t="b">
        <v>0</v>
      </c>
      <c r="EN28" s="438" t="e">
        <f t="shared" si="26"/>
        <v>#DIV/0!</v>
      </c>
      <c r="EO28" s="883">
        <f t="shared" si="27"/>
        <v>0</v>
      </c>
      <c r="EP28" s="358"/>
      <c r="EQ28" s="358"/>
      <c r="ER28" s="358"/>
      <c r="ES28" s="358"/>
      <c r="ET28" s="358"/>
      <c r="EU28" s="404"/>
      <c r="EV28" s="358"/>
      <c r="EW28" s="164" t="b">
        <v>0</v>
      </c>
      <c r="EX28" s="164" t="b">
        <v>0</v>
      </c>
      <c r="EY28" s="438" t="e">
        <f t="shared" si="28"/>
        <v>#DIV/0!</v>
      </c>
      <c r="EZ28" s="438" t="e">
        <f t="shared" si="29"/>
        <v>#DIV/0!</v>
      </c>
    </row>
    <row r="29" spans="1:156" ht="15" customHeight="1">
      <c r="C29" s="400" t="s">
        <v>1051</v>
      </c>
      <c r="D29" s="357">
        <v>1450022</v>
      </c>
      <c r="E29" s="357">
        <v>69</v>
      </c>
      <c r="F29" s="357" t="s">
        <v>1058</v>
      </c>
      <c r="G29" s="425" t="s">
        <v>1059</v>
      </c>
      <c r="H29" s="357" t="s">
        <v>929</v>
      </c>
      <c r="I29" s="357" t="s">
        <v>930</v>
      </c>
      <c r="J29" s="357" t="s">
        <v>931</v>
      </c>
      <c r="K29" s="426" t="s">
        <v>1058</v>
      </c>
      <c r="L29" s="935" t="s">
        <v>1059</v>
      </c>
      <c r="M29" s="357"/>
      <c r="N29" s="357"/>
      <c r="O29" s="359">
        <v>36</v>
      </c>
      <c r="P29" s="358"/>
      <c r="Q29" s="401">
        <v>1272.9000000000001</v>
      </c>
      <c r="R29" s="401">
        <v>61.1</v>
      </c>
      <c r="S29" s="358"/>
      <c r="T29" s="402">
        <f t="shared" si="31"/>
        <v>1211.8000000000002</v>
      </c>
      <c r="U29" s="403">
        <v>98</v>
      </c>
      <c r="V29" s="404">
        <v>46021</v>
      </c>
      <c r="W29" s="405" t="s">
        <v>1054</v>
      </c>
      <c r="X29" s="144">
        <f t="shared" si="0"/>
        <v>825.55</v>
      </c>
      <c r="Y29" s="406"/>
      <c r="Z29" s="406"/>
      <c r="AA29" s="406">
        <v>825.55</v>
      </c>
      <c r="AB29" s="148">
        <v>56</v>
      </c>
      <c r="AC29" s="407">
        <v>46052</v>
      </c>
      <c r="AD29" s="148" t="s">
        <v>1055</v>
      </c>
      <c r="AE29" s="164" t="b">
        <v>1</v>
      </c>
      <c r="AF29" s="164" t="b">
        <v>1</v>
      </c>
      <c r="AG29" s="408">
        <f t="shared" si="1"/>
        <v>-0.42857142857142855</v>
      </c>
      <c r="AH29" s="409">
        <f>(X29-Q29)/Q29</f>
        <v>-0.35144159006991915</v>
      </c>
      <c r="AI29" s="371">
        <v>658.37</v>
      </c>
      <c r="AJ29" s="368">
        <v>0</v>
      </c>
      <c r="AK29" s="368"/>
      <c r="AL29" s="368">
        <v>658.37</v>
      </c>
      <c r="AM29" s="171">
        <v>55</v>
      </c>
      <c r="AN29" s="172">
        <v>46080</v>
      </c>
      <c r="AO29" s="171" t="s">
        <v>1056</v>
      </c>
      <c r="AP29" s="164" t="b">
        <v>1</v>
      </c>
      <c r="AQ29" s="164" t="b">
        <v>1</v>
      </c>
      <c r="AR29" s="438">
        <f t="shared" si="2"/>
        <v>-1.7857142857142856E-2</v>
      </c>
      <c r="AS29" s="438">
        <f t="shared" si="3"/>
        <v>-0.2025074192962267</v>
      </c>
      <c r="AT29" s="402">
        <v>473.91</v>
      </c>
      <c r="AU29" s="402">
        <v>0</v>
      </c>
      <c r="AV29" s="402">
        <v>0</v>
      </c>
      <c r="AW29" s="402">
        <v>473.91</v>
      </c>
      <c r="AX29" s="148">
        <v>42</v>
      </c>
      <c r="AY29" s="407">
        <v>46098</v>
      </c>
      <c r="AZ29" s="148" t="s">
        <v>1057</v>
      </c>
      <c r="BA29" s="164" t="b">
        <v>1</v>
      </c>
      <c r="BB29" s="164" t="b">
        <v>1</v>
      </c>
      <c r="BC29" s="438">
        <f t="shared" si="4"/>
        <v>-0.23636363636363636</v>
      </c>
      <c r="BD29" s="438">
        <f t="shared" si="5"/>
        <v>-0.28017680027947806</v>
      </c>
      <c r="BE29" s="364">
        <f t="shared" si="6"/>
        <v>0</v>
      </c>
      <c r="BF29" s="364"/>
      <c r="BG29" s="364"/>
      <c r="BH29" s="364"/>
      <c r="BI29" s="148"/>
      <c r="BJ29" s="1198">
        <v>46129</v>
      </c>
      <c r="BK29" s="148"/>
      <c r="BL29" s="164" t="b">
        <v>0</v>
      </c>
      <c r="BM29" s="164" t="b">
        <v>0</v>
      </c>
      <c r="BN29" s="357">
        <f t="shared" si="7"/>
        <v>-1</v>
      </c>
      <c r="BO29" s="357">
        <f t="shared" si="8"/>
        <v>-1</v>
      </c>
      <c r="BP29" s="401">
        <f t="shared" si="9"/>
        <v>0</v>
      </c>
      <c r="BQ29" s="358"/>
      <c r="BR29" s="358"/>
      <c r="BS29" s="358"/>
      <c r="BT29" s="358"/>
      <c r="BU29" s="1196">
        <v>46159</v>
      </c>
      <c r="BV29" s="358"/>
      <c r="BW29" s="164" t="b">
        <v>0</v>
      </c>
      <c r="BX29" s="164" t="b">
        <v>0</v>
      </c>
      <c r="BY29" s="438" t="e">
        <f t="shared" si="10"/>
        <v>#DIV/0!</v>
      </c>
      <c r="BZ29" s="438" t="e">
        <f t="shared" si="11"/>
        <v>#DIV/0!</v>
      </c>
      <c r="CA29" s="401">
        <f t="shared" si="12"/>
        <v>0</v>
      </c>
      <c r="CB29" s="358"/>
      <c r="CC29" s="358"/>
      <c r="CD29" s="358"/>
      <c r="CE29" s="358"/>
      <c r="CF29" s="404"/>
      <c r="CG29" s="358"/>
      <c r="CH29" s="164" t="b">
        <v>0</v>
      </c>
      <c r="CI29" s="164" t="b">
        <v>0</v>
      </c>
      <c r="CJ29" s="438" t="e">
        <f t="shared" si="13"/>
        <v>#DIV/0!</v>
      </c>
      <c r="CK29" s="438" t="e">
        <f t="shared" si="14"/>
        <v>#DIV/0!</v>
      </c>
      <c r="CL29" s="401">
        <f t="shared" si="15"/>
        <v>0</v>
      </c>
      <c r="CM29" s="358"/>
      <c r="CN29" s="358"/>
      <c r="CO29" s="358"/>
      <c r="CP29" s="358"/>
      <c r="CQ29" s="404"/>
      <c r="CR29" s="358"/>
      <c r="CS29" s="164" t="b">
        <v>0</v>
      </c>
      <c r="CT29" s="164" t="b">
        <v>0</v>
      </c>
      <c r="CU29" s="358" t="e">
        <f t="shared" si="16"/>
        <v>#DIV/0!</v>
      </c>
      <c r="CV29" s="358" t="e">
        <f t="shared" si="17"/>
        <v>#DIV/0!</v>
      </c>
      <c r="CW29" s="401">
        <f t="shared" si="18"/>
        <v>0</v>
      </c>
      <c r="CX29" s="358"/>
      <c r="CY29" s="358"/>
      <c r="CZ29" s="358"/>
      <c r="DA29" s="358"/>
      <c r="DB29" s="404"/>
      <c r="DC29" s="358"/>
      <c r="DD29" s="164" t="b">
        <v>0</v>
      </c>
      <c r="DE29" s="164" t="b">
        <v>0</v>
      </c>
      <c r="DF29" s="438" t="e">
        <f t="shared" si="19"/>
        <v>#DIV/0!</v>
      </c>
      <c r="DG29" s="438" t="e">
        <f t="shared" si="20"/>
        <v>#DIV/0!</v>
      </c>
      <c r="DH29" s="401">
        <f t="shared" si="21"/>
        <v>0</v>
      </c>
      <c r="DI29" s="358"/>
      <c r="DJ29" s="358"/>
      <c r="DK29" s="358"/>
      <c r="DL29" s="358"/>
      <c r="DM29" s="358"/>
      <c r="DN29" s="404"/>
      <c r="DO29" s="358"/>
      <c r="DP29" s="164" t="b">
        <v>0</v>
      </c>
      <c r="DQ29" s="164" t="b">
        <v>0</v>
      </c>
      <c r="DR29" s="438" t="e">
        <f t="shared" si="22"/>
        <v>#DIV/0!</v>
      </c>
      <c r="DS29" s="883">
        <f t="shared" si="23"/>
        <v>0</v>
      </c>
      <c r="DT29" s="358"/>
      <c r="DU29" s="358"/>
      <c r="DV29" s="358"/>
      <c r="DW29" s="358"/>
      <c r="DX29" s="358"/>
      <c r="DY29" s="404"/>
      <c r="DZ29" s="358"/>
      <c r="EA29" s="164" t="b">
        <v>0</v>
      </c>
      <c r="EB29" s="164" t="b">
        <v>0</v>
      </c>
      <c r="EC29" s="438" t="e">
        <f t="shared" si="24"/>
        <v>#DIV/0!</v>
      </c>
      <c r="ED29" s="883">
        <f t="shared" si="25"/>
        <v>0</v>
      </c>
      <c r="EE29" s="358"/>
      <c r="EF29" s="358"/>
      <c r="EG29" s="358"/>
      <c r="EH29" s="358"/>
      <c r="EI29" s="358"/>
      <c r="EJ29" s="404"/>
      <c r="EK29" s="358"/>
      <c r="EL29" s="164" t="b">
        <v>0</v>
      </c>
      <c r="EM29" s="164" t="b">
        <v>0</v>
      </c>
      <c r="EN29" s="438" t="e">
        <f t="shared" si="26"/>
        <v>#DIV/0!</v>
      </c>
      <c r="EO29" s="883">
        <f t="shared" si="27"/>
        <v>0</v>
      </c>
      <c r="EP29" s="358"/>
      <c r="EQ29" s="358"/>
      <c r="ER29" s="358"/>
      <c r="ES29" s="358"/>
      <c r="ET29" s="358"/>
      <c r="EU29" s="404"/>
      <c r="EV29" s="358"/>
      <c r="EW29" s="164" t="b">
        <v>0</v>
      </c>
      <c r="EX29" s="164" t="b">
        <v>0</v>
      </c>
      <c r="EY29" s="438" t="e">
        <f t="shared" si="28"/>
        <v>#DIV/0!</v>
      </c>
      <c r="EZ29" s="438" t="e">
        <f t="shared" si="29"/>
        <v>#DIV/0!</v>
      </c>
    </row>
    <row r="30" spans="1:156" ht="15" customHeight="1">
      <c r="C30" s="195" t="s">
        <v>1060</v>
      </c>
      <c r="D30" s="154">
        <v>1450022</v>
      </c>
      <c r="E30" s="154">
        <v>249</v>
      </c>
      <c r="F30" s="154" t="s">
        <v>1061</v>
      </c>
      <c r="G30" s="154" t="s">
        <v>1062</v>
      </c>
      <c r="H30" s="154" t="s">
        <v>901</v>
      </c>
      <c r="I30" s="154" t="s">
        <v>1063</v>
      </c>
      <c r="J30" s="154" t="s">
        <v>1064</v>
      </c>
      <c r="K30" s="255" t="s">
        <v>1065</v>
      </c>
      <c r="L30" s="255" t="s">
        <v>1062</v>
      </c>
      <c r="M30" s="154"/>
      <c r="N30" s="154"/>
      <c r="O30" s="193">
        <v>8</v>
      </c>
      <c r="P30" s="154"/>
      <c r="Q30" s="348">
        <v>33776.47</v>
      </c>
      <c r="R30" s="348"/>
      <c r="S30" s="176"/>
      <c r="T30" s="203">
        <f t="shared" si="31"/>
        <v>33776.47</v>
      </c>
      <c r="U30" s="378">
        <v>1400</v>
      </c>
      <c r="V30" s="186">
        <v>46007</v>
      </c>
      <c r="W30" s="383" t="s">
        <v>1054</v>
      </c>
      <c r="X30" s="144">
        <f t="shared" si="0"/>
        <v>39884.879999999997</v>
      </c>
      <c r="Y30" s="170"/>
      <c r="Z30" s="170"/>
      <c r="AA30" s="170">
        <v>39884.879999999997</v>
      </c>
      <c r="AB30" s="171">
        <v>1650</v>
      </c>
      <c r="AC30" s="172">
        <v>46038</v>
      </c>
      <c r="AD30" s="171" t="s">
        <v>1066</v>
      </c>
      <c r="AE30" s="177" t="b">
        <v>1</v>
      </c>
      <c r="AF30" s="177" t="b">
        <v>1</v>
      </c>
      <c r="AG30" s="410">
        <f t="shared" si="1"/>
        <v>0.17857142857142858</v>
      </c>
      <c r="AH30" s="392">
        <f>(X30-Q30)/Q30</f>
        <v>0.18084808744075376</v>
      </c>
      <c r="AI30" s="371">
        <f t="shared" si="30"/>
        <v>40788.93</v>
      </c>
      <c r="AJ30" s="368"/>
      <c r="AK30" s="368"/>
      <c r="AL30" s="368">
        <v>40788.93</v>
      </c>
      <c r="AM30" s="171">
        <v>1687</v>
      </c>
      <c r="AN30" s="671">
        <v>46091</v>
      </c>
      <c r="AO30" s="171" t="s">
        <v>1067</v>
      </c>
      <c r="AP30" s="177" t="b">
        <v>1</v>
      </c>
      <c r="AQ30" s="177" t="b">
        <v>1</v>
      </c>
      <c r="AR30" s="439">
        <f t="shared" si="2"/>
        <v>2.2424242424242423E-2</v>
      </c>
      <c r="AS30" s="439">
        <f t="shared" si="3"/>
        <v>2.2666484141358904E-2</v>
      </c>
      <c r="AT30" s="203">
        <v>41961.74</v>
      </c>
      <c r="AU30" s="203">
        <v>0</v>
      </c>
      <c r="AV30" s="203">
        <v>0</v>
      </c>
      <c r="AW30" s="203">
        <v>41961.74</v>
      </c>
      <c r="AX30" s="171">
        <v>1735</v>
      </c>
      <c r="AY30" s="172">
        <v>46097</v>
      </c>
      <c r="AZ30" s="171" t="s">
        <v>1068</v>
      </c>
      <c r="BA30" s="177" t="b">
        <v>1</v>
      </c>
      <c r="BB30" s="177" t="b">
        <v>1</v>
      </c>
      <c r="BC30" s="439">
        <f t="shared" si="4"/>
        <v>2.8452874925903971E-2</v>
      </c>
      <c r="BD30" s="439">
        <f t="shared" si="5"/>
        <v>2.8753144541913644E-2</v>
      </c>
      <c r="BE30" s="368">
        <v>30648.959999999999</v>
      </c>
      <c r="BF30" s="368">
        <v>0</v>
      </c>
      <c r="BG30" s="368"/>
      <c r="BH30" s="368">
        <v>30648.959999999999</v>
      </c>
      <c r="BI30" s="171">
        <v>1272</v>
      </c>
      <c r="BJ30" s="1197">
        <v>46128</v>
      </c>
      <c r="BK30" s="484" t="s">
        <v>1069</v>
      </c>
      <c r="BL30" s="177" t="b">
        <v>1</v>
      </c>
      <c r="BM30" s="177" t="b">
        <v>0</v>
      </c>
      <c r="BN30" s="154">
        <f t="shared" si="7"/>
        <v>-0.26685878962536025</v>
      </c>
      <c r="BO30" s="154">
        <f t="shared" si="8"/>
        <v>-0.26959749524209431</v>
      </c>
      <c r="BP30" s="348">
        <f t="shared" si="9"/>
        <v>0</v>
      </c>
      <c r="BQ30" s="176"/>
      <c r="BR30" s="176"/>
      <c r="BS30" s="176"/>
      <c r="BT30" s="176"/>
      <c r="BU30" s="1197">
        <v>46158</v>
      </c>
      <c r="BV30" s="176"/>
      <c r="BW30" s="177" t="b">
        <v>0</v>
      </c>
      <c r="BX30" s="177" t="b">
        <v>0</v>
      </c>
      <c r="BY30" s="439">
        <f t="shared" si="10"/>
        <v>-1</v>
      </c>
      <c r="BZ30" s="439">
        <f t="shared" si="11"/>
        <v>-1</v>
      </c>
      <c r="CA30" s="348">
        <f t="shared" si="12"/>
        <v>0</v>
      </c>
      <c r="CB30" s="176"/>
      <c r="CC30" s="176"/>
      <c r="CD30" s="176"/>
      <c r="CE30" s="176"/>
      <c r="CF30" s="186"/>
      <c r="CG30" s="176"/>
      <c r="CH30" s="177" t="b">
        <v>0</v>
      </c>
      <c r="CI30" s="177" t="b">
        <v>0</v>
      </c>
      <c r="CJ30" s="439" t="e">
        <f t="shared" si="13"/>
        <v>#DIV/0!</v>
      </c>
      <c r="CK30" s="439" t="e">
        <f t="shared" si="14"/>
        <v>#DIV/0!</v>
      </c>
      <c r="CL30" s="348">
        <f t="shared" si="15"/>
        <v>0</v>
      </c>
      <c r="CM30" s="176"/>
      <c r="CN30" s="176"/>
      <c r="CO30" s="176"/>
      <c r="CP30" s="176"/>
      <c r="CQ30" s="186"/>
      <c r="CR30" s="176"/>
      <c r="CS30" s="177" t="b">
        <v>0</v>
      </c>
      <c r="CT30" s="177" t="b">
        <v>0</v>
      </c>
      <c r="CU30" s="176" t="e">
        <f t="shared" si="16"/>
        <v>#DIV/0!</v>
      </c>
      <c r="CV30" s="176" t="e">
        <f t="shared" si="17"/>
        <v>#DIV/0!</v>
      </c>
      <c r="CW30" s="348">
        <f t="shared" si="18"/>
        <v>0</v>
      </c>
      <c r="CX30" s="176"/>
      <c r="CY30" s="176"/>
      <c r="CZ30" s="176"/>
      <c r="DA30" s="176"/>
      <c r="DB30" s="186"/>
      <c r="DC30" s="176"/>
      <c r="DD30" s="177" t="b">
        <v>0</v>
      </c>
      <c r="DE30" s="177" t="b">
        <v>0</v>
      </c>
      <c r="DF30" s="439" t="e">
        <f t="shared" si="19"/>
        <v>#DIV/0!</v>
      </c>
      <c r="DG30" s="439" t="e">
        <f t="shared" si="20"/>
        <v>#DIV/0!</v>
      </c>
      <c r="DH30" s="348">
        <f t="shared" si="21"/>
        <v>0</v>
      </c>
      <c r="DI30" s="176"/>
      <c r="DJ30" s="176"/>
      <c r="DK30" s="176"/>
      <c r="DL30" s="176"/>
      <c r="DM30" s="176"/>
      <c r="DN30" s="186"/>
      <c r="DO30" s="176"/>
      <c r="DP30" s="177" t="b">
        <v>0</v>
      </c>
      <c r="DQ30" s="177" t="b">
        <v>0</v>
      </c>
      <c r="DR30" s="439" t="e">
        <f t="shared" si="22"/>
        <v>#DIV/0!</v>
      </c>
      <c r="DS30" s="884">
        <f t="shared" si="23"/>
        <v>0</v>
      </c>
      <c r="DT30" s="176"/>
      <c r="DU30" s="176"/>
      <c r="DV30" s="176"/>
      <c r="DW30" s="176"/>
      <c r="DX30" s="176"/>
      <c r="DY30" s="186"/>
      <c r="DZ30" s="176"/>
      <c r="EA30" s="177" t="b">
        <v>0</v>
      </c>
      <c r="EB30" s="177" t="b">
        <v>0</v>
      </c>
      <c r="EC30" s="439" t="e">
        <f t="shared" si="24"/>
        <v>#DIV/0!</v>
      </c>
      <c r="ED30" s="884">
        <f t="shared" si="25"/>
        <v>0</v>
      </c>
      <c r="EE30" s="176"/>
      <c r="EF30" s="176"/>
      <c r="EG30" s="176"/>
      <c r="EH30" s="176"/>
      <c r="EI30" s="176"/>
      <c r="EJ30" s="186"/>
      <c r="EK30" s="176"/>
      <c r="EL30" s="177" t="b">
        <v>0</v>
      </c>
      <c r="EM30" s="177" t="b">
        <v>0</v>
      </c>
      <c r="EN30" s="439" t="e">
        <f t="shared" si="26"/>
        <v>#DIV/0!</v>
      </c>
      <c r="EO30" s="884">
        <f t="shared" si="27"/>
        <v>0</v>
      </c>
      <c r="EP30" s="176"/>
      <c r="EQ30" s="176"/>
      <c r="ER30" s="176"/>
      <c r="ES30" s="176"/>
      <c r="ET30" s="176"/>
      <c r="EU30" s="186"/>
      <c r="EV30" s="176"/>
      <c r="EW30" s="177" t="b">
        <v>0</v>
      </c>
      <c r="EX30" s="177" t="b">
        <v>0</v>
      </c>
      <c r="EY30" s="439" t="e">
        <f t="shared" si="28"/>
        <v>#DIV/0!</v>
      </c>
      <c r="EZ30" s="439" t="e">
        <f t="shared" si="29"/>
        <v>#DIV/0!</v>
      </c>
    </row>
    <row r="31" spans="1:156" ht="15" customHeight="1">
      <c r="C31" s="400" t="s">
        <v>1070</v>
      </c>
      <c r="D31" s="357">
        <v>1450022</v>
      </c>
      <c r="E31" s="357">
        <v>220</v>
      </c>
      <c r="F31" s="357" t="s">
        <v>1071</v>
      </c>
      <c r="G31" s="357" t="s">
        <v>1072</v>
      </c>
      <c r="H31" s="357" t="s">
        <v>901</v>
      </c>
      <c r="I31" s="357" t="s">
        <v>1073</v>
      </c>
      <c r="J31" s="357" t="s">
        <v>1074</v>
      </c>
      <c r="K31" s="426" t="s">
        <v>1071</v>
      </c>
      <c r="L31" s="426" t="s">
        <v>1075</v>
      </c>
      <c r="M31" s="357"/>
      <c r="N31" s="357"/>
      <c r="O31" s="359">
        <v>38</v>
      </c>
      <c r="P31" s="357"/>
      <c r="Q31" s="401">
        <v>5238.05</v>
      </c>
      <c r="R31" s="401"/>
      <c r="S31" s="358"/>
      <c r="T31" s="402">
        <f t="shared" si="31"/>
        <v>5238.05</v>
      </c>
      <c r="U31" s="403">
        <v>506</v>
      </c>
      <c r="V31" s="404">
        <v>46042</v>
      </c>
      <c r="W31" s="385" t="s">
        <v>1076</v>
      </c>
      <c r="X31" s="144">
        <f t="shared" si="0"/>
        <v>5238.05</v>
      </c>
      <c r="Y31" s="406"/>
      <c r="Z31" s="406"/>
      <c r="AA31" s="406">
        <v>5238.05</v>
      </c>
      <c r="AB31" s="148">
        <v>506</v>
      </c>
      <c r="AC31" s="407">
        <v>46073</v>
      </c>
      <c r="AD31" s="148" t="s">
        <v>1077</v>
      </c>
      <c r="AE31" s="164" t="b">
        <v>1</v>
      </c>
      <c r="AF31" s="164" t="b">
        <v>1</v>
      </c>
      <c r="AG31" s="408">
        <f t="shared" si="1"/>
        <v>0</v>
      </c>
      <c r="AH31" s="409">
        <f>(X31-Q31)/Q31</f>
        <v>0</v>
      </c>
      <c r="AI31" s="371">
        <v>6247.04</v>
      </c>
      <c r="AJ31" s="364">
        <v>0</v>
      </c>
      <c r="AK31" s="364"/>
      <c r="AL31" s="364">
        <v>6247.04</v>
      </c>
      <c r="AM31" s="148">
        <v>571</v>
      </c>
      <c r="AN31" s="407">
        <v>46101</v>
      </c>
      <c r="AO31" s="148" t="s">
        <v>1078</v>
      </c>
      <c r="AP31" s="164" t="b">
        <v>1</v>
      </c>
      <c r="AQ31" s="164" t="b">
        <v>1</v>
      </c>
      <c r="AR31" s="438">
        <f t="shared" si="2"/>
        <v>0.12845849802371542</v>
      </c>
      <c r="AS31" s="438">
        <f t="shared" si="3"/>
        <v>0.19262702723341696</v>
      </c>
      <c r="AT31" s="402">
        <v>6871.31</v>
      </c>
      <c r="AU31" s="402">
        <v>0</v>
      </c>
      <c r="AV31" s="402"/>
      <c r="AW31" s="402">
        <v>6871.31</v>
      </c>
      <c r="AX31" s="148">
        <v>625</v>
      </c>
      <c r="AY31" s="407">
        <v>46132</v>
      </c>
      <c r="AZ31" s="148" t="s">
        <v>1079</v>
      </c>
      <c r="BA31" s="164" t="b">
        <v>1</v>
      </c>
      <c r="BB31" s="164" t="b">
        <v>1</v>
      </c>
      <c r="BC31" s="438">
        <f t="shared" si="4"/>
        <v>9.4570928196147111E-2</v>
      </c>
      <c r="BD31" s="438">
        <f t="shared" si="5"/>
        <v>9.9930527097633504E-2</v>
      </c>
      <c r="BE31" s="364">
        <f t="shared" si="6"/>
        <v>0</v>
      </c>
      <c r="BF31" s="364"/>
      <c r="BG31" s="364"/>
      <c r="BH31" s="364"/>
      <c r="BI31" s="148"/>
      <c r="BJ31" s="1196">
        <v>46162</v>
      </c>
      <c r="BK31" s="148"/>
      <c r="BL31" s="164" t="b">
        <v>0</v>
      </c>
      <c r="BM31" s="164" t="b">
        <v>0</v>
      </c>
      <c r="BN31" s="357">
        <f t="shared" si="7"/>
        <v>-1</v>
      </c>
      <c r="BO31" s="357">
        <f t="shared" si="8"/>
        <v>-1</v>
      </c>
      <c r="BP31" s="401">
        <f t="shared" si="9"/>
        <v>0</v>
      </c>
      <c r="BQ31" s="358"/>
      <c r="BR31" s="358"/>
      <c r="BS31" s="358"/>
      <c r="BT31" s="358"/>
      <c r="BU31" s="1196">
        <v>46193</v>
      </c>
      <c r="BV31" s="358"/>
      <c r="BW31" s="164" t="b">
        <v>0</v>
      </c>
      <c r="BX31" s="164" t="b">
        <v>0</v>
      </c>
      <c r="BY31" s="438" t="e">
        <f t="shared" si="10"/>
        <v>#DIV/0!</v>
      </c>
      <c r="BZ31" s="438" t="e">
        <f t="shared" si="11"/>
        <v>#DIV/0!</v>
      </c>
      <c r="CA31" s="401">
        <f t="shared" si="12"/>
        <v>0</v>
      </c>
      <c r="CB31" s="358"/>
      <c r="CC31" s="358"/>
      <c r="CD31" s="358"/>
      <c r="CE31" s="358"/>
      <c r="CF31" s="404"/>
      <c r="CG31" s="358"/>
      <c r="CH31" s="164" t="b">
        <v>0</v>
      </c>
      <c r="CI31" s="164" t="b">
        <v>0</v>
      </c>
      <c r="CJ31" s="438" t="e">
        <f t="shared" si="13"/>
        <v>#DIV/0!</v>
      </c>
      <c r="CK31" s="438" t="e">
        <f t="shared" si="14"/>
        <v>#DIV/0!</v>
      </c>
      <c r="CL31" s="401">
        <f t="shared" si="15"/>
        <v>0</v>
      </c>
      <c r="CM31" s="358"/>
      <c r="CN31" s="358"/>
      <c r="CO31" s="358"/>
      <c r="CP31" s="358"/>
      <c r="CQ31" s="404"/>
      <c r="CR31" s="358"/>
      <c r="CS31" s="164" t="b">
        <v>0</v>
      </c>
      <c r="CT31" s="164" t="b">
        <v>0</v>
      </c>
      <c r="CU31" s="358" t="e">
        <f t="shared" si="16"/>
        <v>#DIV/0!</v>
      </c>
      <c r="CV31" s="358" t="e">
        <f t="shared" si="17"/>
        <v>#DIV/0!</v>
      </c>
      <c r="CW31" s="401">
        <f t="shared" si="18"/>
        <v>0</v>
      </c>
      <c r="CX31" s="358"/>
      <c r="CY31" s="358"/>
      <c r="CZ31" s="358"/>
      <c r="DA31" s="358"/>
      <c r="DB31" s="404"/>
      <c r="DC31" s="358"/>
      <c r="DD31" s="164" t="b">
        <v>0</v>
      </c>
      <c r="DE31" s="164" t="b">
        <v>0</v>
      </c>
      <c r="DF31" s="438" t="e">
        <f t="shared" si="19"/>
        <v>#DIV/0!</v>
      </c>
      <c r="DG31" s="438" t="e">
        <f t="shared" si="20"/>
        <v>#DIV/0!</v>
      </c>
      <c r="DH31" s="401">
        <f t="shared" si="21"/>
        <v>0</v>
      </c>
      <c r="DI31" s="358"/>
      <c r="DJ31" s="358"/>
      <c r="DK31" s="358"/>
      <c r="DL31" s="358"/>
      <c r="DM31" s="358"/>
      <c r="DN31" s="404"/>
      <c r="DO31" s="358"/>
      <c r="DP31" s="164" t="b">
        <v>0</v>
      </c>
      <c r="DQ31" s="164" t="b">
        <v>0</v>
      </c>
      <c r="DR31" s="438" t="e">
        <f t="shared" si="22"/>
        <v>#DIV/0!</v>
      </c>
      <c r="DS31" s="883">
        <f t="shared" si="23"/>
        <v>0</v>
      </c>
      <c r="DT31" s="358"/>
      <c r="DU31" s="358"/>
      <c r="DV31" s="358"/>
      <c r="DW31" s="358"/>
      <c r="DX31" s="358"/>
      <c r="DY31" s="404"/>
      <c r="DZ31" s="358"/>
      <c r="EA31" s="164" t="b">
        <v>0</v>
      </c>
      <c r="EB31" s="164" t="b">
        <v>0</v>
      </c>
      <c r="EC31" s="438" t="e">
        <f t="shared" si="24"/>
        <v>#DIV/0!</v>
      </c>
      <c r="ED31" s="883">
        <f t="shared" si="25"/>
        <v>0</v>
      </c>
      <c r="EE31" s="358"/>
      <c r="EF31" s="358"/>
      <c r="EG31" s="358"/>
      <c r="EH31" s="358"/>
      <c r="EI31" s="358"/>
      <c r="EJ31" s="404"/>
      <c r="EK31" s="358"/>
      <c r="EL31" s="164" t="b">
        <v>0</v>
      </c>
      <c r="EM31" s="164" t="b">
        <v>0</v>
      </c>
      <c r="EN31" s="438" t="e">
        <f t="shared" si="26"/>
        <v>#DIV/0!</v>
      </c>
      <c r="EO31" s="883">
        <f t="shared" si="27"/>
        <v>0</v>
      </c>
      <c r="EP31" s="358"/>
      <c r="EQ31" s="358"/>
      <c r="ER31" s="358"/>
      <c r="ES31" s="358"/>
      <c r="ET31" s="358"/>
      <c r="EU31" s="404"/>
      <c r="EV31" s="358"/>
      <c r="EW31" s="164" t="b">
        <v>0</v>
      </c>
      <c r="EX31" s="164" t="b">
        <v>0</v>
      </c>
      <c r="EY31" s="438" t="e">
        <f t="shared" si="28"/>
        <v>#DIV/0!</v>
      </c>
      <c r="EZ31" s="438" t="e">
        <f t="shared" si="29"/>
        <v>#DIV/0!</v>
      </c>
    </row>
    <row r="32" spans="1:156" ht="15" customHeight="1">
      <c r="C32" s="195" t="s">
        <v>1080</v>
      </c>
      <c r="D32" s="154">
        <v>1450022</v>
      </c>
      <c r="E32" s="154">
        <v>161</v>
      </c>
      <c r="F32" s="154" t="s">
        <v>1081</v>
      </c>
      <c r="G32" s="154" t="s">
        <v>1082</v>
      </c>
      <c r="H32" s="154" t="s">
        <v>901</v>
      </c>
      <c r="I32" s="154" t="s">
        <v>1083</v>
      </c>
      <c r="J32" s="154" t="s">
        <v>1084</v>
      </c>
      <c r="K32" s="255" t="s">
        <v>1081</v>
      </c>
      <c r="L32" s="255" t="s">
        <v>1085</v>
      </c>
      <c r="M32" s="154"/>
      <c r="N32" s="154"/>
      <c r="O32" s="193">
        <v>20</v>
      </c>
      <c r="P32" s="176"/>
      <c r="Q32" s="348">
        <v>8888.33</v>
      </c>
      <c r="R32" s="348"/>
      <c r="S32" s="176"/>
      <c r="T32" s="203">
        <f t="shared" si="31"/>
        <v>8888.33</v>
      </c>
      <c r="U32" s="378">
        <v>644</v>
      </c>
      <c r="V32" s="186">
        <v>46032</v>
      </c>
      <c r="W32" s="383" t="s">
        <v>1086</v>
      </c>
      <c r="X32" s="144">
        <f t="shared" si="0"/>
        <v>11290.86</v>
      </c>
      <c r="Y32" s="170"/>
      <c r="Z32" s="170"/>
      <c r="AA32" s="170">
        <v>11290.86</v>
      </c>
      <c r="AB32" s="171">
        <v>808</v>
      </c>
      <c r="AC32" s="172">
        <v>46063</v>
      </c>
      <c r="AD32" s="171" t="s">
        <v>1087</v>
      </c>
      <c r="AE32" s="177" t="b">
        <v>1</v>
      </c>
      <c r="AF32" s="177" t="b">
        <v>1</v>
      </c>
      <c r="AG32" s="410">
        <f t="shared" si="1"/>
        <v>0.25465838509316768</v>
      </c>
      <c r="AH32" s="392">
        <f>(X32-Q32)/Q32</f>
        <v>0.27030162021437104</v>
      </c>
      <c r="AI32" s="371">
        <f t="shared" si="30"/>
        <v>7774.96</v>
      </c>
      <c r="AJ32" s="368"/>
      <c r="AK32" s="368">
        <v>0</v>
      </c>
      <c r="AL32" s="368">
        <v>7774.96</v>
      </c>
      <c r="AM32" s="171">
        <v>568</v>
      </c>
      <c r="AN32" s="172">
        <v>46091</v>
      </c>
      <c r="AO32" s="171" t="s">
        <v>1088</v>
      </c>
      <c r="AP32" s="177" t="b">
        <v>1</v>
      </c>
      <c r="AQ32" s="177" t="b">
        <v>1</v>
      </c>
      <c r="AR32" s="439">
        <f t="shared" si="2"/>
        <v>-0.29702970297029702</v>
      </c>
      <c r="AS32" s="439">
        <f t="shared" si="3"/>
        <v>-0.31139346338542861</v>
      </c>
      <c r="AT32" s="203">
        <v>10177.5</v>
      </c>
      <c r="AU32" s="203">
        <v>0</v>
      </c>
      <c r="AV32" s="203">
        <v>0</v>
      </c>
      <c r="AW32" s="203">
        <v>10177.5</v>
      </c>
      <c r="AX32" s="171">
        <v>732</v>
      </c>
      <c r="AY32" s="172">
        <v>46122</v>
      </c>
      <c r="AZ32" s="171" t="s">
        <v>1089</v>
      </c>
      <c r="BA32" s="177" t="b">
        <v>1</v>
      </c>
      <c r="BB32" s="177" t="b">
        <v>1</v>
      </c>
      <c r="BC32" s="439">
        <f t="shared" si="4"/>
        <v>0.28873239436619719</v>
      </c>
      <c r="BD32" s="439">
        <f t="shared" si="5"/>
        <v>0.30900994989041741</v>
      </c>
      <c r="BE32" s="368">
        <f t="shared" si="6"/>
        <v>0</v>
      </c>
      <c r="BF32" s="368"/>
      <c r="BG32" s="368"/>
      <c r="BH32" s="368"/>
      <c r="BI32" s="171"/>
      <c r="BJ32" s="1197">
        <v>46152</v>
      </c>
      <c r="BK32" s="171"/>
      <c r="BL32" s="177" t="b">
        <v>0</v>
      </c>
      <c r="BM32" s="177" t="b">
        <v>0</v>
      </c>
      <c r="BN32" s="154">
        <f t="shared" si="7"/>
        <v>-1</v>
      </c>
      <c r="BO32" s="154">
        <f t="shared" si="8"/>
        <v>-1</v>
      </c>
      <c r="BP32" s="348">
        <f t="shared" si="9"/>
        <v>0</v>
      </c>
      <c r="BQ32" s="176"/>
      <c r="BR32" s="176"/>
      <c r="BS32" s="176"/>
      <c r="BT32" s="176"/>
      <c r="BU32" s="1197">
        <v>46183</v>
      </c>
      <c r="BV32" s="176"/>
      <c r="BW32" s="177" t="b">
        <v>0</v>
      </c>
      <c r="BX32" s="177" t="b">
        <v>0</v>
      </c>
      <c r="BY32" s="439" t="e">
        <f t="shared" si="10"/>
        <v>#DIV/0!</v>
      </c>
      <c r="BZ32" s="439" t="e">
        <f t="shared" si="11"/>
        <v>#DIV/0!</v>
      </c>
      <c r="CA32" s="348">
        <f t="shared" si="12"/>
        <v>0</v>
      </c>
      <c r="CB32" s="176"/>
      <c r="CC32" s="176"/>
      <c r="CD32" s="176"/>
      <c r="CE32" s="176"/>
      <c r="CF32" s="186"/>
      <c r="CG32" s="176"/>
      <c r="CH32" s="177" t="b">
        <v>0</v>
      </c>
      <c r="CI32" s="177" t="b">
        <v>0</v>
      </c>
      <c r="CJ32" s="439" t="e">
        <f t="shared" si="13"/>
        <v>#DIV/0!</v>
      </c>
      <c r="CK32" s="439" t="e">
        <f t="shared" si="14"/>
        <v>#DIV/0!</v>
      </c>
      <c r="CL32" s="348">
        <f t="shared" si="15"/>
        <v>0</v>
      </c>
      <c r="CM32" s="176"/>
      <c r="CN32" s="176"/>
      <c r="CO32" s="176"/>
      <c r="CP32" s="176"/>
      <c r="CQ32" s="186"/>
      <c r="CR32" s="176"/>
      <c r="CS32" s="177" t="b">
        <v>0</v>
      </c>
      <c r="CT32" s="177" t="b">
        <v>0</v>
      </c>
      <c r="CU32" s="176" t="e">
        <f t="shared" si="16"/>
        <v>#DIV/0!</v>
      </c>
      <c r="CV32" s="176" t="e">
        <f t="shared" si="17"/>
        <v>#DIV/0!</v>
      </c>
      <c r="CW32" s="348">
        <f t="shared" si="18"/>
        <v>0</v>
      </c>
      <c r="CX32" s="176"/>
      <c r="CY32" s="176"/>
      <c r="CZ32" s="176"/>
      <c r="DA32" s="176"/>
      <c r="DB32" s="186"/>
      <c r="DC32" s="176"/>
      <c r="DD32" s="177" t="b">
        <v>0</v>
      </c>
      <c r="DE32" s="177" t="b">
        <v>0</v>
      </c>
      <c r="DF32" s="439" t="e">
        <f t="shared" si="19"/>
        <v>#DIV/0!</v>
      </c>
      <c r="DG32" s="439" t="e">
        <f t="shared" si="20"/>
        <v>#DIV/0!</v>
      </c>
      <c r="DH32" s="348">
        <f t="shared" si="21"/>
        <v>0</v>
      </c>
      <c r="DI32" s="176"/>
      <c r="DJ32" s="176"/>
      <c r="DK32" s="176"/>
      <c r="DL32" s="176"/>
      <c r="DM32" s="176"/>
      <c r="DN32" s="186"/>
      <c r="DO32" s="176"/>
      <c r="DP32" s="177" t="b">
        <v>0</v>
      </c>
      <c r="DQ32" s="177" t="b">
        <v>0</v>
      </c>
      <c r="DR32" s="439" t="e">
        <f t="shared" si="22"/>
        <v>#DIV/0!</v>
      </c>
      <c r="DS32" s="884">
        <f t="shared" si="23"/>
        <v>0</v>
      </c>
      <c r="DT32" s="176"/>
      <c r="DU32" s="176"/>
      <c r="DV32" s="176"/>
      <c r="DW32" s="176"/>
      <c r="DX32" s="176"/>
      <c r="DY32" s="186"/>
      <c r="DZ32" s="176"/>
      <c r="EA32" s="177" t="b">
        <v>0</v>
      </c>
      <c r="EB32" s="177" t="b">
        <v>0</v>
      </c>
      <c r="EC32" s="439" t="e">
        <f t="shared" si="24"/>
        <v>#DIV/0!</v>
      </c>
      <c r="ED32" s="884">
        <f t="shared" si="25"/>
        <v>0</v>
      </c>
      <c r="EE32" s="176"/>
      <c r="EF32" s="176"/>
      <c r="EG32" s="176"/>
      <c r="EH32" s="176"/>
      <c r="EI32" s="176"/>
      <c r="EJ32" s="186"/>
      <c r="EK32" s="176"/>
      <c r="EL32" s="177" t="b">
        <v>0</v>
      </c>
      <c r="EM32" s="177" t="b">
        <v>0</v>
      </c>
      <c r="EN32" s="439" t="e">
        <f t="shared" si="26"/>
        <v>#DIV/0!</v>
      </c>
      <c r="EO32" s="884">
        <f t="shared" si="27"/>
        <v>0</v>
      </c>
      <c r="EP32" s="176"/>
      <c r="EQ32" s="176"/>
      <c r="ER32" s="176"/>
      <c r="ES32" s="176"/>
      <c r="ET32" s="176"/>
      <c r="EU32" s="186"/>
      <c r="EV32" s="176"/>
      <c r="EW32" s="177" t="b">
        <v>0</v>
      </c>
      <c r="EX32" s="177" t="b">
        <v>0</v>
      </c>
      <c r="EY32" s="439" t="e">
        <f t="shared" si="28"/>
        <v>#DIV/0!</v>
      </c>
      <c r="EZ32" s="439" t="e">
        <f t="shared" si="29"/>
        <v>#DIV/0!</v>
      </c>
    </row>
    <row r="33" spans="3:156" ht="15" customHeight="1">
      <c r="C33" s="195" t="s">
        <v>1080</v>
      </c>
      <c r="D33" s="154">
        <v>1450022</v>
      </c>
      <c r="E33" s="154">
        <v>161</v>
      </c>
      <c r="F33" s="154" t="s">
        <v>1090</v>
      </c>
      <c r="G33" s="154" t="s">
        <v>1091</v>
      </c>
      <c r="H33" s="154" t="s">
        <v>901</v>
      </c>
      <c r="I33" s="154" t="s">
        <v>1083</v>
      </c>
      <c r="J33" s="154" t="s">
        <v>1084</v>
      </c>
      <c r="K33" s="255" t="s">
        <v>1090</v>
      </c>
      <c r="L33" s="255" t="s">
        <v>1092</v>
      </c>
      <c r="M33" s="154"/>
      <c r="N33" s="154"/>
      <c r="O33" s="434">
        <v>20</v>
      </c>
      <c r="P33" s="176"/>
      <c r="Q33" s="348">
        <v>6841.24</v>
      </c>
      <c r="R33" s="348"/>
      <c r="S33" s="176"/>
      <c r="T33" s="203">
        <f t="shared" si="31"/>
        <v>6841.24</v>
      </c>
      <c r="U33" s="378">
        <v>948</v>
      </c>
      <c r="V33" s="186">
        <v>46032</v>
      </c>
      <c r="W33" s="383" t="s">
        <v>1086</v>
      </c>
      <c r="X33" s="144">
        <f t="shared" si="0"/>
        <v>8613.84</v>
      </c>
      <c r="Y33" s="170"/>
      <c r="Z33" s="170"/>
      <c r="AA33" s="170">
        <v>8613.84</v>
      </c>
      <c r="AB33" s="171">
        <v>619</v>
      </c>
      <c r="AC33" s="172">
        <v>46063</v>
      </c>
      <c r="AD33" s="171" t="s">
        <v>1087</v>
      </c>
      <c r="AE33" s="177" t="b">
        <v>1</v>
      </c>
      <c r="AF33" s="177" t="b">
        <v>1</v>
      </c>
      <c r="AG33" s="410">
        <f t="shared" si="1"/>
        <v>-0.34704641350210969</v>
      </c>
      <c r="AH33" s="392">
        <f>(X33-Q33)/Q33</f>
        <v>0.25910507451865455</v>
      </c>
      <c r="AI33" s="455">
        <f t="shared" si="30"/>
        <v>5639.97</v>
      </c>
      <c r="AJ33" s="368"/>
      <c r="AK33" s="368"/>
      <c r="AL33" s="368">
        <v>5639.97</v>
      </c>
      <c r="AM33" s="171">
        <v>416</v>
      </c>
      <c r="AN33" s="172">
        <v>46091</v>
      </c>
      <c r="AO33" s="171" t="s">
        <v>1088</v>
      </c>
      <c r="AP33" s="177" t="b">
        <v>1</v>
      </c>
      <c r="AQ33" s="177" t="b">
        <v>1</v>
      </c>
      <c r="AR33" s="439">
        <f t="shared" si="2"/>
        <v>-0.32794830371567046</v>
      </c>
      <c r="AS33" s="439">
        <f t="shared" si="3"/>
        <v>-0.34524323646596639</v>
      </c>
      <c r="AT33" s="203">
        <v>8833.58</v>
      </c>
      <c r="AU33" s="203">
        <v>0</v>
      </c>
      <c r="AV33" s="203"/>
      <c r="AW33" s="203">
        <v>8833.58</v>
      </c>
      <c r="AX33" s="171">
        <v>634</v>
      </c>
      <c r="AY33" s="172">
        <v>46122</v>
      </c>
      <c r="AZ33" s="171" t="s">
        <v>1089</v>
      </c>
      <c r="BA33" s="177" t="b">
        <v>1</v>
      </c>
      <c r="BB33" s="177" t="b">
        <v>1</v>
      </c>
      <c r="BC33" s="439">
        <f t="shared" si="4"/>
        <v>0.52403846153846156</v>
      </c>
      <c r="BD33" s="439">
        <f t="shared" si="5"/>
        <v>0.56624591974780003</v>
      </c>
      <c r="BE33" s="368">
        <f t="shared" si="6"/>
        <v>0</v>
      </c>
      <c r="BF33" s="368"/>
      <c r="BG33" s="368"/>
      <c r="BH33" s="368"/>
      <c r="BI33" s="171"/>
      <c r="BJ33" s="1197">
        <v>46152</v>
      </c>
      <c r="BK33" s="171"/>
      <c r="BL33" s="177" t="b">
        <v>0</v>
      </c>
      <c r="BM33" s="177" t="b">
        <v>0</v>
      </c>
      <c r="BN33" s="154">
        <f t="shared" si="7"/>
        <v>-1</v>
      </c>
      <c r="BO33" s="154">
        <f t="shared" si="8"/>
        <v>-1</v>
      </c>
      <c r="BP33" s="348">
        <f t="shared" si="9"/>
        <v>0</v>
      </c>
      <c r="BQ33" s="176"/>
      <c r="BR33" s="176"/>
      <c r="BS33" s="176"/>
      <c r="BT33" s="176"/>
      <c r="BU33" s="1197">
        <v>46183</v>
      </c>
      <c r="BV33" s="176"/>
      <c r="BW33" s="177" t="b">
        <v>0</v>
      </c>
      <c r="BX33" s="177" t="b">
        <v>0</v>
      </c>
      <c r="BY33" s="439" t="e">
        <f t="shared" si="10"/>
        <v>#DIV/0!</v>
      </c>
      <c r="BZ33" s="439" t="e">
        <f t="shared" si="11"/>
        <v>#DIV/0!</v>
      </c>
      <c r="CA33" s="348">
        <f t="shared" si="12"/>
        <v>0</v>
      </c>
      <c r="CB33" s="176"/>
      <c r="CC33" s="176"/>
      <c r="CD33" s="176"/>
      <c r="CE33" s="176"/>
      <c r="CF33" s="186"/>
      <c r="CG33" s="176"/>
      <c r="CH33" s="177" t="b">
        <v>0</v>
      </c>
      <c r="CI33" s="177" t="b">
        <v>0</v>
      </c>
      <c r="CJ33" s="439" t="e">
        <f t="shared" si="13"/>
        <v>#DIV/0!</v>
      </c>
      <c r="CK33" s="439" t="e">
        <f t="shared" si="14"/>
        <v>#DIV/0!</v>
      </c>
      <c r="CL33" s="348">
        <f t="shared" si="15"/>
        <v>0</v>
      </c>
      <c r="CM33" s="176"/>
      <c r="CN33" s="176"/>
      <c r="CO33" s="176"/>
      <c r="CP33" s="176"/>
      <c r="CQ33" s="186"/>
      <c r="CR33" s="176"/>
      <c r="CS33" s="177" t="b">
        <v>0</v>
      </c>
      <c r="CT33" s="177" t="b">
        <v>0</v>
      </c>
      <c r="CU33" s="176" t="e">
        <f t="shared" si="16"/>
        <v>#DIV/0!</v>
      </c>
      <c r="CV33" s="176" t="e">
        <f t="shared" si="17"/>
        <v>#DIV/0!</v>
      </c>
      <c r="CW33" s="348">
        <f t="shared" si="18"/>
        <v>0</v>
      </c>
      <c r="CX33" s="176"/>
      <c r="CY33" s="176"/>
      <c r="CZ33" s="176"/>
      <c r="DA33" s="176"/>
      <c r="DB33" s="186"/>
      <c r="DC33" s="176"/>
      <c r="DD33" s="177" t="b">
        <v>0</v>
      </c>
      <c r="DE33" s="177" t="b">
        <v>0</v>
      </c>
      <c r="DF33" s="439" t="e">
        <f t="shared" si="19"/>
        <v>#DIV/0!</v>
      </c>
      <c r="DG33" s="439" t="e">
        <f t="shared" si="20"/>
        <v>#DIV/0!</v>
      </c>
      <c r="DH33" s="348">
        <f t="shared" si="21"/>
        <v>0</v>
      </c>
      <c r="DI33" s="176"/>
      <c r="DJ33" s="176"/>
      <c r="DK33" s="176"/>
      <c r="DL33" s="176"/>
      <c r="DM33" s="176"/>
      <c r="DN33" s="186"/>
      <c r="DO33" s="176"/>
      <c r="DP33" s="177" t="b">
        <v>0</v>
      </c>
      <c r="DQ33" s="177" t="b">
        <v>0</v>
      </c>
      <c r="DR33" s="439" t="e">
        <f t="shared" si="22"/>
        <v>#DIV/0!</v>
      </c>
      <c r="DS33" s="884">
        <f t="shared" si="23"/>
        <v>0</v>
      </c>
      <c r="DT33" s="176"/>
      <c r="DU33" s="176"/>
      <c r="DV33" s="176"/>
      <c r="DW33" s="176"/>
      <c r="DX33" s="176"/>
      <c r="DY33" s="186"/>
      <c r="DZ33" s="176"/>
      <c r="EA33" s="177" t="b">
        <v>0</v>
      </c>
      <c r="EB33" s="177" t="b">
        <v>0</v>
      </c>
      <c r="EC33" s="439" t="e">
        <f t="shared" si="24"/>
        <v>#DIV/0!</v>
      </c>
      <c r="ED33" s="884">
        <f t="shared" si="25"/>
        <v>0</v>
      </c>
      <c r="EE33" s="176"/>
      <c r="EF33" s="176"/>
      <c r="EG33" s="176"/>
      <c r="EH33" s="176"/>
      <c r="EI33" s="176"/>
      <c r="EJ33" s="186"/>
      <c r="EK33" s="176"/>
      <c r="EL33" s="177" t="b">
        <v>0</v>
      </c>
      <c r="EM33" s="177" t="b">
        <v>0</v>
      </c>
      <c r="EN33" s="439" t="e">
        <f t="shared" si="26"/>
        <v>#DIV/0!</v>
      </c>
      <c r="EO33" s="884">
        <f t="shared" si="27"/>
        <v>0</v>
      </c>
      <c r="EP33" s="176"/>
      <c r="EQ33" s="176"/>
      <c r="ER33" s="176"/>
      <c r="ES33" s="176"/>
      <c r="ET33" s="176"/>
      <c r="EU33" s="186"/>
      <c r="EV33" s="176"/>
      <c r="EW33" s="177" t="b">
        <v>0</v>
      </c>
      <c r="EX33" s="177" t="b">
        <v>0</v>
      </c>
      <c r="EY33" s="439" t="e">
        <f t="shared" si="28"/>
        <v>#DIV/0!</v>
      </c>
      <c r="EZ33" s="439" t="e">
        <f t="shared" si="29"/>
        <v>#DIV/0!</v>
      </c>
    </row>
    <row r="34" spans="3:156" ht="15" customHeight="1">
      <c r="C34" s="421" t="s">
        <v>1093</v>
      </c>
      <c r="D34" s="357">
        <v>1450022</v>
      </c>
      <c r="E34" s="357">
        <v>120</v>
      </c>
      <c r="F34" s="357" t="s">
        <v>1094</v>
      </c>
      <c r="G34" s="357" t="s">
        <v>1095</v>
      </c>
      <c r="H34" s="357" t="s">
        <v>901</v>
      </c>
      <c r="I34" s="357" t="s">
        <v>1096</v>
      </c>
      <c r="J34" s="357" t="s">
        <v>1097</v>
      </c>
      <c r="K34" s="426" t="s">
        <v>1094</v>
      </c>
      <c r="L34" s="426"/>
      <c r="M34" s="357"/>
      <c r="N34" s="357"/>
      <c r="O34" s="429">
        <v>46</v>
      </c>
      <c r="P34" s="358"/>
      <c r="Q34" s="401">
        <v>26354.61</v>
      </c>
      <c r="R34" s="401"/>
      <c r="S34" s="358"/>
      <c r="T34" s="402">
        <f t="shared" si="31"/>
        <v>26354.61</v>
      </c>
      <c r="U34" s="403">
        <v>1786</v>
      </c>
      <c r="V34" s="404">
        <v>46050</v>
      </c>
      <c r="W34" s="385" t="s">
        <v>1098</v>
      </c>
      <c r="X34" s="144">
        <f t="shared" si="0"/>
        <v>32015.17</v>
      </c>
      <c r="Y34" s="406"/>
      <c r="Z34" s="406"/>
      <c r="AA34" s="406">
        <v>32015.17</v>
      </c>
      <c r="AB34" s="148">
        <v>2165</v>
      </c>
      <c r="AC34" s="407">
        <v>46081</v>
      </c>
      <c r="AD34" s="148" t="s">
        <v>1099</v>
      </c>
      <c r="AE34" s="164" t="b">
        <v>1</v>
      </c>
      <c r="AF34" s="164" t="b">
        <v>1</v>
      </c>
      <c r="AG34" s="408">
        <f t="shared" si="1"/>
        <v>0.21220604703247481</v>
      </c>
      <c r="AH34" s="409">
        <f>(X34-Q34)/Q34</f>
        <v>0.21478443429821187</v>
      </c>
      <c r="AI34" s="1096">
        <v>32699.81</v>
      </c>
      <c r="AJ34" s="364">
        <v>0</v>
      </c>
      <c r="AK34" s="364">
        <v>0</v>
      </c>
      <c r="AL34" s="364">
        <v>32699.81</v>
      </c>
      <c r="AM34" s="148">
        <v>2100</v>
      </c>
      <c r="AN34" s="407">
        <v>46109</v>
      </c>
      <c r="AO34" s="148" t="s">
        <v>1100</v>
      </c>
      <c r="AP34" s="164" t="b">
        <v>1</v>
      </c>
      <c r="AQ34" s="164" t="b">
        <v>1</v>
      </c>
      <c r="AR34" s="438">
        <f t="shared" si="2"/>
        <v>-3.0023094688221709E-2</v>
      </c>
      <c r="AS34" s="438">
        <f t="shared" si="3"/>
        <v>2.1384862238745042E-2</v>
      </c>
      <c r="AT34" s="402">
        <v>28546.560000000001</v>
      </c>
      <c r="AU34" s="402">
        <v>0</v>
      </c>
      <c r="AV34" s="402">
        <v>0</v>
      </c>
      <c r="AW34" s="402">
        <v>28546.560000000001</v>
      </c>
      <c r="AX34" s="148">
        <v>1836</v>
      </c>
      <c r="AY34" s="407">
        <v>46140</v>
      </c>
      <c r="AZ34" s="148" t="s">
        <v>1101</v>
      </c>
      <c r="BA34" s="164" t="b">
        <v>1</v>
      </c>
      <c r="BB34" s="164" t="b">
        <v>1</v>
      </c>
      <c r="BC34" s="438">
        <f t="shared" si="4"/>
        <v>-0.12571428571428572</v>
      </c>
      <c r="BD34" s="438">
        <f t="shared" si="5"/>
        <v>-0.12701144135088246</v>
      </c>
      <c r="BE34" s="364">
        <f t="shared" si="6"/>
        <v>0</v>
      </c>
      <c r="BF34" s="364"/>
      <c r="BG34" s="364"/>
      <c r="BH34" s="364"/>
      <c r="BI34" s="148"/>
      <c r="BJ34" s="1196">
        <v>46170</v>
      </c>
      <c r="BK34" s="148"/>
      <c r="BL34" s="164" t="b">
        <v>0</v>
      </c>
      <c r="BM34" s="164" t="b">
        <v>0</v>
      </c>
      <c r="BN34" s="357">
        <f t="shared" si="7"/>
        <v>-1</v>
      </c>
      <c r="BO34" s="357">
        <f t="shared" si="8"/>
        <v>-1</v>
      </c>
      <c r="BP34" s="401">
        <f t="shared" si="9"/>
        <v>0</v>
      </c>
      <c r="BQ34" s="358"/>
      <c r="BR34" s="358"/>
      <c r="BS34" s="358"/>
      <c r="BT34" s="358"/>
      <c r="BU34" s="1196">
        <v>46201</v>
      </c>
      <c r="BV34" s="358"/>
      <c r="BW34" s="164" t="b">
        <v>0</v>
      </c>
      <c r="BX34" s="164" t="b">
        <v>0</v>
      </c>
      <c r="BY34" s="438" t="e">
        <f t="shared" si="10"/>
        <v>#DIV/0!</v>
      </c>
      <c r="BZ34" s="438" t="e">
        <f t="shared" si="11"/>
        <v>#DIV/0!</v>
      </c>
      <c r="CA34" s="401">
        <f t="shared" si="12"/>
        <v>0</v>
      </c>
      <c r="CB34" s="358"/>
      <c r="CC34" s="358"/>
      <c r="CD34" s="358"/>
      <c r="CE34" s="358"/>
      <c r="CF34" s="404"/>
      <c r="CG34" s="358"/>
      <c r="CH34" s="164" t="b">
        <v>0</v>
      </c>
      <c r="CI34" s="164" t="b">
        <v>0</v>
      </c>
      <c r="CJ34" s="438" t="e">
        <f t="shared" si="13"/>
        <v>#DIV/0!</v>
      </c>
      <c r="CK34" s="438" t="e">
        <f t="shared" si="14"/>
        <v>#DIV/0!</v>
      </c>
      <c r="CL34" s="401">
        <f t="shared" si="15"/>
        <v>0</v>
      </c>
      <c r="CM34" s="358"/>
      <c r="CN34" s="358"/>
      <c r="CO34" s="358"/>
      <c r="CP34" s="358"/>
      <c r="CQ34" s="404"/>
      <c r="CR34" s="358"/>
      <c r="CS34" s="164" t="b">
        <v>0</v>
      </c>
      <c r="CT34" s="164" t="b">
        <v>0</v>
      </c>
      <c r="CU34" s="358" t="e">
        <f t="shared" si="16"/>
        <v>#DIV/0!</v>
      </c>
      <c r="CV34" s="358" t="e">
        <f t="shared" si="17"/>
        <v>#DIV/0!</v>
      </c>
      <c r="CW34" s="401">
        <f t="shared" si="18"/>
        <v>0</v>
      </c>
      <c r="CX34" s="358"/>
      <c r="CY34" s="358"/>
      <c r="CZ34" s="358"/>
      <c r="DA34" s="358"/>
      <c r="DB34" s="404"/>
      <c r="DC34" s="358"/>
      <c r="DD34" s="164" t="b">
        <v>0</v>
      </c>
      <c r="DE34" s="164" t="b">
        <v>0</v>
      </c>
      <c r="DF34" s="438" t="e">
        <f t="shared" si="19"/>
        <v>#DIV/0!</v>
      </c>
      <c r="DG34" s="438" t="e">
        <f t="shared" si="20"/>
        <v>#DIV/0!</v>
      </c>
      <c r="DH34" s="401">
        <f t="shared" si="21"/>
        <v>0</v>
      </c>
      <c r="DI34" s="358"/>
      <c r="DJ34" s="358"/>
      <c r="DK34" s="358"/>
      <c r="DL34" s="358"/>
      <c r="DM34" s="358"/>
      <c r="DN34" s="404"/>
      <c r="DO34" s="358"/>
      <c r="DP34" s="164" t="b">
        <v>0</v>
      </c>
      <c r="DQ34" s="164" t="b">
        <v>0</v>
      </c>
      <c r="DR34" s="438" t="e">
        <f t="shared" si="22"/>
        <v>#DIV/0!</v>
      </c>
      <c r="DS34" s="883">
        <f t="shared" si="23"/>
        <v>0</v>
      </c>
      <c r="DT34" s="358"/>
      <c r="DU34" s="358"/>
      <c r="DV34" s="358"/>
      <c r="DW34" s="358"/>
      <c r="DX34" s="358"/>
      <c r="DY34" s="404"/>
      <c r="DZ34" s="358"/>
      <c r="EA34" s="164" t="b">
        <v>0</v>
      </c>
      <c r="EB34" s="164" t="b">
        <v>0</v>
      </c>
      <c r="EC34" s="438" t="e">
        <f t="shared" si="24"/>
        <v>#DIV/0!</v>
      </c>
      <c r="ED34" s="883">
        <f t="shared" si="25"/>
        <v>0</v>
      </c>
      <c r="EE34" s="358"/>
      <c r="EF34" s="358"/>
      <c r="EG34" s="358"/>
      <c r="EH34" s="358"/>
      <c r="EI34" s="358"/>
      <c r="EJ34" s="404"/>
      <c r="EK34" s="358"/>
      <c r="EL34" s="164" t="b">
        <v>0</v>
      </c>
      <c r="EM34" s="164" t="b">
        <v>0</v>
      </c>
      <c r="EN34" s="438" t="e">
        <f t="shared" si="26"/>
        <v>#DIV/0!</v>
      </c>
      <c r="EO34" s="883">
        <f t="shared" si="27"/>
        <v>0</v>
      </c>
      <c r="EP34" s="358"/>
      <c r="EQ34" s="358"/>
      <c r="ER34" s="358"/>
      <c r="ES34" s="358"/>
      <c r="ET34" s="358"/>
      <c r="EU34" s="404"/>
      <c r="EV34" s="358"/>
      <c r="EW34" s="164" t="b">
        <v>0</v>
      </c>
      <c r="EX34" s="164" t="b">
        <v>0</v>
      </c>
      <c r="EY34" s="438" t="e">
        <f t="shared" si="28"/>
        <v>#DIV/0!</v>
      </c>
      <c r="EZ34" s="438" t="e">
        <f t="shared" si="29"/>
        <v>#DIV/0!</v>
      </c>
    </row>
    <row r="35" spans="3:156" ht="15" customHeight="1">
      <c r="C35" s="197" t="s">
        <v>1102</v>
      </c>
      <c r="D35" s="154">
        <v>1450022</v>
      </c>
      <c r="E35" s="154">
        <v>113</v>
      </c>
      <c r="F35" s="154"/>
      <c r="G35" s="154" t="s">
        <v>1103</v>
      </c>
      <c r="H35" s="154" t="s">
        <v>1104</v>
      </c>
      <c r="I35" s="154" t="s">
        <v>1105</v>
      </c>
      <c r="J35" s="154" t="s">
        <v>1106</v>
      </c>
      <c r="K35" s="255" t="s">
        <v>1107</v>
      </c>
      <c r="L35" s="255" t="s">
        <v>1103</v>
      </c>
      <c r="M35" s="154"/>
      <c r="N35" s="154"/>
      <c r="O35" s="434">
        <v>129</v>
      </c>
      <c r="P35" s="154"/>
      <c r="Q35" s="348">
        <v>21995.83</v>
      </c>
      <c r="R35" s="348"/>
      <c r="S35" s="176"/>
      <c r="T35" s="203">
        <f t="shared" si="31"/>
        <v>21995.83</v>
      </c>
      <c r="U35" s="378">
        <v>1002</v>
      </c>
      <c r="V35" s="186">
        <v>46063</v>
      </c>
      <c r="W35" s="411" t="s">
        <v>1108</v>
      </c>
      <c r="X35" s="144">
        <f t="shared" si="0"/>
        <v>26320.36</v>
      </c>
      <c r="Y35" s="170"/>
      <c r="Z35" s="170"/>
      <c r="AA35" s="170">
        <v>26320.36</v>
      </c>
      <c r="AB35" s="171">
        <v>1199</v>
      </c>
      <c r="AC35" s="172">
        <v>46091</v>
      </c>
      <c r="AD35" s="171" t="s">
        <v>1109</v>
      </c>
      <c r="AE35" s="177" t="b">
        <v>1</v>
      </c>
      <c r="AF35" s="177" t="b">
        <v>1</v>
      </c>
      <c r="AG35" s="410">
        <f t="shared" si="1"/>
        <v>0.19660678642714571</v>
      </c>
      <c r="AH35" s="392">
        <f>(X35-Q35)/Q35</f>
        <v>0.19660681138197553</v>
      </c>
      <c r="AI35" s="455">
        <v>24059.32</v>
      </c>
      <c r="AJ35" s="368">
        <v>0</v>
      </c>
      <c r="AK35" s="368">
        <v>0</v>
      </c>
      <c r="AL35" s="368">
        <v>24059.32</v>
      </c>
      <c r="AM35" s="171">
        <v>1096</v>
      </c>
      <c r="AN35" s="172">
        <v>46122</v>
      </c>
      <c r="AO35" s="171" t="s">
        <v>1110</v>
      </c>
      <c r="AP35" s="177" t="b">
        <v>1</v>
      </c>
      <c r="AQ35" s="177" t="b">
        <v>1</v>
      </c>
      <c r="AR35" s="439">
        <f t="shared" si="2"/>
        <v>-8.5904920767306089E-2</v>
      </c>
      <c r="AS35" s="439">
        <f t="shared" si="3"/>
        <v>-8.5904600089056565E-2</v>
      </c>
      <c r="AT35" s="203">
        <v>27549.68</v>
      </c>
      <c r="AU35" s="203">
        <v>0</v>
      </c>
      <c r="AV35" s="203"/>
      <c r="AW35" s="203">
        <v>27549.68</v>
      </c>
      <c r="AX35" s="171">
        <v>1255</v>
      </c>
      <c r="AY35" s="172">
        <v>46152</v>
      </c>
      <c r="AZ35" s="171" t="s">
        <v>1111</v>
      </c>
      <c r="BA35" s="177" t="b">
        <v>1</v>
      </c>
      <c r="BB35" s="177" t="b">
        <v>0</v>
      </c>
      <c r="BC35" s="439">
        <f t="shared" si="4"/>
        <v>0.14507299270072993</v>
      </c>
      <c r="BD35" s="439">
        <f t="shared" si="5"/>
        <v>0.14507309433516827</v>
      </c>
      <c r="BE35" s="368">
        <f t="shared" si="6"/>
        <v>0</v>
      </c>
      <c r="BF35" s="368"/>
      <c r="BG35" s="368"/>
      <c r="BH35" s="368"/>
      <c r="BI35" s="171"/>
      <c r="BJ35" s="1197">
        <v>46183</v>
      </c>
      <c r="BK35" s="171"/>
      <c r="BL35" s="177" t="b">
        <v>0</v>
      </c>
      <c r="BM35" s="177" t="b">
        <v>0</v>
      </c>
      <c r="BN35" s="154">
        <f t="shared" si="7"/>
        <v>-1</v>
      </c>
      <c r="BO35" s="154">
        <f t="shared" si="8"/>
        <v>-1</v>
      </c>
      <c r="BP35" s="348">
        <f t="shared" si="9"/>
        <v>0</v>
      </c>
      <c r="BQ35" s="176"/>
      <c r="BR35" s="176"/>
      <c r="BS35" s="176"/>
      <c r="BT35" s="176"/>
      <c r="BU35" s="1197">
        <v>46213</v>
      </c>
      <c r="BV35" s="176"/>
      <c r="BW35" s="177" t="b">
        <v>0</v>
      </c>
      <c r="BX35" s="177" t="b">
        <v>0</v>
      </c>
      <c r="BY35" s="439" t="e">
        <f t="shared" si="10"/>
        <v>#DIV/0!</v>
      </c>
      <c r="BZ35" s="439" t="e">
        <f t="shared" si="11"/>
        <v>#DIV/0!</v>
      </c>
      <c r="CA35" s="348">
        <f t="shared" si="12"/>
        <v>0</v>
      </c>
      <c r="CB35" s="176"/>
      <c r="CC35" s="176"/>
      <c r="CD35" s="176"/>
      <c r="CE35" s="176"/>
      <c r="CF35" s="186"/>
      <c r="CG35" s="176"/>
      <c r="CH35" s="177" t="b">
        <v>0</v>
      </c>
      <c r="CI35" s="177" t="b">
        <v>0</v>
      </c>
      <c r="CJ35" s="439" t="e">
        <f t="shared" si="13"/>
        <v>#DIV/0!</v>
      </c>
      <c r="CK35" s="439" t="e">
        <f t="shared" si="14"/>
        <v>#DIV/0!</v>
      </c>
      <c r="CL35" s="348">
        <f t="shared" si="15"/>
        <v>0</v>
      </c>
      <c r="CM35" s="176"/>
      <c r="CN35" s="176"/>
      <c r="CO35" s="176"/>
      <c r="CP35" s="176"/>
      <c r="CQ35" s="186"/>
      <c r="CR35" s="176"/>
      <c r="CS35" s="177" t="b">
        <v>0</v>
      </c>
      <c r="CT35" s="177" t="b">
        <v>0</v>
      </c>
      <c r="CU35" s="176" t="e">
        <f t="shared" si="16"/>
        <v>#DIV/0!</v>
      </c>
      <c r="CV35" s="176" t="e">
        <f t="shared" si="17"/>
        <v>#DIV/0!</v>
      </c>
      <c r="CW35" s="348">
        <f t="shared" si="18"/>
        <v>0</v>
      </c>
      <c r="CX35" s="176"/>
      <c r="CY35" s="176"/>
      <c r="CZ35" s="176"/>
      <c r="DA35" s="176"/>
      <c r="DB35" s="186"/>
      <c r="DC35" s="176"/>
      <c r="DD35" s="177" t="b">
        <v>0</v>
      </c>
      <c r="DE35" s="177" t="b">
        <v>0</v>
      </c>
      <c r="DF35" s="439" t="e">
        <f t="shared" si="19"/>
        <v>#DIV/0!</v>
      </c>
      <c r="DG35" s="439" t="e">
        <f t="shared" si="20"/>
        <v>#DIV/0!</v>
      </c>
      <c r="DH35" s="348">
        <f t="shared" si="21"/>
        <v>0</v>
      </c>
      <c r="DI35" s="176"/>
      <c r="DJ35" s="176"/>
      <c r="DK35" s="176"/>
      <c r="DL35" s="176"/>
      <c r="DM35" s="176"/>
      <c r="DN35" s="186"/>
      <c r="DO35" s="176"/>
      <c r="DP35" s="177" t="b">
        <v>0</v>
      </c>
      <c r="DQ35" s="177" t="b">
        <v>0</v>
      </c>
      <c r="DR35" s="439" t="e">
        <f t="shared" si="22"/>
        <v>#DIV/0!</v>
      </c>
      <c r="DS35" s="884">
        <f t="shared" si="23"/>
        <v>0</v>
      </c>
      <c r="DT35" s="176"/>
      <c r="DU35" s="176"/>
      <c r="DV35" s="176"/>
      <c r="DW35" s="176"/>
      <c r="DX35" s="176"/>
      <c r="DY35" s="186"/>
      <c r="DZ35" s="176"/>
      <c r="EA35" s="177" t="b">
        <v>0</v>
      </c>
      <c r="EB35" s="177" t="b">
        <v>0</v>
      </c>
      <c r="EC35" s="439" t="e">
        <f t="shared" si="24"/>
        <v>#DIV/0!</v>
      </c>
      <c r="ED35" s="884">
        <f t="shared" si="25"/>
        <v>0</v>
      </c>
      <c r="EE35" s="176"/>
      <c r="EF35" s="176"/>
      <c r="EG35" s="176"/>
      <c r="EH35" s="176"/>
      <c r="EI35" s="176"/>
      <c r="EJ35" s="186"/>
      <c r="EK35" s="176"/>
      <c r="EL35" s="177" t="b">
        <v>0</v>
      </c>
      <c r="EM35" s="177" t="b">
        <v>0</v>
      </c>
      <c r="EN35" s="439" t="e">
        <f t="shared" si="26"/>
        <v>#DIV/0!</v>
      </c>
      <c r="EO35" s="884">
        <f t="shared" si="27"/>
        <v>0</v>
      </c>
      <c r="EP35" s="176"/>
      <c r="EQ35" s="176"/>
      <c r="ER35" s="176"/>
      <c r="ES35" s="176"/>
      <c r="ET35" s="176"/>
      <c r="EU35" s="186"/>
      <c r="EV35" s="176"/>
      <c r="EW35" s="177" t="b">
        <v>0</v>
      </c>
      <c r="EX35" s="177" t="b">
        <v>0</v>
      </c>
      <c r="EY35" s="439" t="e">
        <f t="shared" si="28"/>
        <v>#DIV/0!</v>
      </c>
      <c r="EZ35" s="439" t="e">
        <f t="shared" si="29"/>
        <v>#DIV/0!</v>
      </c>
    </row>
    <row r="36" spans="3:156" ht="15" customHeight="1">
      <c r="C36" s="400" t="s">
        <v>1112</v>
      </c>
      <c r="D36" s="357">
        <v>1450022</v>
      </c>
      <c r="E36" s="357">
        <v>156</v>
      </c>
      <c r="F36" s="357" t="s">
        <v>1113</v>
      </c>
      <c r="G36" s="357" t="s">
        <v>1114</v>
      </c>
      <c r="H36" s="357" t="s">
        <v>901</v>
      </c>
      <c r="I36" s="357" t="s">
        <v>1115</v>
      </c>
      <c r="J36" s="357" t="s">
        <v>1116</v>
      </c>
      <c r="K36" s="426" t="s">
        <v>1113</v>
      </c>
      <c r="L36" s="426" t="s">
        <v>1117</v>
      </c>
      <c r="M36" s="357"/>
      <c r="N36" s="357"/>
      <c r="O36" s="429">
        <v>30</v>
      </c>
      <c r="P36" s="357"/>
      <c r="Q36" s="401">
        <v>2696.55</v>
      </c>
      <c r="R36" s="401"/>
      <c r="S36" s="358"/>
      <c r="T36" s="402">
        <f t="shared" si="31"/>
        <v>2696.55</v>
      </c>
      <c r="U36" s="403">
        <v>356</v>
      </c>
      <c r="V36" s="404">
        <v>46037</v>
      </c>
      <c r="W36" s="405" t="s">
        <v>1118</v>
      </c>
      <c r="X36" s="144">
        <f t="shared" si="0"/>
        <v>3706.65</v>
      </c>
      <c r="Y36" s="406"/>
      <c r="Z36" s="406"/>
      <c r="AA36" s="406">
        <v>3706.65</v>
      </c>
      <c r="AB36" s="148">
        <v>479</v>
      </c>
      <c r="AC36" s="407">
        <v>46068</v>
      </c>
      <c r="AD36" s="148" t="s">
        <v>1119</v>
      </c>
      <c r="AE36" s="164" t="b">
        <v>1</v>
      </c>
      <c r="AF36" s="164" t="b">
        <v>1</v>
      </c>
      <c r="AG36" s="408">
        <f t="shared" si="1"/>
        <v>0.3455056179775281</v>
      </c>
      <c r="AH36" s="409">
        <f>(X36-Q36)/Q36</f>
        <v>0.3745897535740112</v>
      </c>
      <c r="AI36" s="458">
        <v>3326.96</v>
      </c>
      <c r="AJ36" s="364">
        <v>0</v>
      </c>
      <c r="AK36" s="364">
        <v>0</v>
      </c>
      <c r="AL36" s="364">
        <v>3326.96</v>
      </c>
      <c r="AM36" s="148">
        <v>380</v>
      </c>
      <c r="AN36" s="407">
        <v>46096</v>
      </c>
      <c r="AO36" s="148" t="s">
        <v>1120</v>
      </c>
      <c r="AP36" s="164" t="b">
        <v>1</v>
      </c>
      <c r="AQ36" s="164" t="b">
        <v>1</v>
      </c>
      <c r="AR36" s="438">
        <f t="shared" si="2"/>
        <v>-0.20668058455114824</v>
      </c>
      <c r="AS36" s="438">
        <f t="shared" si="3"/>
        <v>-0.10243481310617406</v>
      </c>
      <c r="AT36" s="402">
        <v>3544.12</v>
      </c>
      <c r="AU36" s="402">
        <v>0</v>
      </c>
      <c r="AV36" s="402"/>
      <c r="AW36" s="402">
        <v>3544.12</v>
      </c>
      <c r="AX36" s="148">
        <v>403</v>
      </c>
      <c r="AY36" s="407">
        <v>46127</v>
      </c>
      <c r="AZ36" s="148" t="s">
        <v>1121</v>
      </c>
      <c r="BA36" s="164" t="b">
        <v>1</v>
      </c>
      <c r="BB36" s="164" t="b">
        <v>0</v>
      </c>
      <c r="BC36" s="438">
        <f t="shared" si="4"/>
        <v>6.0526315789473685E-2</v>
      </c>
      <c r="BD36" s="438">
        <f t="shared" si="5"/>
        <v>6.527280159665276E-2</v>
      </c>
      <c r="BE36" s="364">
        <f t="shared" si="6"/>
        <v>0</v>
      </c>
      <c r="BF36" s="364"/>
      <c r="BG36" s="364"/>
      <c r="BH36" s="364"/>
      <c r="BI36" s="148"/>
      <c r="BJ36" s="1196">
        <v>46157</v>
      </c>
      <c r="BK36" s="148"/>
      <c r="BL36" s="164" t="b">
        <v>0</v>
      </c>
      <c r="BM36" s="164" t="b">
        <v>0</v>
      </c>
      <c r="BN36" s="357">
        <f t="shared" si="7"/>
        <v>-1</v>
      </c>
      <c r="BO36" s="357">
        <f t="shared" si="8"/>
        <v>-1</v>
      </c>
      <c r="BP36" s="401">
        <f t="shared" si="9"/>
        <v>0</v>
      </c>
      <c r="BQ36" s="358"/>
      <c r="BR36" s="358"/>
      <c r="BS36" s="358"/>
      <c r="BT36" s="358"/>
      <c r="BU36" s="1196">
        <v>46188</v>
      </c>
      <c r="BV36" s="358"/>
      <c r="BW36" s="164" t="b">
        <v>0</v>
      </c>
      <c r="BX36" s="164" t="b">
        <v>0</v>
      </c>
      <c r="BY36" s="438" t="e">
        <f t="shared" si="10"/>
        <v>#DIV/0!</v>
      </c>
      <c r="BZ36" s="438" t="e">
        <f t="shared" si="11"/>
        <v>#DIV/0!</v>
      </c>
      <c r="CA36" s="401">
        <f t="shared" si="12"/>
        <v>0</v>
      </c>
      <c r="CB36" s="358"/>
      <c r="CC36" s="358"/>
      <c r="CD36" s="358"/>
      <c r="CE36" s="358"/>
      <c r="CF36" s="404"/>
      <c r="CG36" s="358"/>
      <c r="CH36" s="164" t="b">
        <v>0</v>
      </c>
      <c r="CI36" s="164" t="b">
        <v>0</v>
      </c>
      <c r="CJ36" s="438" t="e">
        <f t="shared" si="13"/>
        <v>#DIV/0!</v>
      </c>
      <c r="CK36" s="438" t="e">
        <f t="shared" si="14"/>
        <v>#DIV/0!</v>
      </c>
      <c r="CL36" s="401">
        <f t="shared" si="15"/>
        <v>0</v>
      </c>
      <c r="CM36" s="358"/>
      <c r="CN36" s="358"/>
      <c r="CO36" s="358"/>
      <c r="CP36" s="358"/>
      <c r="CQ36" s="404"/>
      <c r="CR36" s="358"/>
      <c r="CS36" s="164" t="b">
        <v>0</v>
      </c>
      <c r="CT36" s="164" t="b">
        <v>0</v>
      </c>
      <c r="CU36" s="358" t="e">
        <f t="shared" si="16"/>
        <v>#DIV/0!</v>
      </c>
      <c r="CV36" s="358" t="e">
        <f t="shared" si="17"/>
        <v>#DIV/0!</v>
      </c>
      <c r="CW36" s="401">
        <f t="shared" si="18"/>
        <v>0</v>
      </c>
      <c r="CX36" s="358"/>
      <c r="CY36" s="358"/>
      <c r="CZ36" s="358"/>
      <c r="DA36" s="358"/>
      <c r="DB36" s="404"/>
      <c r="DC36" s="358"/>
      <c r="DD36" s="164" t="b">
        <v>0</v>
      </c>
      <c r="DE36" s="164" t="b">
        <v>0</v>
      </c>
      <c r="DF36" s="438" t="e">
        <f t="shared" si="19"/>
        <v>#DIV/0!</v>
      </c>
      <c r="DG36" s="438" t="e">
        <f t="shared" si="20"/>
        <v>#DIV/0!</v>
      </c>
      <c r="DH36" s="401">
        <f t="shared" si="21"/>
        <v>0</v>
      </c>
      <c r="DI36" s="358"/>
      <c r="DJ36" s="358"/>
      <c r="DK36" s="358"/>
      <c r="DL36" s="358"/>
      <c r="DM36" s="358"/>
      <c r="DN36" s="404"/>
      <c r="DO36" s="358"/>
      <c r="DP36" s="164" t="b">
        <v>0</v>
      </c>
      <c r="DQ36" s="164" t="b">
        <v>0</v>
      </c>
      <c r="DR36" s="438" t="e">
        <f t="shared" si="22"/>
        <v>#DIV/0!</v>
      </c>
      <c r="DS36" s="883">
        <f t="shared" si="23"/>
        <v>0</v>
      </c>
      <c r="DT36" s="358"/>
      <c r="DU36" s="358"/>
      <c r="DV36" s="358"/>
      <c r="DW36" s="358"/>
      <c r="DX36" s="358"/>
      <c r="DY36" s="404"/>
      <c r="DZ36" s="358"/>
      <c r="EA36" s="164" t="b">
        <v>0</v>
      </c>
      <c r="EB36" s="164" t="b">
        <v>0</v>
      </c>
      <c r="EC36" s="438" t="e">
        <f t="shared" si="24"/>
        <v>#DIV/0!</v>
      </c>
      <c r="ED36" s="883">
        <f t="shared" si="25"/>
        <v>0</v>
      </c>
      <c r="EE36" s="358"/>
      <c r="EF36" s="358"/>
      <c r="EG36" s="358"/>
      <c r="EH36" s="358"/>
      <c r="EI36" s="358"/>
      <c r="EJ36" s="404"/>
      <c r="EK36" s="358"/>
      <c r="EL36" s="164" t="b">
        <v>0</v>
      </c>
      <c r="EM36" s="164" t="b">
        <v>0</v>
      </c>
      <c r="EN36" s="438" t="e">
        <f t="shared" si="26"/>
        <v>#DIV/0!</v>
      </c>
      <c r="EO36" s="883">
        <f t="shared" si="27"/>
        <v>0</v>
      </c>
      <c r="EP36" s="358"/>
      <c r="EQ36" s="358"/>
      <c r="ER36" s="358"/>
      <c r="ES36" s="358"/>
      <c r="ET36" s="358"/>
      <c r="EU36" s="404"/>
      <c r="EV36" s="358"/>
      <c r="EW36" s="164" t="b">
        <v>0</v>
      </c>
      <c r="EX36" s="164" t="b">
        <v>0</v>
      </c>
      <c r="EY36" s="438" t="e">
        <f t="shared" si="28"/>
        <v>#DIV/0!</v>
      </c>
      <c r="EZ36" s="438" t="e">
        <f t="shared" si="29"/>
        <v>#DIV/0!</v>
      </c>
    </row>
    <row r="37" spans="3:156" ht="15" customHeight="1">
      <c r="C37" s="400" t="s">
        <v>1112</v>
      </c>
      <c r="D37" s="357">
        <v>1450022</v>
      </c>
      <c r="E37" s="357">
        <v>156</v>
      </c>
      <c r="F37" s="357" t="s">
        <v>1122</v>
      </c>
      <c r="G37" s="357" t="s">
        <v>1123</v>
      </c>
      <c r="H37" s="357" t="s">
        <v>901</v>
      </c>
      <c r="I37" s="357" t="s">
        <v>1115</v>
      </c>
      <c r="J37" s="357" t="s">
        <v>1116</v>
      </c>
      <c r="K37" s="426" t="s">
        <v>1122</v>
      </c>
      <c r="L37" s="426" t="s">
        <v>1124</v>
      </c>
      <c r="M37" s="357"/>
      <c r="N37" s="357"/>
      <c r="O37" s="429">
        <v>30</v>
      </c>
      <c r="P37" s="357"/>
      <c r="Q37" s="401">
        <v>6219.59</v>
      </c>
      <c r="R37" s="401"/>
      <c r="S37" s="358"/>
      <c r="T37" s="402">
        <f t="shared" si="31"/>
        <v>6219.59</v>
      </c>
      <c r="U37" s="403">
        <v>785</v>
      </c>
      <c r="V37" s="404">
        <v>46037</v>
      </c>
      <c r="W37" s="405" t="s">
        <v>1118</v>
      </c>
      <c r="X37" s="144">
        <f t="shared" si="0"/>
        <v>6589.14</v>
      </c>
      <c r="Y37" s="406"/>
      <c r="Z37" s="406"/>
      <c r="AA37" s="406">
        <v>6589.14</v>
      </c>
      <c r="AB37" s="148">
        <v>830</v>
      </c>
      <c r="AC37" s="407">
        <v>46068</v>
      </c>
      <c r="AD37" s="148" t="s">
        <v>1119</v>
      </c>
      <c r="AE37" s="164" t="b">
        <v>1</v>
      </c>
      <c r="AF37" s="164" t="b">
        <v>1</v>
      </c>
      <c r="AG37" s="408">
        <f t="shared" ref="AG37:AG68" si="33">(AB37-U37)/U37</f>
        <v>5.7324840764331211E-2</v>
      </c>
      <c r="AH37" s="409">
        <f>(X37-Q37)/Q37</f>
        <v>5.941709984098633E-2</v>
      </c>
      <c r="AI37" s="458">
        <v>5611.91</v>
      </c>
      <c r="AJ37" s="364">
        <v>0</v>
      </c>
      <c r="AK37" s="364">
        <v>0</v>
      </c>
      <c r="AL37" s="364">
        <v>5611.91</v>
      </c>
      <c r="AM37" s="148">
        <v>622</v>
      </c>
      <c r="AN37" s="407">
        <v>46096</v>
      </c>
      <c r="AO37" s="148" t="s">
        <v>1120</v>
      </c>
      <c r="AP37" s="164" t="b">
        <v>1</v>
      </c>
      <c r="AQ37" s="164" t="b">
        <v>1</v>
      </c>
      <c r="AR37" s="438">
        <f t="shared" ref="AR37:AR68" si="34">(AM37-AB37)/AB37</f>
        <v>-0.25060240963855424</v>
      </c>
      <c r="AS37" s="438">
        <f t="shared" ref="AS37:AS68" si="35">(AI37-X37)/X37</f>
        <v>-0.1483091875419251</v>
      </c>
      <c r="AT37" s="402">
        <v>8123.48</v>
      </c>
      <c r="AU37" s="402">
        <v>0</v>
      </c>
      <c r="AV37" s="402"/>
      <c r="AW37" s="402">
        <v>8123.48</v>
      </c>
      <c r="AX37" s="148">
        <v>888</v>
      </c>
      <c r="AY37" s="407">
        <v>46127</v>
      </c>
      <c r="AZ37" s="148" t="s">
        <v>1121</v>
      </c>
      <c r="BA37" s="164" t="b">
        <v>1</v>
      </c>
      <c r="BB37" s="164" t="b">
        <v>0</v>
      </c>
      <c r="BC37" s="438">
        <f t="shared" ref="BC37:BC68" si="36">(AX37-AM37)/AM37</f>
        <v>0.42765273311897106</v>
      </c>
      <c r="BD37" s="438">
        <f t="shared" ref="BD37:BD68" si="37">(AW37-AL37)/AL37</f>
        <v>0.44754281519126282</v>
      </c>
      <c r="BE37" s="364">
        <f t="shared" ref="BE37:BE68" si="38">SUM(BH37, ABS(BF37))</f>
        <v>0</v>
      </c>
      <c r="BF37" s="364"/>
      <c r="BG37" s="364"/>
      <c r="BH37" s="364"/>
      <c r="BI37" s="148"/>
      <c r="BJ37" s="1196">
        <v>46157</v>
      </c>
      <c r="BK37" s="148"/>
      <c r="BL37" s="164" t="b">
        <v>0</v>
      </c>
      <c r="BM37" s="164" t="b">
        <v>0</v>
      </c>
      <c r="BN37" s="357">
        <f t="shared" ref="BN37:BN68" si="39">(BI37-AX37)/AX37</f>
        <v>-1</v>
      </c>
      <c r="BO37" s="357">
        <f t="shared" ref="BO37:BO68" si="40">(BH37-AW37)/AW37</f>
        <v>-1</v>
      </c>
      <c r="BP37" s="401">
        <f t="shared" ref="BP37:BP68" si="41">SUM(BS37, ABS(BQ37))</f>
        <v>0</v>
      </c>
      <c r="BQ37" s="358"/>
      <c r="BR37" s="358"/>
      <c r="BS37" s="358"/>
      <c r="BT37" s="358"/>
      <c r="BU37" s="1196">
        <v>46188</v>
      </c>
      <c r="BV37" s="358"/>
      <c r="BW37" s="164" t="b">
        <v>0</v>
      </c>
      <c r="BX37" s="164" t="b">
        <v>0</v>
      </c>
      <c r="BY37" s="438" t="e">
        <f t="shared" ref="BY37:BY68" si="42">(BT37-BI37)/BI37</f>
        <v>#DIV/0!</v>
      </c>
      <c r="BZ37" s="438" t="e">
        <f t="shared" ref="BZ37:BZ68" si="43">(BS37-BH37)/BH37</f>
        <v>#DIV/0!</v>
      </c>
      <c r="CA37" s="401">
        <f t="shared" ref="CA37:CA68" si="44">SUM(CD37, ABS(CB37))</f>
        <v>0</v>
      </c>
      <c r="CB37" s="358"/>
      <c r="CC37" s="358"/>
      <c r="CD37" s="358"/>
      <c r="CE37" s="358"/>
      <c r="CF37" s="404"/>
      <c r="CG37" s="358"/>
      <c r="CH37" s="164" t="b">
        <v>0</v>
      </c>
      <c r="CI37" s="164" t="b">
        <v>0</v>
      </c>
      <c r="CJ37" s="438" t="e">
        <f t="shared" ref="CJ37:CJ68" si="45">(CE37-BT37)/BT37</f>
        <v>#DIV/0!</v>
      </c>
      <c r="CK37" s="438" t="e">
        <f t="shared" ref="CK37:CK68" si="46">(CD37-BS37)/BS37</f>
        <v>#DIV/0!</v>
      </c>
      <c r="CL37" s="401">
        <f t="shared" ref="CL37:CL68" si="47">SUM(CO37, ABS(CM37))</f>
        <v>0</v>
      </c>
      <c r="CM37" s="358"/>
      <c r="CN37" s="358"/>
      <c r="CO37" s="358"/>
      <c r="CP37" s="358"/>
      <c r="CQ37" s="404"/>
      <c r="CR37" s="358"/>
      <c r="CS37" s="164" t="b">
        <v>0</v>
      </c>
      <c r="CT37" s="164" t="b">
        <v>0</v>
      </c>
      <c r="CU37" s="358" t="e">
        <f t="shared" ref="CU37:CU68" si="48">(CP37-CE37)/CE37</f>
        <v>#DIV/0!</v>
      </c>
      <c r="CV37" s="358" t="e">
        <f t="shared" ref="CV37:CV68" si="49">(CO37-CD37)/CD37</f>
        <v>#DIV/0!</v>
      </c>
      <c r="CW37" s="401">
        <f t="shared" ref="CW37:CW68" si="50">SUM(CZ37, ABS(CX37))</f>
        <v>0</v>
      </c>
      <c r="CX37" s="358"/>
      <c r="CY37" s="358"/>
      <c r="CZ37" s="358"/>
      <c r="DA37" s="358"/>
      <c r="DB37" s="404"/>
      <c r="DC37" s="358"/>
      <c r="DD37" s="164" t="b">
        <v>0</v>
      </c>
      <c r="DE37" s="164" t="b">
        <v>0</v>
      </c>
      <c r="DF37" s="438" t="e">
        <f t="shared" ref="DF37:DF68" si="51">(DA37-CP37)/CP37</f>
        <v>#DIV/0!</v>
      </c>
      <c r="DG37" s="438" t="e">
        <f t="shared" ref="DG37:DG68" si="52">(CZ37-CO37)/CO37</f>
        <v>#DIV/0!</v>
      </c>
      <c r="DH37" s="401">
        <f t="shared" ref="DH37:DH68" si="53">SUM(DK37, ABS(DI37))</f>
        <v>0</v>
      </c>
      <c r="DI37" s="358"/>
      <c r="DJ37" s="358"/>
      <c r="DK37" s="358"/>
      <c r="DL37" s="358"/>
      <c r="DM37" s="358"/>
      <c r="DN37" s="404"/>
      <c r="DO37" s="358"/>
      <c r="DP37" s="164" t="b">
        <v>0</v>
      </c>
      <c r="DQ37" s="164" t="b">
        <v>0</v>
      </c>
      <c r="DR37" s="438" t="e">
        <f t="shared" ref="DR37:DR68" si="54">(DM37-DA37)/DA37</f>
        <v>#DIV/0!</v>
      </c>
      <c r="DS37" s="883">
        <f t="shared" ref="DS37:DS68" si="55">SUM(DV37, ABS(DT37))</f>
        <v>0</v>
      </c>
      <c r="DT37" s="358"/>
      <c r="DU37" s="358"/>
      <c r="DV37" s="358"/>
      <c r="DW37" s="358"/>
      <c r="DX37" s="358"/>
      <c r="DY37" s="404"/>
      <c r="DZ37" s="358"/>
      <c r="EA37" s="164" t="b">
        <v>0</v>
      </c>
      <c r="EB37" s="164" t="b">
        <v>0</v>
      </c>
      <c r="EC37" s="438" t="e">
        <f t="shared" ref="EC37:EC68" si="56">(DX37-DM37)/DM37</f>
        <v>#DIV/0!</v>
      </c>
      <c r="ED37" s="883">
        <f t="shared" ref="ED37:ED68" si="57">SUM(EG37, ABS(EE37))</f>
        <v>0</v>
      </c>
      <c r="EE37" s="358"/>
      <c r="EF37" s="358"/>
      <c r="EG37" s="358"/>
      <c r="EH37" s="358"/>
      <c r="EI37" s="358"/>
      <c r="EJ37" s="404"/>
      <c r="EK37" s="358"/>
      <c r="EL37" s="164" t="b">
        <v>0</v>
      </c>
      <c r="EM37" s="164" t="b">
        <v>0</v>
      </c>
      <c r="EN37" s="438" t="e">
        <f t="shared" ref="EN37:EN68" si="58">(EI37-DX37)/DX37</f>
        <v>#DIV/0!</v>
      </c>
      <c r="EO37" s="883">
        <f t="shared" ref="EO37:EO68" si="59">SUM(ER37, ABS(EP37))</f>
        <v>0</v>
      </c>
      <c r="EP37" s="358"/>
      <c r="EQ37" s="358"/>
      <c r="ER37" s="358"/>
      <c r="ES37" s="358"/>
      <c r="ET37" s="358"/>
      <c r="EU37" s="404"/>
      <c r="EV37" s="358"/>
      <c r="EW37" s="164" t="b">
        <v>0</v>
      </c>
      <c r="EX37" s="164" t="b">
        <v>0</v>
      </c>
      <c r="EY37" s="438" t="e">
        <f t="shared" ref="EY37:EY68" si="60">(ET37-EI37)/EI37</f>
        <v>#DIV/0!</v>
      </c>
      <c r="EZ37" s="438" t="e">
        <f t="shared" ref="EZ37:EZ68" si="61">(ES37-EH37)/EH37</f>
        <v>#DIV/0!</v>
      </c>
    </row>
    <row r="38" spans="3:156" ht="15" customHeight="1">
      <c r="C38" s="400" t="s">
        <v>1112</v>
      </c>
      <c r="D38" s="357">
        <v>1450022</v>
      </c>
      <c r="E38" s="357">
        <v>156</v>
      </c>
      <c r="F38" s="357" t="s">
        <v>1125</v>
      </c>
      <c r="G38" s="357" t="s">
        <v>1126</v>
      </c>
      <c r="H38" s="357" t="s">
        <v>901</v>
      </c>
      <c r="I38" s="357" t="s">
        <v>1115</v>
      </c>
      <c r="J38" s="357" t="s">
        <v>1116</v>
      </c>
      <c r="K38" s="426" t="s">
        <v>1125</v>
      </c>
      <c r="L38" s="426" t="s">
        <v>1127</v>
      </c>
      <c r="M38" s="357"/>
      <c r="N38" s="357"/>
      <c r="O38" s="429">
        <v>30</v>
      </c>
      <c r="P38" s="357"/>
      <c r="Q38" s="401">
        <v>165.41</v>
      </c>
      <c r="R38" s="401"/>
      <c r="S38" s="358"/>
      <c r="T38" s="402">
        <f t="shared" si="31"/>
        <v>165.41</v>
      </c>
      <c r="U38" s="403">
        <v>34</v>
      </c>
      <c r="V38" s="404">
        <v>46037</v>
      </c>
      <c r="W38" s="405" t="s">
        <v>1118</v>
      </c>
      <c r="X38" s="144">
        <f t="shared" si="0"/>
        <v>112.48</v>
      </c>
      <c r="Y38" s="406"/>
      <c r="Z38" s="406"/>
      <c r="AA38" s="406">
        <v>112.48</v>
      </c>
      <c r="AB38" s="148">
        <v>25</v>
      </c>
      <c r="AC38" s="407">
        <v>46068</v>
      </c>
      <c r="AD38" s="148" t="s">
        <v>1119</v>
      </c>
      <c r="AE38" s="164" t="b">
        <v>1</v>
      </c>
      <c r="AF38" s="164" t="b">
        <v>1</v>
      </c>
      <c r="AG38" s="408">
        <f t="shared" si="33"/>
        <v>-0.26470588235294118</v>
      </c>
      <c r="AH38" s="409">
        <f>(X38-Q38)/Q38</f>
        <v>-0.31999274529955862</v>
      </c>
      <c r="AI38" s="1096">
        <v>68.81</v>
      </c>
      <c r="AJ38" s="364">
        <v>0</v>
      </c>
      <c r="AK38" s="364">
        <v>0</v>
      </c>
      <c r="AL38" s="364">
        <v>68.81</v>
      </c>
      <c r="AM38" s="148">
        <v>15</v>
      </c>
      <c r="AN38" s="407">
        <v>46096</v>
      </c>
      <c r="AO38" s="148" t="s">
        <v>1120</v>
      </c>
      <c r="AP38" s="164" t="b">
        <v>1</v>
      </c>
      <c r="AQ38" s="164" t="b">
        <v>1</v>
      </c>
      <c r="AR38" s="438">
        <f t="shared" si="34"/>
        <v>-0.4</v>
      </c>
      <c r="AS38" s="438">
        <f t="shared" si="35"/>
        <v>-0.38824679943100998</v>
      </c>
      <c r="AT38" s="402">
        <v>86.52</v>
      </c>
      <c r="AU38" s="402">
        <v>0</v>
      </c>
      <c r="AV38" s="402">
        <v>0</v>
      </c>
      <c r="AW38" s="402">
        <v>86.52</v>
      </c>
      <c r="AX38" s="148">
        <v>18</v>
      </c>
      <c r="AY38" s="407">
        <v>46127</v>
      </c>
      <c r="AZ38" s="148" t="s">
        <v>1121</v>
      </c>
      <c r="BA38" s="164" t="b">
        <v>1</v>
      </c>
      <c r="BB38" s="164" t="b">
        <v>0</v>
      </c>
      <c r="BC38" s="438">
        <f t="shared" si="36"/>
        <v>0.2</v>
      </c>
      <c r="BD38" s="438">
        <f t="shared" si="37"/>
        <v>0.25737538148524913</v>
      </c>
      <c r="BE38" s="364">
        <f t="shared" si="38"/>
        <v>0</v>
      </c>
      <c r="BF38" s="364"/>
      <c r="BG38" s="364"/>
      <c r="BH38" s="364"/>
      <c r="BI38" s="148"/>
      <c r="BJ38" s="1196">
        <v>46157</v>
      </c>
      <c r="BK38" s="148"/>
      <c r="BL38" s="164" t="b">
        <v>0</v>
      </c>
      <c r="BM38" s="164" t="b">
        <v>0</v>
      </c>
      <c r="BN38" s="357">
        <f t="shared" si="39"/>
        <v>-1</v>
      </c>
      <c r="BO38" s="357">
        <f t="shared" si="40"/>
        <v>-1</v>
      </c>
      <c r="BP38" s="401">
        <f t="shared" si="41"/>
        <v>0</v>
      </c>
      <c r="BQ38" s="358"/>
      <c r="BR38" s="358"/>
      <c r="BS38" s="358"/>
      <c r="BT38" s="358"/>
      <c r="BU38" s="1196">
        <v>46188</v>
      </c>
      <c r="BV38" s="358"/>
      <c r="BW38" s="164" t="b">
        <v>0</v>
      </c>
      <c r="BX38" s="164" t="b">
        <v>0</v>
      </c>
      <c r="BY38" s="438" t="e">
        <f t="shared" si="42"/>
        <v>#DIV/0!</v>
      </c>
      <c r="BZ38" s="438" t="e">
        <f t="shared" si="43"/>
        <v>#DIV/0!</v>
      </c>
      <c r="CA38" s="401">
        <f t="shared" si="44"/>
        <v>0</v>
      </c>
      <c r="CB38" s="358"/>
      <c r="CC38" s="358"/>
      <c r="CD38" s="358"/>
      <c r="CE38" s="358"/>
      <c r="CF38" s="404"/>
      <c r="CG38" s="358"/>
      <c r="CH38" s="164" t="b">
        <v>0</v>
      </c>
      <c r="CI38" s="164" t="b">
        <v>0</v>
      </c>
      <c r="CJ38" s="438" t="e">
        <f t="shared" si="45"/>
        <v>#DIV/0!</v>
      </c>
      <c r="CK38" s="438" t="e">
        <f t="shared" si="46"/>
        <v>#DIV/0!</v>
      </c>
      <c r="CL38" s="401">
        <f t="shared" si="47"/>
        <v>0</v>
      </c>
      <c r="CM38" s="358"/>
      <c r="CN38" s="358"/>
      <c r="CO38" s="358"/>
      <c r="CP38" s="358"/>
      <c r="CQ38" s="404"/>
      <c r="CR38" s="358"/>
      <c r="CS38" s="164" t="b">
        <v>0</v>
      </c>
      <c r="CT38" s="164" t="b">
        <v>0</v>
      </c>
      <c r="CU38" s="358" t="e">
        <f t="shared" si="48"/>
        <v>#DIV/0!</v>
      </c>
      <c r="CV38" s="358" t="e">
        <f t="shared" si="49"/>
        <v>#DIV/0!</v>
      </c>
      <c r="CW38" s="401">
        <f t="shared" si="50"/>
        <v>0</v>
      </c>
      <c r="CX38" s="358"/>
      <c r="CY38" s="358"/>
      <c r="CZ38" s="358"/>
      <c r="DA38" s="358"/>
      <c r="DB38" s="404"/>
      <c r="DC38" s="358"/>
      <c r="DD38" s="164" t="b">
        <v>0</v>
      </c>
      <c r="DE38" s="164" t="b">
        <v>0</v>
      </c>
      <c r="DF38" s="438" t="e">
        <f t="shared" si="51"/>
        <v>#DIV/0!</v>
      </c>
      <c r="DG38" s="438" t="e">
        <f t="shared" si="52"/>
        <v>#DIV/0!</v>
      </c>
      <c r="DH38" s="401">
        <f t="shared" si="53"/>
        <v>0</v>
      </c>
      <c r="DI38" s="358"/>
      <c r="DJ38" s="358"/>
      <c r="DK38" s="358"/>
      <c r="DL38" s="358"/>
      <c r="DM38" s="358"/>
      <c r="DN38" s="404"/>
      <c r="DO38" s="358"/>
      <c r="DP38" s="164" t="b">
        <v>0</v>
      </c>
      <c r="DQ38" s="164" t="b">
        <v>0</v>
      </c>
      <c r="DR38" s="438" t="e">
        <f t="shared" si="54"/>
        <v>#DIV/0!</v>
      </c>
      <c r="DS38" s="883">
        <f t="shared" si="55"/>
        <v>0</v>
      </c>
      <c r="DT38" s="358"/>
      <c r="DU38" s="358"/>
      <c r="DV38" s="358"/>
      <c r="DW38" s="358"/>
      <c r="DX38" s="358"/>
      <c r="DY38" s="404"/>
      <c r="DZ38" s="358"/>
      <c r="EA38" s="164" t="b">
        <v>0</v>
      </c>
      <c r="EB38" s="164" t="b">
        <v>0</v>
      </c>
      <c r="EC38" s="438" t="e">
        <f t="shared" si="56"/>
        <v>#DIV/0!</v>
      </c>
      <c r="ED38" s="883">
        <f t="shared" si="57"/>
        <v>0</v>
      </c>
      <c r="EE38" s="358"/>
      <c r="EF38" s="358"/>
      <c r="EG38" s="358"/>
      <c r="EH38" s="358"/>
      <c r="EI38" s="358"/>
      <c r="EJ38" s="404"/>
      <c r="EK38" s="358"/>
      <c r="EL38" s="164" t="b">
        <v>0</v>
      </c>
      <c r="EM38" s="164" t="b">
        <v>0</v>
      </c>
      <c r="EN38" s="438" t="e">
        <f t="shared" si="58"/>
        <v>#DIV/0!</v>
      </c>
      <c r="EO38" s="883">
        <f t="shared" si="59"/>
        <v>0</v>
      </c>
      <c r="EP38" s="358"/>
      <c r="EQ38" s="358"/>
      <c r="ER38" s="358"/>
      <c r="ES38" s="358"/>
      <c r="ET38" s="358"/>
      <c r="EU38" s="404"/>
      <c r="EV38" s="358"/>
      <c r="EW38" s="164" t="b">
        <v>0</v>
      </c>
      <c r="EX38" s="164" t="b">
        <v>0</v>
      </c>
      <c r="EY38" s="438" t="e">
        <f t="shared" si="60"/>
        <v>#DIV/0!</v>
      </c>
      <c r="EZ38" s="438" t="e">
        <f t="shared" si="61"/>
        <v>#DIV/0!</v>
      </c>
    </row>
    <row r="39" spans="3:156" ht="15" customHeight="1">
      <c r="C39" s="197" t="s">
        <v>1128</v>
      </c>
      <c r="D39" s="154">
        <v>1450022</v>
      </c>
      <c r="E39" s="154">
        <v>98</v>
      </c>
      <c r="F39" s="154" t="s">
        <v>1129</v>
      </c>
      <c r="G39" s="154" t="s">
        <v>1130</v>
      </c>
      <c r="H39" s="154" t="s">
        <v>901</v>
      </c>
      <c r="I39" s="154" t="s">
        <v>1131</v>
      </c>
      <c r="J39" s="154" t="s">
        <v>1132</v>
      </c>
      <c r="K39" s="255" t="s">
        <v>1129</v>
      </c>
      <c r="L39" s="255" t="s">
        <v>1133</v>
      </c>
      <c r="M39" s="175"/>
      <c r="N39" s="154"/>
      <c r="O39" s="434">
        <v>109</v>
      </c>
      <c r="P39" s="698">
        <v>169</v>
      </c>
      <c r="Q39" s="348">
        <v>5262.9</v>
      </c>
      <c r="R39" s="348"/>
      <c r="S39" s="176"/>
      <c r="T39" s="203">
        <f t="shared" si="31"/>
        <v>5262.9</v>
      </c>
      <c r="U39" s="378">
        <v>1120</v>
      </c>
      <c r="V39" s="186">
        <v>46032</v>
      </c>
      <c r="W39" s="383" t="s">
        <v>1134</v>
      </c>
      <c r="X39" s="144">
        <f t="shared" si="0"/>
        <v>6246.23</v>
      </c>
      <c r="Y39" s="170">
        <v>0</v>
      </c>
      <c r="Z39" s="170"/>
      <c r="AA39" s="170">
        <v>6246.23</v>
      </c>
      <c r="AB39" s="171">
        <v>1322</v>
      </c>
      <c r="AC39" s="172">
        <v>46073</v>
      </c>
      <c r="AD39" s="171" t="s">
        <v>1135</v>
      </c>
      <c r="AE39" s="177" t="b">
        <v>1</v>
      </c>
      <c r="AF39" s="177" t="b">
        <v>1</v>
      </c>
      <c r="AG39" s="410">
        <f t="shared" si="33"/>
        <v>0.18035714285714285</v>
      </c>
      <c r="AH39" s="392">
        <f>(X39-Q39)/Q39</f>
        <v>0.1868418552509073</v>
      </c>
      <c r="AI39" s="455">
        <v>4410.42</v>
      </c>
      <c r="AJ39" s="368">
        <v>0</v>
      </c>
      <c r="AK39" s="368">
        <v>14.03</v>
      </c>
      <c r="AL39" s="368">
        <v>4396.3900000000003</v>
      </c>
      <c r="AM39" s="171">
        <v>942</v>
      </c>
      <c r="AN39" s="172">
        <v>46101</v>
      </c>
      <c r="AO39" s="171" t="s">
        <v>1136</v>
      </c>
      <c r="AP39" s="177" t="b">
        <v>1</v>
      </c>
      <c r="AQ39" s="177" t="b">
        <v>1</v>
      </c>
      <c r="AR39" s="439">
        <f t="shared" si="34"/>
        <v>-0.2874432677760968</v>
      </c>
      <c r="AS39" s="439">
        <f t="shared" si="35"/>
        <v>-0.29390688463281045</v>
      </c>
      <c r="AT39" s="203">
        <f t="shared" ref="AT37:AT68" si="62">SUM(AW39, ABS(AU39))</f>
        <v>0</v>
      </c>
      <c r="AU39" s="203"/>
      <c r="AV39" s="203"/>
      <c r="AW39" s="203"/>
      <c r="AX39" s="171"/>
      <c r="AY39" s="925">
        <v>46132</v>
      </c>
      <c r="AZ39" s="171"/>
      <c r="BA39" s="177" t="b">
        <v>0</v>
      </c>
      <c r="BB39" s="177" t="b">
        <v>0</v>
      </c>
      <c r="BC39" s="439">
        <f t="shared" si="36"/>
        <v>-1</v>
      </c>
      <c r="BD39" s="439">
        <f t="shared" si="37"/>
        <v>-1</v>
      </c>
      <c r="BE39" s="368">
        <f t="shared" si="38"/>
        <v>0</v>
      </c>
      <c r="BF39" s="368"/>
      <c r="BG39" s="368"/>
      <c r="BH39" s="368"/>
      <c r="BI39" s="171"/>
      <c r="BJ39" s="1197">
        <v>46162</v>
      </c>
      <c r="BK39" s="171"/>
      <c r="BL39" s="177" t="b">
        <v>0</v>
      </c>
      <c r="BM39" s="177" t="b">
        <v>0</v>
      </c>
      <c r="BN39" s="154" t="e">
        <f t="shared" si="39"/>
        <v>#DIV/0!</v>
      </c>
      <c r="BO39" s="154" t="e">
        <f t="shared" si="40"/>
        <v>#DIV/0!</v>
      </c>
      <c r="BP39" s="348">
        <f t="shared" si="41"/>
        <v>0</v>
      </c>
      <c r="BQ39" s="176"/>
      <c r="BR39" s="176"/>
      <c r="BS39" s="176"/>
      <c r="BT39" s="176"/>
      <c r="BU39" s="1197">
        <v>46193</v>
      </c>
      <c r="BV39" s="176"/>
      <c r="BW39" s="177" t="b">
        <v>0</v>
      </c>
      <c r="BX39" s="177" t="b">
        <v>0</v>
      </c>
      <c r="BY39" s="439" t="e">
        <f t="shared" si="42"/>
        <v>#DIV/0!</v>
      </c>
      <c r="BZ39" s="439" t="e">
        <f t="shared" si="43"/>
        <v>#DIV/0!</v>
      </c>
      <c r="CA39" s="348">
        <f t="shared" si="44"/>
        <v>0</v>
      </c>
      <c r="CB39" s="176"/>
      <c r="CC39" s="176"/>
      <c r="CD39" s="176"/>
      <c r="CE39" s="176"/>
      <c r="CF39" s="186"/>
      <c r="CG39" s="176"/>
      <c r="CH39" s="177" t="b">
        <v>0</v>
      </c>
      <c r="CI39" s="177" t="b">
        <v>0</v>
      </c>
      <c r="CJ39" s="439" t="e">
        <f t="shared" si="45"/>
        <v>#DIV/0!</v>
      </c>
      <c r="CK39" s="439" t="e">
        <f t="shared" si="46"/>
        <v>#DIV/0!</v>
      </c>
      <c r="CL39" s="348">
        <f t="shared" si="47"/>
        <v>0</v>
      </c>
      <c r="CM39" s="176"/>
      <c r="CN39" s="176"/>
      <c r="CO39" s="176"/>
      <c r="CP39" s="176"/>
      <c r="CQ39" s="186"/>
      <c r="CR39" s="176"/>
      <c r="CS39" s="177" t="b">
        <v>0</v>
      </c>
      <c r="CT39" s="177" t="b">
        <v>0</v>
      </c>
      <c r="CU39" s="176" t="e">
        <f t="shared" si="48"/>
        <v>#DIV/0!</v>
      </c>
      <c r="CV39" s="176" t="e">
        <f t="shared" si="49"/>
        <v>#DIV/0!</v>
      </c>
      <c r="CW39" s="348">
        <f t="shared" si="50"/>
        <v>0</v>
      </c>
      <c r="CX39" s="176"/>
      <c r="CY39" s="176"/>
      <c r="CZ39" s="176"/>
      <c r="DA39" s="176"/>
      <c r="DB39" s="186"/>
      <c r="DC39" s="176"/>
      <c r="DD39" s="177" t="b">
        <v>0</v>
      </c>
      <c r="DE39" s="177" t="b">
        <v>0</v>
      </c>
      <c r="DF39" s="439" t="e">
        <f t="shared" si="51"/>
        <v>#DIV/0!</v>
      </c>
      <c r="DG39" s="439" t="e">
        <f t="shared" si="52"/>
        <v>#DIV/0!</v>
      </c>
      <c r="DH39" s="348">
        <f t="shared" si="53"/>
        <v>0</v>
      </c>
      <c r="DI39" s="176"/>
      <c r="DJ39" s="176"/>
      <c r="DK39" s="176"/>
      <c r="DL39" s="176"/>
      <c r="DM39" s="176"/>
      <c r="DN39" s="186"/>
      <c r="DO39" s="176"/>
      <c r="DP39" s="177" t="b">
        <v>0</v>
      </c>
      <c r="DQ39" s="177" t="b">
        <v>0</v>
      </c>
      <c r="DR39" s="439" t="e">
        <f t="shared" si="54"/>
        <v>#DIV/0!</v>
      </c>
      <c r="DS39" s="884">
        <f t="shared" si="55"/>
        <v>0</v>
      </c>
      <c r="DT39" s="176"/>
      <c r="DU39" s="176"/>
      <c r="DV39" s="176"/>
      <c r="DW39" s="176"/>
      <c r="DX39" s="176"/>
      <c r="DY39" s="186"/>
      <c r="DZ39" s="176"/>
      <c r="EA39" s="177" t="b">
        <v>0</v>
      </c>
      <c r="EB39" s="177" t="b">
        <v>0</v>
      </c>
      <c r="EC39" s="439" t="e">
        <f t="shared" si="56"/>
        <v>#DIV/0!</v>
      </c>
      <c r="ED39" s="884">
        <f t="shared" si="57"/>
        <v>0</v>
      </c>
      <c r="EE39" s="176"/>
      <c r="EF39" s="176"/>
      <c r="EG39" s="176"/>
      <c r="EH39" s="176"/>
      <c r="EI39" s="176"/>
      <c r="EJ39" s="186"/>
      <c r="EK39" s="176"/>
      <c r="EL39" s="177" t="b">
        <v>0</v>
      </c>
      <c r="EM39" s="177" t="b">
        <v>0</v>
      </c>
      <c r="EN39" s="439" t="e">
        <f t="shared" si="58"/>
        <v>#DIV/0!</v>
      </c>
      <c r="EO39" s="884">
        <f t="shared" si="59"/>
        <v>0</v>
      </c>
      <c r="EP39" s="176"/>
      <c r="EQ39" s="176"/>
      <c r="ER39" s="176"/>
      <c r="ES39" s="176"/>
      <c r="ET39" s="176"/>
      <c r="EU39" s="186"/>
      <c r="EV39" s="176"/>
      <c r="EW39" s="177" t="b">
        <v>0</v>
      </c>
      <c r="EX39" s="177" t="b">
        <v>0</v>
      </c>
      <c r="EY39" s="439" t="e">
        <f t="shared" si="60"/>
        <v>#DIV/0!</v>
      </c>
      <c r="EZ39" s="439" t="e">
        <f t="shared" si="61"/>
        <v>#DIV/0!</v>
      </c>
    </row>
    <row r="40" spans="3:156" ht="15" customHeight="1">
      <c r="C40" s="400" t="s">
        <v>1137</v>
      </c>
      <c r="D40" s="357">
        <v>1450022</v>
      </c>
      <c r="E40" s="357">
        <v>158</v>
      </c>
      <c r="F40" s="357" t="s">
        <v>1138</v>
      </c>
      <c r="G40" s="357" t="s">
        <v>1139</v>
      </c>
      <c r="H40" s="357" t="s">
        <v>901</v>
      </c>
      <c r="I40" s="357" t="s">
        <v>1140</v>
      </c>
      <c r="J40" s="357" t="s">
        <v>1141</v>
      </c>
      <c r="K40" s="426" t="s">
        <v>1138</v>
      </c>
      <c r="L40" s="426" t="s">
        <v>1142</v>
      </c>
      <c r="M40" s="357"/>
      <c r="N40" s="357"/>
      <c r="O40" s="429">
        <v>42</v>
      </c>
      <c r="P40" s="357"/>
      <c r="Q40" s="401">
        <v>35.31</v>
      </c>
      <c r="R40" s="401"/>
      <c r="S40" s="358"/>
      <c r="T40" s="402">
        <f t="shared" si="31"/>
        <v>35.31</v>
      </c>
      <c r="U40" s="403">
        <v>1</v>
      </c>
      <c r="V40" s="404">
        <v>46043</v>
      </c>
      <c r="W40" s="405" t="s">
        <v>1143</v>
      </c>
      <c r="X40" s="144">
        <f t="shared" si="0"/>
        <v>33.61</v>
      </c>
      <c r="Y40" s="406"/>
      <c r="Z40" s="406"/>
      <c r="AA40" s="406">
        <v>33.61</v>
      </c>
      <c r="AB40" s="148">
        <v>0</v>
      </c>
      <c r="AC40" s="407">
        <v>46074</v>
      </c>
      <c r="AD40" s="148" t="s">
        <v>1144</v>
      </c>
      <c r="AE40" s="164" t="b">
        <v>1</v>
      </c>
      <c r="AF40" s="164" t="b">
        <v>1</v>
      </c>
      <c r="AG40" s="408">
        <f t="shared" si="33"/>
        <v>-1</v>
      </c>
      <c r="AH40" s="409">
        <f>(X40-Q40)/Q40</f>
        <v>-4.814500141602953E-2</v>
      </c>
      <c r="AI40" s="1096">
        <v>33.61</v>
      </c>
      <c r="AJ40" s="364">
        <v>0</v>
      </c>
      <c r="AK40" s="364">
        <v>0</v>
      </c>
      <c r="AL40" s="364">
        <v>33.61</v>
      </c>
      <c r="AM40" s="148">
        <v>0</v>
      </c>
      <c r="AN40" s="407">
        <v>46102</v>
      </c>
      <c r="AO40" s="148" t="s">
        <v>1145</v>
      </c>
      <c r="AP40" s="164" t="b">
        <v>1</v>
      </c>
      <c r="AQ40" s="164" t="b">
        <v>1</v>
      </c>
      <c r="AR40" s="438">
        <v>0</v>
      </c>
      <c r="AS40" s="438">
        <f t="shared" si="35"/>
        <v>0</v>
      </c>
      <c r="AT40" s="402">
        <v>35.31</v>
      </c>
      <c r="AU40" s="402">
        <v>0</v>
      </c>
      <c r="AV40" s="402">
        <v>0</v>
      </c>
      <c r="AW40" s="402">
        <v>35.31</v>
      </c>
      <c r="AX40" s="148">
        <v>1</v>
      </c>
      <c r="AY40" s="407">
        <v>46133</v>
      </c>
      <c r="AZ40" s="148" t="s">
        <v>1146</v>
      </c>
      <c r="BA40" s="164" t="b">
        <v>1</v>
      </c>
      <c r="BB40" s="164" t="b">
        <v>0</v>
      </c>
      <c r="BC40" s="438" t="e">
        <f t="shared" si="36"/>
        <v>#DIV/0!</v>
      </c>
      <c r="BD40" s="438">
        <f t="shared" si="37"/>
        <v>5.0580184468908149E-2</v>
      </c>
      <c r="BE40" s="364">
        <f t="shared" si="38"/>
        <v>0</v>
      </c>
      <c r="BF40" s="364"/>
      <c r="BG40" s="364"/>
      <c r="BH40" s="364"/>
      <c r="BI40" s="148"/>
      <c r="BJ40" s="1196">
        <v>46163</v>
      </c>
      <c r="BK40" s="148"/>
      <c r="BL40" s="164" t="b">
        <v>0</v>
      </c>
      <c r="BM40" s="164" t="b">
        <v>0</v>
      </c>
      <c r="BN40" s="357">
        <f t="shared" si="39"/>
        <v>-1</v>
      </c>
      <c r="BO40" s="357">
        <f t="shared" si="40"/>
        <v>-1</v>
      </c>
      <c r="BP40" s="401">
        <f t="shared" si="41"/>
        <v>0</v>
      </c>
      <c r="BQ40" s="358"/>
      <c r="BR40" s="358"/>
      <c r="BS40" s="358"/>
      <c r="BT40" s="358"/>
      <c r="BU40" s="1196">
        <v>46194</v>
      </c>
      <c r="BV40" s="358"/>
      <c r="BW40" s="164" t="b">
        <v>0</v>
      </c>
      <c r="BX40" s="164" t="b">
        <v>0</v>
      </c>
      <c r="BY40" s="438" t="e">
        <f t="shared" si="42"/>
        <v>#DIV/0!</v>
      </c>
      <c r="BZ40" s="438" t="e">
        <f t="shared" si="43"/>
        <v>#DIV/0!</v>
      </c>
      <c r="CA40" s="401">
        <f t="shared" si="44"/>
        <v>0</v>
      </c>
      <c r="CB40" s="358"/>
      <c r="CC40" s="358"/>
      <c r="CD40" s="358"/>
      <c r="CE40" s="358"/>
      <c r="CF40" s="404"/>
      <c r="CG40" s="358"/>
      <c r="CH40" s="164" t="b">
        <v>0</v>
      </c>
      <c r="CI40" s="164" t="b">
        <v>0</v>
      </c>
      <c r="CJ40" s="438" t="e">
        <f t="shared" si="45"/>
        <v>#DIV/0!</v>
      </c>
      <c r="CK40" s="438" t="e">
        <f t="shared" si="46"/>
        <v>#DIV/0!</v>
      </c>
      <c r="CL40" s="401">
        <f t="shared" si="47"/>
        <v>0</v>
      </c>
      <c r="CM40" s="358"/>
      <c r="CN40" s="358"/>
      <c r="CO40" s="358"/>
      <c r="CP40" s="358"/>
      <c r="CQ40" s="404"/>
      <c r="CR40" s="358"/>
      <c r="CS40" s="164" t="b">
        <v>0</v>
      </c>
      <c r="CT40" s="164" t="b">
        <v>0</v>
      </c>
      <c r="CU40" s="358" t="e">
        <f t="shared" si="48"/>
        <v>#DIV/0!</v>
      </c>
      <c r="CV40" s="358" t="e">
        <f t="shared" si="49"/>
        <v>#DIV/0!</v>
      </c>
      <c r="CW40" s="401">
        <f t="shared" si="50"/>
        <v>0</v>
      </c>
      <c r="CX40" s="358"/>
      <c r="CY40" s="358"/>
      <c r="CZ40" s="358"/>
      <c r="DA40" s="358"/>
      <c r="DB40" s="404"/>
      <c r="DC40" s="358"/>
      <c r="DD40" s="164" t="b">
        <v>0</v>
      </c>
      <c r="DE40" s="164" t="b">
        <v>0</v>
      </c>
      <c r="DF40" s="438" t="e">
        <f t="shared" si="51"/>
        <v>#DIV/0!</v>
      </c>
      <c r="DG40" s="438" t="e">
        <f t="shared" si="52"/>
        <v>#DIV/0!</v>
      </c>
      <c r="DH40" s="401">
        <f t="shared" si="53"/>
        <v>0</v>
      </c>
      <c r="DI40" s="358"/>
      <c r="DJ40" s="358"/>
      <c r="DK40" s="358"/>
      <c r="DL40" s="358"/>
      <c r="DM40" s="358"/>
      <c r="DN40" s="404"/>
      <c r="DO40" s="358"/>
      <c r="DP40" s="164" t="b">
        <v>0</v>
      </c>
      <c r="DQ40" s="164" t="b">
        <v>0</v>
      </c>
      <c r="DR40" s="438" t="e">
        <f t="shared" si="54"/>
        <v>#DIV/0!</v>
      </c>
      <c r="DS40" s="883">
        <f t="shared" si="55"/>
        <v>0</v>
      </c>
      <c r="DT40" s="358"/>
      <c r="DU40" s="358"/>
      <c r="DV40" s="358"/>
      <c r="DW40" s="358"/>
      <c r="DX40" s="358"/>
      <c r="DY40" s="404"/>
      <c r="DZ40" s="358"/>
      <c r="EA40" s="164" t="b">
        <v>0</v>
      </c>
      <c r="EB40" s="164" t="b">
        <v>0</v>
      </c>
      <c r="EC40" s="438" t="e">
        <f t="shared" si="56"/>
        <v>#DIV/0!</v>
      </c>
      <c r="ED40" s="883">
        <f t="shared" si="57"/>
        <v>0</v>
      </c>
      <c r="EE40" s="358"/>
      <c r="EF40" s="358"/>
      <c r="EG40" s="358"/>
      <c r="EH40" s="358"/>
      <c r="EI40" s="358"/>
      <c r="EJ40" s="404"/>
      <c r="EK40" s="358"/>
      <c r="EL40" s="164" t="b">
        <v>0</v>
      </c>
      <c r="EM40" s="164" t="b">
        <v>0</v>
      </c>
      <c r="EN40" s="438" t="e">
        <f t="shared" si="58"/>
        <v>#DIV/0!</v>
      </c>
      <c r="EO40" s="883">
        <f t="shared" si="59"/>
        <v>0</v>
      </c>
      <c r="EP40" s="358"/>
      <c r="EQ40" s="358"/>
      <c r="ER40" s="358"/>
      <c r="ES40" s="358"/>
      <c r="ET40" s="358"/>
      <c r="EU40" s="404"/>
      <c r="EV40" s="358"/>
      <c r="EW40" s="164" t="b">
        <v>0</v>
      </c>
      <c r="EX40" s="164" t="b">
        <v>0</v>
      </c>
      <c r="EY40" s="438" t="e">
        <f t="shared" si="60"/>
        <v>#DIV/0!</v>
      </c>
      <c r="EZ40" s="438" t="e">
        <f t="shared" si="61"/>
        <v>#DIV/0!</v>
      </c>
    </row>
    <row r="41" spans="3:156" ht="15" customHeight="1">
      <c r="C41" s="400" t="s">
        <v>1137</v>
      </c>
      <c r="D41" s="357">
        <v>1450022</v>
      </c>
      <c r="E41" s="357">
        <v>158</v>
      </c>
      <c r="F41" s="357" t="s">
        <v>1147</v>
      </c>
      <c r="G41" s="357" t="s">
        <v>1148</v>
      </c>
      <c r="H41" s="357" t="s">
        <v>901</v>
      </c>
      <c r="I41" s="357" t="s">
        <v>1140</v>
      </c>
      <c r="J41" s="357" t="s">
        <v>1141</v>
      </c>
      <c r="K41" s="426" t="s">
        <v>1147</v>
      </c>
      <c r="L41" s="426" t="s">
        <v>1149</v>
      </c>
      <c r="M41" s="357"/>
      <c r="N41" s="357"/>
      <c r="O41" s="429">
        <v>42</v>
      </c>
      <c r="P41" s="357"/>
      <c r="Q41" s="401">
        <v>25678.65</v>
      </c>
      <c r="R41" s="401"/>
      <c r="S41" s="358"/>
      <c r="T41" s="402">
        <f t="shared" si="31"/>
        <v>25678.65</v>
      </c>
      <c r="U41" s="403">
        <v>1429</v>
      </c>
      <c r="V41" s="404">
        <v>46043</v>
      </c>
      <c r="W41" s="405" t="s">
        <v>1143</v>
      </c>
      <c r="X41" s="144">
        <f t="shared" si="0"/>
        <v>33793.980000000003</v>
      </c>
      <c r="Y41" s="406"/>
      <c r="Z41" s="406"/>
      <c r="AA41" s="406">
        <v>33793.980000000003</v>
      </c>
      <c r="AB41" s="148">
        <v>1870</v>
      </c>
      <c r="AC41" s="407">
        <v>46074</v>
      </c>
      <c r="AD41" s="148" t="s">
        <v>1144</v>
      </c>
      <c r="AE41" s="164" t="b">
        <v>1</v>
      </c>
      <c r="AF41" s="164" t="b">
        <v>1</v>
      </c>
      <c r="AG41" s="408">
        <f t="shared" si="33"/>
        <v>0.3086074177746676</v>
      </c>
      <c r="AH41" s="409">
        <f>(X41-Q41)/Q41</f>
        <v>0.31603413730862023</v>
      </c>
      <c r="AI41" s="371">
        <v>30757.63</v>
      </c>
      <c r="AJ41" s="364">
        <v>0</v>
      </c>
      <c r="AK41" s="364"/>
      <c r="AL41" s="364">
        <v>30757.63</v>
      </c>
      <c r="AM41" s="148">
        <v>1705</v>
      </c>
      <c r="AN41" s="407">
        <v>46102</v>
      </c>
      <c r="AO41" s="148" t="s">
        <v>1145</v>
      </c>
      <c r="AP41" s="164" t="b">
        <v>1</v>
      </c>
      <c r="AQ41" s="164" t="b">
        <v>1</v>
      </c>
      <c r="AR41" s="438">
        <f t="shared" si="34"/>
        <v>-8.8235294117647065E-2</v>
      </c>
      <c r="AS41" s="438">
        <f t="shared" si="35"/>
        <v>-8.9848842900421971E-2</v>
      </c>
      <c r="AT41" s="402">
        <v>26359.52</v>
      </c>
      <c r="AU41" s="402">
        <v>0</v>
      </c>
      <c r="AV41" s="402">
        <v>0</v>
      </c>
      <c r="AW41" s="402">
        <v>26359.52</v>
      </c>
      <c r="AX41" s="148">
        <v>1466</v>
      </c>
      <c r="AY41" s="407">
        <v>46133</v>
      </c>
      <c r="AZ41" s="148" t="s">
        <v>1146</v>
      </c>
      <c r="BA41" s="164" t="b">
        <v>1</v>
      </c>
      <c r="BB41" s="164" t="b">
        <v>0</v>
      </c>
      <c r="BC41" s="438">
        <f t="shared" si="36"/>
        <v>-0.14017595307917888</v>
      </c>
      <c r="BD41" s="438">
        <f t="shared" si="37"/>
        <v>-0.14299248674231405</v>
      </c>
      <c r="BE41" s="364">
        <f t="shared" si="38"/>
        <v>0</v>
      </c>
      <c r="BF41" s="364"/>
      <c r="BG41" s="364"/>
      <c r="BH41" s="364"/>
      <c r="BI41" s="148"/>
      <c r="BJ41" s="1196">
        <v>46163</v>
      </c>
      <c r="BK41" s="148"/>
      <c r="BL41" s="164" t="b">
        <v>0</v>
      </c>
      <c r="BM41" s="164" t="b">
        <v>0</v>
      </c>
      <c r="BN41" s="357">
        <f t="shared" si="39"/>
        <v>-1</v>
      </c>
      <c r="BO41" s="357">
        <f t="shared" si="40"/>
        <v>-1</v>
      </c>
      <c r="BP41" s="401">
        <f t="shared" si="41"/>
        <v>0</v>
      </c>
      <c r="BQ41" s="358"/>
      <c r="BR41" s="358"/>
      <c r="BS41" s="358"/>
      <c r="BT41" s="358"/>
      <c r="BU41" s="1196">
        <v>46194</v>
      </c>
      <c r="BV41" s="358"/>
      <c r="BW41" s="164" t="b">
        <v>0</v>
      </c>
      <c r="BX41" s="164" t="b">
        <v>0</v>
      </c>
      <c r="BY41" s="438" t="e">
        <f t="shared" si="42"/>
        <v>#DIV/0!</v>
      </c>
      <c r="BZ41" s="438" t="e">
        <f t="shared" si="43"/>
        <v>#DIV/0!</v>
      </c>
      <c r="CA41" s="401">
        <f t="shared" si="44"/>
        <v>0</v>
      </c>
      <c r="CB41" s="358"/>
      <c r="CC41" s="358"/>
      <c r="CD41" s="358"/>
      <c r="CE41" s="358"/>
      <c r="CF41" s="404"/>
      <c r="CG41" s="358"/>
      <c r="CH41" s="164" t="b">
        <v>0</v>
      </c>
      <c r="CI41" s="164" t="b">
        <v>0</v>
      </c>
      <c r="CJ41" s="438" t="e">
        <f t="shared" si="45"/>
        <v>#DIV/0!</v>
      </c>
      <c r="CK41" s="438" t="e">
        <f t="shared" si="46"/>
        <v>#DIV/0!</v>
      </c>
      <c r="CL41" s="401">
        <f t="shared" si="47"/>
        <v>0</v>
      </c>
      <c r="CM41" s="358"/>
      <c r="CN41" s="358"/>
      <c r="CO41" s="358"/>
      <c r="CP41" s="358"/>
      <c r="CQ41" s="404"/>
      <c r="CR41" s="358"/>
      <c r="CS41" s="164" t="b">
        <v>0</v>
      </c>
      <c r="CT41" s="164" t="b">
        <v>0</v>
      </c>
      <c r="CU41" s="358" t="e">
        <f t="shared" si="48"/>
        <v>#DIV/0!</v>
      </c>
      <c r="CV41" s="358" t="e">
        <f t="shared" si="49"/>
        <v>#DIV/0!</v>
      </c>
      <c r="CW41" s="401">
        <f t="shared" si="50"/>
        <v>0</v>
      </c>
      <c r="CX41" s="358"/>
      <c r="CY41" s="358"/>
      <c r="CZ41" s="358"/>
      <c r="DA41" s="358"/>
      <c r="DB41" s="404"/>
      <c r="DC41" s="358"/>
      <c r="DD41" s="164" t="b">
        <v>0</v>
      </c>
      <c r="DE41" s="164" t="b">
        <v>0</v>
      </c>
      <c r="DF41" s="438" t="e">
        <f t="shared" si="51"/>
        <v>#DIV/0!</v>
      </c>
      <c r="DG41" s="438" t="e">
        <f t="shared" si="52"/>
        <v>#DIV/0!</v>
      </c>
      <c r="DH41" s="401">
        <f t="shared" si="53"/>
        <v>0</v>
      </c>
      <c r="DI41" s="358"/>
      <c r="DJ41" s="358"/>
      <c r="DK41" s="358"/>
      <c r="DL41" s="358"/>
      <c r="DM41" s="358"/>
      <c r="DN41" s="404"/>
      <c r="DO41" s="358"/>
      <c r="DP41" s="164" t="b">
        <v>0</v>
      </c>
      <c r="DQ41" s="164" t="b">
        <v>0</v>
      </c>
      <c r="DR41" s="438" t="e">
        <f t="shared" si="54"/>
        <v>#DIV/0!</v>
      </c>
      <c r="DS41" s="883">
        <f t="shared" si="55"/>
        <v>0</v>
      </c>
      <c r="DT41" s="358"/>
      <c r="DU41" s="358"/>
      <c r="DV41" s="358"/>
      <c r="DW41" s="358"/>
      <c r="DX41" s="358"/>
      <c r="DY41" s="404"/>
      <c r="DZ41" s="358"/>
      <c r="EA41" s="164" t="b">
        <v>0</v>
      </c>
      <c r="EB41" s="164" t="b">
        <v>0</v>
      </c>
      <c r="EC41" s="438" t="e">
        <f t="shared" si="56"/>
        <v>#DIV/0!</v>
      </c>
      <c r="ED41" s="883">
        <f t="shared" si="57"/>
        <v>0</v>
      </c>
      <c r="EE41" s="358"/>
      <c r="EF41" s="358"/>
      <c r="EG41" s="358"/>
      <c r="EH41" s="358"/>
      <c r="EI41" s="358"/>
      <c r="EJ41" s="404"/>
      <c r="EK41" s="358"/>
      <c r="EL41" s="164" t="b">
        <v>0</v>
      </c>
      <c r="EM41" s="164" t="b">
        <v>0</v>
      </c>
      <c r="EN41" s="438" t="e">
        <f t="shared" si="58"/>
        <v>#DIV/0!</v>
      </c>
      <c r="EO41" s="883">
        <f t="shared" si="59"/>
        <v>0</v>
      </c>
      <c r="EP41" s="358"/>
      <c r="EQ41" s="358"/>
      <c r="ER41" s="358"/>
      <c r="ES41" s="358"/>
      <c r="ET41" s="358"/>
      <c r="EU41" s="404"/>
      <c r="EV41" s="358"/>
      <c r="EW41" s="164" t="b">
        <v>0</v>
      </c>
      <c r="EX41" s="164" t="b">
        <v>0</v>
      </c>
      <c r="EY41" s="438" t="e">
        <f t="shared" si="60"/>
        <v>#DIV/0!</v>
      </c>
      <c r="EZ41" s="438" t="e">
        <f t="shared" si="61"/>
        <v>#DIV/0!</v>
      </c>
    </row>
    <row r="42" spans="3:156" ht="15" customHeight="1">
      <c r="C42" s="195" t="s">
        <v>1150</v>
      </c>
      <c r="D42" s="154">
        <v>1450022</v>
      </c>
      <c r="E42" s="154">
        <v>232</v>
      </c>
      <c r="F42" s="154" t="s">
        <v>1151</v>
      </c>
      <c r="G42" s="154" t="s">
        <v>1152</v>
      </c>
      <c r="H42" s="154" t="s">
        <v>901</v>
      </c>
      <c r="I42" s="154" t="s">
        <v>1153</v>
      </c>
      <c r="J42" s="154" t="s">
        <v>1154</v>
      </c>
      <c r="K42" s="255" t="s">
        <v>1151</v>
      </c>
      <c r="L42" s="255" t="s">
        <v>1155</v>
      </c>
      <c r="M42" s="154"/>
      <c r="N42" s="154"/>
      <c r="O42" s="429">
        <v>134</v>
      </c>
      <c r="P42" s="154"/>
      <c r="Q42" s="348">
        <v>10829.14</v>
      </c>
      <c r="R42" s="348"/>
      <c r="S42" s="176"/>
      <c r="T42" s="203">
        <f t="shared" si="31"/>
        <v>10829.14</v>
      </c>
      <c r="U42" s="378">
        <v>705</v>
      </c>
      <c r="V42" s="186">
        <v>46063</v>
      </c>
      <c r="W42" s="411" t="s">
        <v>1156</v>
      </c>
      <c r="X42" s="144">
        <f t="shared" si="0"/>
        <v>13739.87</v>
      </c>
      <c r="Y42" s="170"/>
      <c r="Z42" s="170"/>
      <c r="AA42" s="170">
        <v>13739.87</v>
      </c>
      <c r="AB42" s="171">
        <v>887</v>
      </c>
      <c r="AC42" s="172">
        <v>46091</v>
      </c>
      <c r="AD42" s="171" t="s">
        <v>1157</v>
      </c>
      <c r="AE42" s="177" t="b">
        <v>1</v>
      </c>
      <c r="AF42" s="177" t="b">
        <v>1</v>
      </c>
      <c r="AG42" s="410">
        <f t="shared" si="33"/>
        <v>0.25815602836879431</v>
      </c>
      <c r="AH42" s="392">
        <f>(X42-Q42)/Q42</f>
        <v>0.26878681040230357</v>
      </c>
      <c r="AI42" s="371">
        <v>13851.82</v>
      </c>
      <c r="AJ42" s="368">
        <v>0</v>
      </c>
      <c r="AK42" s="368">
        <v>0</v>
      </c>
      <c r="AL42" s="368">
        <v>13851.82</v>
      </c>
      <c r="AM42" s="171">
        <v>894</v>
      </c>
      <c r="AN42" s="172">
        <v>46122</v>
      </c>
      <c r="AO42" s="171" t="s">
        <v>1158</v>
      </c>
      <c r="AP42" s="177" t="b">
        <v>1</v>
      </c>
      <c r="AQ42" s="177" t="b">
        <v>1</v>
      </c>
      <c r="AR42" s="439">
        <f t="shared" si="34"/>
        <v>7.8917700112739568E-3</v>
      </c>
      <c r="AS42" s="439">
        <f t="shared" si="35"/>
        <v>8.147820903691148E-3</v>
      </c>
      <c r="AT42" s="203">
        <f t="shared" si="62"/>
        <v>0</v>
      </c>
      <c r="AU42" s="203"/>
      <c r="AV42" s="203"/>
      <c r="AW42" s="203"/>
      <c r="AX42" s="171"/>
      <c r="AY42" s="172">
        <v>46152</v>
      </c>
      <c r="AZ42" s="171"/>
      <c r="BA42" s="177" t="b">
        <v>0</v>
      </c>
      <c r="BB42" s="177" t="b">
        <v>0</v>
      </c>
      <c r="BC42" s="439">
        <f t="shared" si="36"/>
        <v>-1</v>
      </c>
      <c r="BD42" s="439">
        <f t="shared" si="37"/>
        <v>-1</v>
      </c>
      <c r="BE42" s="368">
        <f t="shared" si="38"/>
        <v>0</v>
      </c>
      <c r="BF42" s="368"/>
      <c r="BG42" s="368"/>
      <c r="BH42" s="368"/>
      <c r="BI42" s="171"/>
      <c r="BJ42" s="1197">
        <v>46183</v>
      </c>
      <c r="BK42" s="171"/>
      <c r="BL42" s="177" t="b">
        <v>0</v>
      </c>
      <c r="BM42" s="177" t="b">
        <v>0</v>
      </c>
      <c r="BN42" s="154" t="e">
        <f t="shared" si="39"/>
        <v>#DIV/0!</v>
      </c>
      <c r="BO42" s="154" t="e">
        <f t="shared" si="40"/>
        <v>#DIV/0!</v>
      </c>
      <c r="BP42" s="348">
        <f t="shared" si="41"/>
        <v>0</v>
      </c>
      <c r="BQ42" s="176"/>
      <c r="BR42" s="176"/>
      <c r="BS42" s="176"/>
      <c r="BT42" s="176"/>
      <c r="BU42" s="1197">
        <v>46213</v>
      </c>
      <c r="BV42" s="176"/>
      <c r="BW42" s="177" t="b">
        <v>0</v>
      </c>
      <c r="BX42" s="177" t="b">
        <v>0</v>
      </c>
      <c r="BY42" s="439" t="e">
        <f t="shared" si="42"/>
        <v>#DIV/0!</v>
      </c>
      <c r="BZ42" s="439" t="e">
        <f t="shared" si="43"/>
        <v>#DIV/0!</v>
      </c>
      <c r="CA42" s="348">
        <f t="shared" si="44"/>
        <v>0</v>
      </c>
      <c r="CB42" s="176"/>
      <c r="CC42" s="176"/>
      <c r="CD42" s="176"/>
      <c r="CE42" s="176"/>
      <c r="CF42" s="186"/>
      <c r="CG42" s="176"/>
      <c r="CH42" s="177" t="b">
        <v>0</v>
      </c>
      <c r="CI42" s="177" t="b">
        <v>0</v>
      </c>
      <c r="CJ42" s="439" t="e">
        <f t="shared" si="45"/>
        <v>#DIV/0!</v>
      </c>
      <c r="CK42" s="439" t="e">
        <f t="shared" si="46"/>
        <v>#DIV/0!</v>
      </c>
      <c r="CL42" s="348">
        <f t="shared" si="47"/>
        <v>0</v>
      </c>
      <c r="CM42" s="176"/>
      <c r="CN42" s="176"/>
      <c r="CO42" s="176"/>
      <c r="CP42" s="176"/>
      <c r="CQ42" s="186"/>
      <c r="CR42" s="176"/>
      <c r="CS42" s="177" t="b">
        <v>0</v>
      </c>
      <c r="CT42" s="177" t="b">
        <v>0</v>
      </c>
      <c r="CU42" s="176" t="e">
        <f t="shared" si="48"/>
        <v>#DIV/0!</v>
      </c>
      <c r="CV42" s="176" t="e">
        <f t="shared" si="49"/>
        <v>#DIV/0!</v>
      </c>
      <c r="CW42" s="348">
        <f t="shared" si="50"/>
        <v>0</v>
      </c>
      <c r="CX42" s="176"/>
      <c r="CY42" s="176"/>
      <c r="CZ42" s="176"/>
      <c r="DA42" s="176"/>
      <c r="DB42" s="186"/>
      <c r="DC42" s="176"/>
      <c r="DD42" s="177" t="b">
        <v>0</v>
      </c>
      <c r="DE42" s="177" t="b">
        <v>0</v>
      </c>
      <c r="DF42" s="439" t="e">
        <f t="shared" si="51"/>
        <v>#DIV/0!</v>
      </c>
      <c r="DG42" s="439" t="e">
        <f t="shared" si="52"/>
        <v>#DIV/0!</v>
      </c>
      <c r="DH42" s="348">
        <f t="shared" si="53"/>
        <v>0</v>
      </c>
      <c r="DI42" s="176"/>
      <c r="DJ42" s="176"/>
      <c r="DK42" s="176"/>
      <c r="DL42" s="176"/>
      <c r="DM42" s="176"/>
      <c r="DN42" s="186"/>
      <c r="DO42" s="176"/>
      <c r="DP42" s="177" t="b">
        <v>0</v>
      </c>
      <c r="DQ42" s="177" t="b">
        <v>0</v>
      </c>
      <c r="DR42" s="439" t="e">
        <f t="shared" si="54"/>
        <v>#DIV/0!</v>
      </c>
      <c r="DS42" s="884">
        <f t="shared" si="55"/>
        <v>0</v>
      </c>
      <c r="DT42" s="176"/>
      <c r="DU42" s="176"/>
      <c r="DV42" s="176"/>
      <c r="DW42" s="176"/>
      <c r="DX42" s="176"/>
      <c r="DY42" s="186"/>
      <c r="DZ42" s="176"/>
      <c r="EA42" s="177" t="b">
        <v>0</v>
      </c>
      <c r="EB42" s="177" t="b">
        <v>0</v>
      </c>
      <c r="EC42" s="439" t="e">
        <f t="shared" si="56"/>
        <v>#DIV/0!</v>
      </c>
      <c r="ED42" s="884">
        <f t="shared" si="57"/>
        <v>0</v>
      </c>
      <c r="EE42" s="176"/>
      <c r="EF42" s="176"/>
      <c r="EG42" s="176"/>
      <c r="EH42" s="176"/>
      <c r="EI42" s="176"/>
      <c r="EJ42" s="186"/>
      <c r="EK42" s="176"/>
      <c r="EL42" s="177" t="b">
        <v>0</v>
      </c>
      <c r="EM42" s="177" t="b">
        <v>0</v>
      </c>
      <c r="EN42" s="439" t="e">
        <f t="shared" si="58"/>
        <v>#DIV/0!</v>
      </c>
      <c r="EO42" s="884">
        <f t="shared" si="59"/>
        <v>0</v>
      </c>
      <c r="EP42" s="176"/>
      <c r="EQ42" s="176"/>
      <c r="ER42" s="176"/>
      <c r="ES42" s="176"/>
      <c r="ET42" s="176"/>
      <c r="EU42" s="186"/>
      <c r="EV42" s="176"/>
      <c r="EW42" s="177" t="b">
        <v>0</v>
      </c>
      <c r="EX42" s="177" t="b">
        <v>0</v>
      </c>
      <c r="EY42" s="439" t="e">
        <f t="shared" si="60"/>
        <v>#DIV/0!</v>
      </c>
      <c r="EZ42" s="439" t="e">
        <f t="shared" si="61"/>
        <v>#DIV/0!</v>
      </c>
    </row>
    <row r="43" spans="3:156" ht="15" customHeight="1">
      <c r="C43" s="400" t="s">
        <v>1159</v>
      </c>
      <c r="D43" s="357">
        <v>1450022</v>
      </c>
      <c r="E43" s="357">
        <v>155</v>
      </c>
      <c r="F43" s="357" t="s">
        <v>1160</v>
      </c>
      <c r="G43" s="357" t="s">
        <v>1161</v>
      </c>
      <c r="H43" s="357" t="s">
        <v>901</v>
      </c>
      <c r="I43" s="357" t="s">
        <v>1162</v>
      </c>
      <c r="J43" s="357" t="s">
        <v>1163</v>
      </c>
      <c r="K43" s="426" t="s">
        <v>1160</v>
      </c>
      <c r="L43" s="426" t="s">
        <v>1161</v>
      </c>
      <c r="M43" s="357"/>
      <c r="N43" s="357"/>
      <c r="O43" s="429">
        <v>145</v>
      </c>
      <c r="P43" s="357"/>
      <c r="Q43" s="401">
        <v>9441.2999999999993</v>
      </c>
      <c r="R43" s="401"/>
      <c r="S43" s="358"/>
      <c r="T43" s="402">
        <f t="shared" si="31"/>
        <v>9441.2999999999993</v>
      </c>
      <c r="U43" s="403">
        <v>1210</v>
      </c>
      <c r="V43" s="404">
        <v>46050</v>
      </c>
      <c r="W43" s="385" t="s">
        <v>1164</v>
      </c>
      <c r="X43" s="144">
        <f t="shared" si="0"/>
        <v>9095.7999999999993</v>
      </c>
      <c r="Y43" s="406">
        <v>0</v>
      </c>
      <c r="Z43" s="406"/>
      <c r="AA43" s="406">
        <v>9095.7999999999993</v>
      </c>
      <c r="AB43" s="148">
        <v>1167</v>
      </c>
      <c r="AC43" s="407">
        <v>46081</v>
      </c>
      <c r="AD43" s="148" t="s">
        <v>1165</v>
      </c>
      <c r="AE43" s="164" t="b">
        <v>1</v>
      </c>
      <c r="AF43" s="164" t="b">
        <v>1</v>
      </c>
      <c r="AG43" s="408">
        <f t="shared" si="33"/>
        <v>-3.553719008264463E-2</v>
      </c>
      <c r="AH43" s="409">
        <f>(X43-Q43)/Q43</f>
        <v>-3.6594536769300842E-2</v>
      </c>
      <c r="AI43" s="371">
        <v>8589.61</v>
      </c>
      <c r="AJ43" s="364">
        <v>0</v>
      </c>
      <c r="AK43" s="364">
        <v>0</v>
      </c>
      <c r="AL43" s="364">
        <v>8589.61</v>
      </c>
      <c r="AM43" s="148">
        <v>1104</v>
      </c>
      <c r="AN43" s="926">
        <v>46109</v>
      </c>
      <c r="AO43" s="148" t="s">
        <v>1166</v>
      </c>
      <c r="AP43" s="164" t="b">
        <v>1</v>
      </c>
      <c r="AQ43" s="164" t="b">
        <v>1</v>
      </c>
      <c r="AR43" s="438">
        <f t="shared" si="34"/>
        <v>-5.3984575835475578E-2</v>
      </c>
      <c r="AS43" s="438">
        <f t="shared" si="35"/>
        <v>-5.5650959783636267E-2</v>
      </c>
      <c r="AT43" s="402">
        <f t="shared" si="62"/>
        <v>0</v>
      </c>
      <c r="AU43" s="402"/>
      <c r="AV43" s="402"/>
      <c r="AW43" s="402"/>
      <c r="AX43" s="148"/>
      <c r="AY43" s="926">
        <v>46140</v>
      </c>
      <c r="AZ43" s="148"/>
      <c r="BA43" s="164" t="b">
        <v>0</v>
      </c>
      <c r="BB43" s="164" t="b">
        <v>0</v>
      </c>
      <c r="BC43" s="438">
        <f t="shared" si="36"/>
        <v>-1</v>
      </c>
      <c r="BD43" s="438">
        <f t="shared" si="37"/>
        <v>-1</v>
      </c>
      <c r="BE43" s="364">
        <f t="shared" si="38"/>
        <v>0</v>
      </c>
      <c r="BF43" s="364"/>
      <c r="BG43" s="364"/>
      <c r="BH43" s="364"/>
      <c r="BI43" s="148"/>
      <c r="BJ43" s="1196">
        <v>46170</v>
      </c>
      <c r="BK43" s="148"/>
      <c r="BL43" s="164" t="b">
        <v>0</v>
      </c>
      <c r="BM43" s="164" t="b">
        <v>0</v>
      </c>
      <c r="BN43" s="357" t="e">
        <f t="shared" si="39"/>
        <v>#DIV/0!</v>
      </c>
      <c r="BO43" s="357" t="e">
        <f t="shared" si="40"/>
        <v>#DIV/0!</v>
      </c>
      <c r="BP43" s="401">
        <f t="shared" si="41"/>
        <v>0</v>
      </c>
      <c r="BQ43" s="358"/>
      <c r="BR43" s="358"/>
      <c r="BS43" s="358"/>
      <c r="BT43" s="358"/>
      <c r="BU43" s="1196">
        <v>46201</v>
      </c>
      <c r="BV43" s="358"/>
      <c r="BW43" s="164" t="b">
        <v>0</v>
      </c>
      <c r="BX43" s="164" t="b">
        <v>0</v>
      </c>
      <c r="BY43" s="438" t="e">
        <f t="shared" si="42"/>
        <v>#DIV/0!</v>
      </c>
      <c r="BZ43" s="438" t="e">
        <f t="shared" si="43"/>
        <v>#DIV/0!</v>
      </c>
      <c r="CA43" s="401">
        <f t="shared" si="44"/>
        <v>0</v>
      </c>
      <c r="CB43" s="358"/>
      <c r="CC43" s="358"/>
      <c r="CD43" s="358"/>
      <c r="CE43" s="358"/>
      <c r="CF43" s="404"/>
      <c r="CG43" s="358"/>
      <c r="CH43" s="164" t="b">
        <v>0</v>
      </c>
      <c r="CI43" s="164" t="b">
        <v>0</v>
      </c>
      <c r="CJ43" s="438" t="e">
        <f t="shared" si="45"/>
        <v>#DIV/0!</v>
      </c>
      <c r="CK43" s="438" t="e">
        <f t="shared" si="46"/>
        <v>#DIV/0!</v>
      </c>
      <c r="CL43" s="401">
        <f t="shared" si="47"/>
        <v>0</v>
      </c>
      <c r="CM43" s="358"/>
      <c r="CN43" s="358"/>
      <c r="CO43" s="358"/>
      <c r="CP43" s="358"/>
      <c r="CQ43" s="404"/>
      <c r="CR43" s="358"/>
      <c r="CS43" s="164" t="b">
        <v>0</v>
      </c>
      <c r="CT43" s="164" t="b">
        <v>0</v>
      </c>
      <c r="CU43" s="358" t="e">
        <f t="shared" si="48"/>
        <v>#DIV/0!</v>
      </c>
      <c r="CV43" s="358" t="e">
        <f t="shared" si="49"/>
        <v>#DIV/0!</v>
      </c>
      <c r="CW43" s="401">
        <f t="shared" si="50"/>
        <v>0</v>
      </c>
      <c r="CX43" s="358"/>
      <c r="CY43" s="358"/>
      <c r="CZ43" s="358"/>
      <c r="DA43" s="358"/>
      <c r="DB43" s="404"/>
      <c r="DC43" s="358"/>
      <c r="DD43" s="164" t="b">
        <v>0</v>
      </c>
      <c r="DE43" s="164" t="b">
        <v>0</v>
      </c>
      <c r="DF43" s="438" t="e">
        <f t="shared" si="51"/>
        <v>#DIV/0!</v>
      </c>
      <c r="DG43" s="438" t="e">
        <f t="shared" si="52"/>
        <v>#DIV/0!</v>
      </c>
      <c r="DH43" s="401">
        <f t="shared" si="53"/>
        <v>0</v>
      </c>
      <c r="DI43" s="358"/>
      <c r="DJ43" s="358"/>
      <c r="DK43" s="358"/>
      <c r="DL43" s="358"/>
      <c r="DM43" s="358"/>
      <c r="DN43" s="404"/>
      <c r="DO43" s="358"/>
      <c r="DP43" s="164" t="b">
        <v>0</v>
      </c>
      <c r="DQ43" s="164" t="b">
        <v>0</v>
      </c>
      <c r="DR43" s="438" t="e">
        <f t="shared" si="54"/>
        <v>#DIV/0!</v>
      </c>
      <c r="DS43" s="883">
        <f t="shared" si="55"/>
        <v>0</v>
      </c>
      <c r="DT43" s="358"/>
      <c r="DU43" s="358"/>
      <c r="DV43" s="358"/>
      <c r="DW43" s="358"/>
      <c r="DX43" s="358"/>
      <c r="DY43" s="404"/>
      <c r="DZ43" s="358"/>
      <c r="EA43" s="164" t="b">
        <v>0</v>
      </c>
      <c r="EB43" s="164" t="b">
        <v>0</v>
      </c>
      <c r="EC43" s="438" t="e">
        <f t="shared" si="56"/>
        <v>#DIV/0!</v>
      </c>
      <c r="ED43" s="883">
        <f t="shared" si="57"/>
        <v>0</v>
      </c>
      <c r="EE43" s="358"/>
      <c r="EF43" s="358"/>
      <c r="EG43" s="358"/>
      <c r="EH43" s="358"/>
      <c r="EI43" s="358"/>
      <c r="EJ43" s="404"/>
      <c r="EK43" s="358"/>
      <c r="EL43" s="164" t="b">
        <v>0</v>
      </c>
      <c r="EM43" s="164" t="b">
        <v>0</v>
      </c>
      <c r="EN43" s="438" t="e">
        <f t="shared" si="58"/>
        <v>#DIV/0!</v>
      </c>
      <c r="EO43" s="883">
        <f t="shared" si="59"/>
        <v>0</v>
      </c>
      <c r="EP43" s="358"/>
      <c r="EQ43" s="358"/>
      <c r="ER43" s="358"/>
      <c r="ES43" s="358"/>
      <c r="ET43" s="358"/>
      <c r="EU43" s="404"/>
      <c r="EV43" s="358"/>
      <c r="EW43" s="164" t="b">
        <v>0</v>
      </c>
      <c r="EX43" s="164" t="b">
        <v>0</v>
      </c>
      <c r="EY43" s="438" t="e">
        <f t="shared" si="60"/>
        <v>#DIV/0!</v>
      </c>
      <c r="EZ43" s="438" t="e">
        <f t="shared" si="61"/>
        <v>#DIV/0!</v>
      </c>
    </row>
    <row r="44" spans="3:156" ht="15" customHeight="1">
      <c r="C44" s="196" t="s">
        <v>1167</v>
      </c>
      <c r="D44" s="154">
        <v>1450022</v>
      </c>
      <c r="E44" s="154">
        <v>216</v>
      </c>
      <c r="F44" s="154" t="s">
        <v>1168</v>
      </c>
      <c r="G44" s="154" t="s">
        <v>1169</v>
      </c>
      <c r="H44" s="154" t="s">
        <v>901</v>
      </c>
      <c r="I44" s="154" t="s">
        <v>1170</v>
      </c>
      <c r="J44" s="154" t="s">
        <v>1171</v>
      </c>
      <c r="K44" s="255" t="s">
        <v>1168</v>
      </c>
      <c r="L44" s="255" t="s">
        <v>1172</v>
      </c>
      <c r="M44" s="154"/>
      <c r="N44" s="154"/>
      <c r="O44" s="193">
        <v>165</v>
      </c>
      <c r="P44" s="698">
        <v>180</v>
      </c>
      <c r="Q44" s="348">
        <v>5247.74</v>
      </c>
      <c r="R44" s="348"/>
      <c r="S44" s="176"/>
      <c r="T44" s="203">
        <f t="shared" si="31"/>
        <v>5247.74</v>
      </c>
      <c r="U44" s="378">
        <v>486</v>
      </c>
      <c r="V44" s="186">
        <v>46096</v>
      </c>
      <c r="W44" s="383" t="s">
        <v>1173</v>
      </c>
      <c r="X44" s="144">
        <f t="shared" si="0"/>
        <v>0</v>
      </c>
      <c r="Y44" s="170"/>
      <c r="Z44" s="170"/>
      <c r="AA44" s="170"/>
      <c r="AB44" s="171"/>
      <c r="AC44" s="171"/>
      <c r="AD44" s="171"/>
      <c r="AE44" s="177" t="b">
        <v>0</v>
      </c>
      <c r="AF44" s="177" t="b">
        <v>0</v>
      </c>
      <c r="AG44" s="410">
        <f t="shared" si="33"/>
        <v>-1</v>
      </c>
      <c r="AH44" s="392">
        <f>(X44-Q44)/Q44</f>
        <v>-1</v>
      </c>
      <c r="AI44" s="371">
        <f t="shared" si="30"/>
        <v>0</v>
      </c>
      <c r="AJ44" s="368"/>
      <c r="AK44" s="368"/>
      <c r="AL44" s="368"/>
      <c r="AM44" s="171"/>
      <c r="AN44" s="925">
        <v>46112</v>
      </c>
      <c r="AO44" s="171"/>
      <c r="AP44" s="177" t="b">
        <v>0</v>
      </c>
      <c r="AQ44" s="177" t="b">
        <v>0</v>
      </c>
      <c r="AR44" s="439" t="e">
        <f t="shared" si="34"/>
        <v>#DIV/0!</v>
      </c>
      <c r="AS44" s="439" t="e">
        <f t="shared" si="35"/>
        <v>#DIV/0!</v>
      </c>
      <c r="AT44" s="203">
        <f t="shared" si="62"/>
        <v>0</v>
      </c>
      <c r="AU44" s="203"/>
      <c r="AV44" s="203"/>
      <c r="AW44" s="203"/>
      <c r="AX44" s="171"/>
      <c r="AY44" s="925">
        <v>46142</v>
      </c>
      <c r="AZ44" s="171"/>
      <c r="BA44" s="177" t="b">
        <v>0</v>
      </c>
      <c r="BB44" s="177" t="b">
        <v>0</v>
      </c>
      <c r="BC44" s="439" t="e">
        <f t="shared" si="36"/>
        <v>#DIV/0!</v>
      </c>
      <c r="BD44" s="439" t="e">
        <f t="shared" si="37"/>
        <v>#DIV/0!</v>
      </c>
      <c r="BE44" s="368">
        <f t="shared" si="38"/>
        <v>0</v>
      </c>
      <c r="BF44" s="368"/>
      <c r="BG44" s="368"/>
      <c r="BH44" s="368"/>
      <c r="BI44" s="171"/>
      <c r="BJ44" s="1197">
        <v>46172</v>
      </c>
      <c r="BK44" s="171"/>
      <c r="BL44" s="177" t="b">
        <v>0</v>
      </c>
      <c r="BM44" s="177" t="b">
        <v>0</v>
      </c>
      <c r="BN44" s="154" t="e">
        <f t="shared" si="39"/>
        <v>#DIV/0!</v>
      </c>
      <c r="BO44" s="154" t="e">
        <f t="shared" si="40"/>
        <v>#DIV/0!</v>
      </c>
      <c r="BP44" s="348">
        <f t="shared" si="41"/>
        <v>0</v>
      </c>
      <c r="BQ44" s="176"/>
      <c r="BR44" s="176"/>
      <c r="BS44" s="176"/>
      <c r="BT44" s="176"/>
      <c r="BU44" s="1197">
        <v>46203</v>
      </c>
      <c r="BV44" s="176"/>
      <c r="BW44" s="177" t="b">
        <v>0</v>
      </c>
      <c r="BX44" s="177" t="b">
        <v>0</v>
      </c>
      <c r="BY44" s="439" t="e">
        <f t="shared" si="42"/>
        <v>#DIV/0!</v>
      </c>
      <c r="BZ44" s="439" t="e">
        <f t="shared" si="43"/>
        <v>#DIV/0!</v>
      </c>
      <c r="CA44" s="348">
        <f t="shared" si="44"/>
        <v>0</v>
      </c>
      <c r="CB44" s="176"/>
      <c r="CC44" s="176"/>
      <c r="CD44" s="176"/>
      <c r="CE44" s="176"/>
      <c r="CF44" s="186"/>
      <c r="CG44" s="176"/>
      <c r="CH44" s="177" t="b">
        <v>0</v>
      </c>
      <c r="CI44" s="177" t="b">
        <v>0</v>
      </c>
      <c r="CJ44" s="439" t="e">
        <f t="shared" si="45"/>
        <v>#DIV/0!</v>
      </c>
      <c r="CK44" s="439" t="e">
        <f t="shared" si="46"/>
        <v>#DIV/0!</v>
      </c>
      <c r="CL44" s="348">
        <f t="shared" si="47"/>
        <v>0</v>
      </c>
      <c r="CM44" s="176"/>
      <c r="CN44" s="176"/>
      <c r="CO44" s="176"/>
      <c r="CP44" s="176"/>
      <c r="CQ44" s="186"/>
      <c r="CR44" s="176"/>
      <c r="CS44" s="177" t="b">
        <v>0</v>
      </c>
      <c r="CT44" s="177" t="b">
        <v>0</v>
      </c>
      <c r="CU44" s="176" t="e">
        <f t="shared" si="48"/>
        <v>#DIV/0!</v>
      </c>
      <c r="CV44" s="176" t="e">
        <f t="shared" si="49"/>
        <v>#DIV/0!</v>
      </c>
      <c r="CW44" s="348">
        <f t="shared" si="50"/>
        <v>0</v>
      </c>
      <c r="CX44" s="176"/>
      <c r="CY44" s="176"/>
      <c r="CZ44" s="176"/>
      <c r="DA44" s="176"/>
      <c r="DB44" s="186"/>
      <c r="DC44" s="176"/>
      <c r="DD44" s="177" t="b">
        <v>0</v>
      </c>
      <c r="DE44" s="177" t="b">
        <v>0</v>
      </c>
      <c r="DF44" s="439" t="e">
        <f t="shared" si="51"/>
        <v>#DIV/0!</v>
      </c>
      <c r="DG44" s="439" t="e">
        <f t="shared" si="52"/>
        <v>#DIV/0!</v>
      </c>
      <c r="DH44" s="348">
        <f t="shared" si="53"/>
        <v>0</v>
      </c>
      <c r="DI44" s="176"/>
      <c r="DJ44" s="176"/>
      <c r="DK44" s="176"/>
      <c r="DL44" s="176"/>
      <c r="DM44" s="176"/>
      <c r="DN44" s="186"/>
      <c r="DO44" s="176"/>
      <c r="DP44" s="177" t="b">
        <v>0</v>
      </c>
      <c r="DQ44" s="177" t="b">
        <v>0</v>
      </c>
      <c r="DR44" s="439" t="e">
        <f t="shared" si="54"/>
        <v>#DIV/0!</v>
      </c>
      <c r="DS44" s="884">
        <f t="shared" si="55"/>
        <v>0</v>
      </c>
      <c r="DT44" s="176"/>
      <c r="DU44" s="176"/>
      <c r="DV44" s="176"/>
      <c r="DW44" s="176"/>
      <c r="DX44" s="176"/>
      <c r="DY44" s="186"/>
      <c r="DZ44" s="176"/>
      <c r="EA44" s="177" t="b">
        <v>0</v>
      </c>
      <c r="EB44" s="177" t="b">
        <v>0</v>
      </c>
      <c r="EC44" s="439" t="e">
        <f t="shared" si="56"/>
        <v>#DIV/0!</v>
      </c>
      <c r="ED44" s="884">
        <f t="shared" si="57"/>
        <v>0</v>
      </c>
      <c r="EE44" s="176"/>
      <c r="EF44" s="176"/>
      <c r="EG44" s="176"/>
      <c r="EH44" s="176"/>
      <c r="EI44" s="176"/>
      <c r="EJ44" s="186"/>
      <c r="EK44" s="176"/>
      <c r="EL44" s="177" t="b">
        <v>0</v>
      </c>
      <c r="EM44" s="177" t="b">
        <v>0</v>
      </c>
      <c r="EN44" s="439" t="e">
        <f t="shared" si="58"/>
        <v>#DIV/0!</v>
      </c>
      <c r="EO44" s="884">
        <f t="shared" si="59"/>
        <v>0</v>
      </c>
      <c r="EP44" s="176"/>
      <c r="EQ44" s="176"/>
      <c r="ER44" s="176"/>
      <c r="ES44" s="176"/>
      <c r="ET44" s="176"/>
      <c r="EU44" s="186"/>
      <c r="EV44" s="176"/>
      <c r="EW44" s="177" t="b">
        <v>0</v>
      </c>
      <c r="EX44" s="177" t="b">
        <v>0</v>
      </c>
      <c r="EY44" s="439" t="e">
        <f t="shared" si="60"/>
        <v>#DIV/0!</v>
      </c>
      <c r="EZ44" s="439" t="e">
        <f t="shared" si="61"/>
        <v>#DIV/0!</v>
      </c>
    </row>
    <row r="45" spans="3:156" ht="15" customHeight="1">
      <c r="C45" s="196" t="s">
        <v>1167</v>
      </c>
      <c r="D45" s="154">
        <v>1450022</v>
      </c>
      <c r="E45" s="154">
        <v>216</v>
      </c>
      <c r="F45" s="154" t="s">
        <v>1174</v>
      </c>
      <c r="G45" s="154" t="s">
        <v>1175</v>
      </c>
      <c r="H45" s="154" t="s">
        <v>901</v>
      </c>
      <c r="I45" s="154" t="s">
        <v>1170</v>
      </c>
      <c r="J45" s="154" t="s">
        <v>1171</v>
      </c>
      <c r="K45" s="255" t="s">
        <v>1174</v>
      </c>
      <c r="L45" s="255" t="s">
        <v>1176</v>
      </c>
      <c r="M45" s="154"/>
      <c r="N45" s="154"/>
      <c r="O45" s="193">
        <v>165</v>
      </c>
      <c r="P45" s="698">
        <v>180</v>
      </c>
      <c r="Q45" s="348">
        <v>4226.17</v>
      </c>
      <c r="R45" s="348"/>
      <c r="S45" s="176"/>
      <c r="T45" s="203">
        <f t="shared" si="31"/>
        <v>4226.17</v>
      </c>
      <c r="U45" s="378">
        <v>398</v>
      </c>
      <c r="V45" s="186">
        <v>46096</v>
      </c>
      <c r="W45" s="383" t="s">
        <v>1173</v>
      </c>
      <c r="X45" s="144">
        <f t="shared" si="0"/>
        <v>0</v>
      </c>
      <c r="Y45" s="170"/>
      <c r="Z45" s="170"/>
      <c r="AA45" s="170"/>
      <c r="AB45" s="171"/>
      <c r="AC45" s="171"/>
      <c r="AD45" s="171"/>
      <c r="AE45" s="177" t="b">
        <v>0</v>
      </c>
      <c r="AF45" s="177" t="b">
        <v>0</v>
      </c>
      <c r="AG45" s="410">
        <f t="shared" si="33"/>
        <v>-1</v>
      </c>
      <c r="AH45" s="392">
        <f>(X45-Q45)/Q45</f>
        <v>-1</v>
      </c>
      <c r="AI45" s="455">
        <f t="shared" si="30"/>
        <v>0</v>
      </c>
      <c r="AJ45" s="368"/>
      <c r="AK45" s="368"/>
      <c r="AL45" s="368"/>
      <c r="AM45" s="171"/>
      <c r="AN45" s="925">
        <v>46112</v>
      </c>
      <c r="AO45" s="171"/>
      <c r="AP45" s="177" t="b">
        <v>0</v>
      </c>
      <c r="AQ45" s="177" t="b">
        <v>0</v>
      </c>
      <c r="AR45" s="439" t="e">
        <f t="shared" si="34"/>
        <v>#DIV/0!</v>
      </c>
      <c r="AS45" s="439" t="e">
        <f t="shared" si="35"/>
        <v>#DIV/0!</v>
      </c>
      <c r="AT45" s="203">
        <f t="shared" si="62"/>
        <v>0</v>
      </c>
      <c r="AU45" s="203"/>
      <c r="AV45" s="203"/>
      <c r="AW45" s="203"/>
      <c r="AX45" s="171"/>
      <c r="AY45" s="925">
        <v>46142</v>
      </c>
      <c r="AZ45" s="171"/>
      <c r="BA45" s="177" t="b">
        <v>0</v>
      </c>
      <c r="BB45" s="177" t="b">
        <v>0</v>
      </c>
      <c r="BC45" s="439" t="e">
        <f t="shared" si="36"/>
        <v>#DIV/0!</v>
      </c>
      <c r="BD45" s="439" t="e">
        <f t="shared" si="37"/>
        <v>#DIV/0!</v>
      </c>
      <c r="BE45" s="368">
        <f t="shared" si="38"/>
        <v>0</v>
      </c>
      <c r="BF45" s="368"/>
      <c r="BG45" s="368"/>
      <c r="BH45" s="368"/>
      <c r="BI45" s="171"/>
      <c r="BJ45" s="1197">
        <v>46172</v>
      </c>
      <c r="BK45" s="171"/>
      <c r="BL45" s="177" t="b">
        <v>0</v>
      </c>
      <c r="BM45" s="177" t="b">
        <v>0</v>
      </c>
      <c r="BN45" s="154" t="e">
        <f t="shared" si="39"/>
        <v>#DIV/0!</v>
      </c>
      <c r="BO45" s="154" t="e">
        <f t="shared" si="40"/>
        <v>#DIV/0!</v>
      </c>
      <c r="BP45" s="348">
        <f t="shared" si="41"/>
        <v>0</v>
      </c>
      <c r="BQ45" s="176"/>
      <c r="BR45" s="176"/>
      <c r="BS45" s="176"/>
      <c r="BT45" s="176"/>
      <c r="BU45" s="1197">
        <v>46203</v>
      </c>
      <c r="BV45" s="176"/>
      <c r="BW45" s="177" t="b">
        <v>0</v>
      </c>
      <c r="BX45" s="177" t="b">
        <v>0</v>
      </c>
      <c r="BY45" s="439" t="e">
        <f t="shared" si="42"/>
        <v>#DIV/0!</v>
      </c>
      <c r="BZ45" s="439" t="e">
        <f t="shared" si="43"/>
        <v>#DIV/0!</v>
      </c>
      <c r="CA45" s="348">
        <f t="shared" si="44"/>
        <v>0</v>
      </c>
      <c r="CB45" s="176"/>
      <c r="CC45" s="176"/>
      <c r="CD45" s="176"/>
      <c r="CE45" s="176"/>
      <c r="CF45" s="186"/>
      <c r="CG45" s="176"/>
      <c r="CH45" s="177" t="b">
        <v>0</v>
      </c>
      <c r="CI45" s="177" t="b">
        <v>0</v>
      </c>
      <c r="CJ45" s="439" t="e">
        <f t="shared" si="45"/>
        <v>#DIV/0!</v>
      </c>
      <c r="CK45" s="439" t="e">
        <f t="shared" si="46"/>
        <v>#DIV/0!</v>
      </c>
      <c r="CL45" s="348">
        <f t="shared" si="47"/>
        <v>0</v>
      </c>
      <c r="CM45" s="176"/>
      <c r="CN45" s="176"/>
      <c r="CO45" s="176"/>
      <c r="CP45" s="176"/>
      <c r="CQ45" s="186"/>
      <c r="CR45" s="176"/>
      <c r="CS45" s="177" t="b">
        <v>0</v>
      </c>
      <c r="CT45" s="177" t="b">
        <v>0</v>
      </c>
      <c r="CU45" s="176" t="e">
        <f t="shared" si="48"/>
        <v>#DIV/0!</v>
      </c>
      <c r="CV45" s="176" t="e">
        <f t="shared" si="49"/>
        <v>#DIV/0!</v>
      </c>
      <c r="CW45" s="348">
        <f t="shared" si="50"/>
        <v>0</v>
      </c>
      <c r="CX45" s="176"/>
      <c r="CY45" s="176"/>
      <c r="CZ45" s="176"/>
      <c r="DA45" s="176"/>
      <c r="DB45" s="186"/>
      <c r="DC45" s="176"/>
      <c r="DD45" s="177" t="b">
        <v>0</v>
      </c>
      <c r="DE45" s="177" t="b">
        <v>0</v>
      </c>
      <c r="DF45" s="439" t="e">
        <f t="shared" si="51"/>
        <v>#DIV/0!</v>
      </c>
      <c r="DG45" s="439" t="e">
        <f t="shared" si="52"/>
        <v>#DIV/0!</v>
      </c>
      <c r="DH45" s="348">
        <f t="shared" si="53"/>
        <v>0</v>
      </c>
      <c r="DI45" s="176"/>
      <c r="DJ45" s="176"/>
      <c r="DK45" s="176"/>
      <c r="DL45" s="176"/>
      <c r="DM45" s="176"/>
      <c r="DN45" s="186"/>
      <c r="DO45" s="176"/>
      <c r="DP45" s="177" t="b">
        <v>0</v>
      </c>
      <c r="DQ45" s="177" t="b">
        <v>0</v>
      </c>
      <c r="DR45" s="439" t="e">
        <f t="shared" si="54"/>
        <v>#DIV/0!</v>
      </c>
      <c r="DS45" s="884">
        <f t="shared" si="55"/>
        <v>0</v>
      </c>
      <c r="DT45" s="176"/>
      <c r="DU45" s="176"/>
      <c r="DV45" s="176"/>
      <c r="DW45" s="176"/>
      <c r="DX45" s="176"/>
      <c r="DY45" s="186"/>
      <c r="DZ45" s="176"/>
      <c r="EA45" s="177" t="b">
        <v>0</v>
      </c>
      <c r="EB45" s="177" t="b">
        <v>0</v>
      </c>
      <c r="EC45" s="439" t="e">
        <f t="shared" si="56"/>
        <v>#DIV/0!</v>
      </c>
      <c r="ED45" s="884">
        <f t="shared" si="57"/>
        <v>0</v>
      </c>
      <c r="EE45" s="176"/>
      <c r="EF45" s="176"/>
      <c r="EG45" s="176"/>
      <c r="EH45" s="176"/>
      <c r="EI45" s="176"/>
      <c r="EJ45" s="186"/>
      <c r="EK45" s="176"/>
      <c r="EL45" s="177" t="b">
        <v>0</v>
      </c>
      <c r="EM45" s="177" t="b">
        <v>0</v>
      </c>
      <c r="EN45" s="439" t="e">
        <f t="shared" si="58"/>
        <v>#DIV/0!</v>
      </c>
      <c r="EO45" s="884">
        <f t="shared" si="59"/>
        <v>0</v>
      </c>
      <c r="EP45" s="176"/>
      <c r="EQ45" s="176"/>
      <c r="ER45" s="176"/>
      <c r="ES45" s="176"/>
      <c r="ET45" s="176"/>
      <c r="EU45" s="186"/>
      <c r="EV45" s="176"/>
      <c r="EW45" s="177" t="b">
        <v>0</v>
      </c>
      <c r="EX45" s="177" t="b">
        <v>0</v>
      </c>
      <c r="EY45" s="439" t="e">
        <f t="shared" si="60"/>
        <v>#DIV/0!</v>
      </c>
      <c r="EZ45" s="439" t="e">
        <f t="shared" si="61"/>
        <v>#DIV/0!</v>
      </c>
    </row>
    <row r="46" spans="3:156" ht="15" customHeight="1">
      <c r="C46" s="400" t="s">
        <v>1177</v>
      </c>
      <c r="D46" s="357">
        <v>1450022</v>
      </c>
      <c r="E46" s="357">
        <v>219</v>
      </c>
      <c r="F46" s="357">
        <v>19156</v>
      </c>
      <c r="G46" s="357" t="s">
        <v>1178</v>
      </c>
      <c r="H46" s="357" t="s">
        <v>1179</v>
      </c>
      <c r="I46" s="357" t="s">
        <v>1180</v>
      </c>
      <c r="J46" s="357" t="s">
        <v>1181</v>
      </c>
      <c r="K46" s="426">
        <v>19156</v>
      </c>
      <c r="L46" s="426" t="s">
        <v>1178</v>
      </c>
      <c r="M46" s="357"/>
      <c r="N46" s="357"/>
      <c r="O46" s="359">
        <v>13</v>
      </c>
      <c r="P46" s="358"/>
      <c r="Q46" s="401">
        <v>44682.75</v>
      </c>
      <c r="R46" s="401"/>
      <c r="S46" s="358"/>
      <c r="T46" s="402">
        <f t="shared" si="31"/>
        <v>44682.75</v>
      </c>
      <c r="U46" s="403">
        <v>3083</v>
      </c>
      <c r="V46" s="404">
        <v>46019</v>
      </c>
      <c r="W46" s="405" t="s">
        <v>1182</v>
      </c>
      <c r="X46" s="144">
        <f t="shared" si="0"/>
        <v>41991.65</v>
      </c>
      <c r="Y46" s="406"/>
      <c r="Z46" s="406"/>
      <c r="AA46" s="406">
        <v>41991.65</v>
      </c>
      <c r="AB46" s="148">
        <v>3083</v>
      </c>
      <c r="AC46" s="407">
        <v>46050</v>
      </c>
      <c r="AD46" s="148" t="s">
        <v>1183</v>
      </c>
      <c r="AE46" s="164" t="b">
        <v>1</v>
      </c>
      <c r="AF46" s="164" t="b">
        <v>1</v>
      </c>
      <c r="AG46" s="408">
        <f t="shared" si="33"/>
        <v>0</v>
      </c>
      <c r="AH46" s="409">
        <f>(X46-Q46)/Q46</f>
        <v>-6.0226821312475143E-2</v>
      </c>
      <c r="AI46" s="1096">
        <f t="shared" si="30"/>
        <v>50827.9</v>
      </c>
      <c r="AJ46" s="364"/>
      <c r="AK46" s="364">
        <v>0</v>
      </c>
      <c r="AL46" s="364">
        <v>50827.9</v>
      </c>
      <c r="AM46" s="148">
        <v>3507</v>
      </c>
      <c r="AN46" s="407">
        <v>46091</v>
      </c>
      <c r="AO46" s="148" t="s">
        <v>1184</v>
      </c>
      <c r="AP46" s="164" t="b">
        <v>1</v>
      </c>
      <c r="AQ46" s="164" t="b">
        <v>1</v>
      </c>
      <c r="AR46" s="438">
        <f t="shared" si="34"/>
        <v>0.13752838144664287</v>
      </c>
      <c r="AS46" s="438">
        <f t="shared" si="35"/>
        <v>0.2104287399994999</v>
      </c>
      <c r="AT46" s="402">
        <v>41668.15</v>
      </c>
      <c r="AU46" s="402">
        <v>0</v>
      </c>
      <c r="AV46" s="402">
        <v>0</v>
      </c>
      <c r="AW46" s="402">
        <v>41668.15</v>
      </c>
      <c r="AX46" s="148"/>
      <c r="AY46" s="407">
        <v>46122</v>
      </c>
      <c r="AZ46" s="148" t="s">
        <v>1185</v>
      </c>
      <c r="BA46" s="164" t="b">
        <v>1</v>
      </c>
      <c r="BB46" s="164" t="b">
        <v>1</v>
      </c>
      <c r="BC46" s="438">
        <f t="shared" si="36"/>
        <v>-1</v>
      </c>
      <c r="BD46" s="438">
        <f t="shared" si="37"/>
        <v>-0.18021106518270477</v>
      </c>
      <c r="BE46" s="364">
        <f t="shared" si="38"/>
        <v>0</v>
      </c>
      <c r="BF46" s="364"/>
      <c r="BG46" s="364"/>
      <c r="BH46" s="364"/>
      <c r="BI46" s="148"/>
      <c r="BJ46" s="1196">
        <v>46152</v>
      </c>
      <c r="BK46" s="148"/>
      <c r="BL46" s="164" t="b">
        <v>0</v>
      </c>
      <c r="BM46" s="164" t="b">
        <v>0</v>
      </c>
      <c r="BN46" s="357" t="e">
        <f t="shared" si="39"/>
        <v>#DIV/0!</v>
      </c>
      <c r="BO46" s="357">
        <f t="shared" si="40"/>
        <v>-1</v>
      </c>
      <c r="BP46" s="401">
        <f t="shared" si="41"/>
        <v>0</v>
      </c>
      <c r="BQ46" s="358"/>
      <c r="BR46" s="358"/>
      <c r="BS46" s="358"/>
      <c r="BT46" s="358"/>
      <c r="BU46" s="1196">
        <v>46183</v>
      </c>
      <c r="BV46" s="358"/>
      <c r="BW46" s="164" t="b">
        <v>0</v>
      </c>
      <c r="BX46" s="164" t="b">
        <v>0</v>
      </c>
      <c r="BY46" s="438" t="e">
        <f t="shared" si="42"/>
        <v>#DIV/0!</v>
      </c>
      <c r="BZ46" s="438" t="e">
        <f t="shared" si="43"/>
        <v>#DIV/0!</v>
      </c>
      <c r="CA46" s="401">
        <f t="shared" si="44"/>
        <v>0</v>
      </c>
      <c r="CB46" s="358"/>
      <c r="CC46" s="358"/>
      <c r="CD46" s="358"/>
      <c r="CE46" s="358"/>
      <c r="CF46" s="404"/>
      <c r="CG46" s="358"/>
      <c r="CH46" s="164" t="b">
        <v>0</v>
      </c>
      <c r="CI46" s="164" t="b">
        <v>0</v>
      </c>
      <c r="CJ46" s="438" t="e">
        <f t="shared" si="45"/>
        <v>#DIV/0!</v>
      </c>
      <c r="CK46" s="438" t="e">
        <f t="shared" si="46"/>
        <v>#DIV/0!</v>
      </c>
      <c r="CL46" s="401">
        <f t="shared" si="47"/>
        <v>0</v>
      </c>
      <c r="CM46" s="358"/>
      <c r="CN46" s="358"/>
      <c r="CO46" s="358"/>
      <c r="CP46" s="358"/>
      <c r="CQ46" s="404"/>
      <c r="CR46" s="358"/>
      <c r="CS46" s="164" t="b">
        <v>0</v>
      </c>
      <c r="CT46" s="164" t="b">
        <v>0</v>
      </c>
      <c r="CU46" s="358" t="e">
        <f t="shared" si="48"/>
        <v>#DIV/0!</v>
      </c>
      <c r="CV46" s="358" t="e">
        <f t="shared" si="49"/>
        <v>#DIV/0!</v>
      </c>
      <c r="CW46" s="401">
        <f t="shared" si="50"/>
        <v>0</v>
      </c>
      <c r="CX46" s="358"/>
      <c r="CY46" s="358"/>
      <c r="CZ46" s="358"/>
      <c r="DA46" s="358"/>
      <c r="DB46" s="404"/>
      <c r="DC46" s="358"/>
      <c r="DD46" s="164" t="b">
        <v>0</v>
      </c>
      <c r="DE46" s="164" t="b">
        <v>0</v>
      </c>
      <c r="DF46" s="438" t="e">
        <f t="shared" si="51"/>
        <v>#DIV/0!</v>
      </c>
      <c r="DG46" s="438" t="e">
        <f t="shared" si="52"/>
        <v>#DIV/0!</v>
      </c>
      <c r="DH46" s="401">
        <f t="shared" si="53"/>
        <v>0</v>
      </c>
      <c r="DI46" s="358"/>
      <c r="DJ46" s="358"/>
      <c r="DK46" s="358"/>
      <c r="DL46" s="358"/>
      <c r="DM46" s="358"/>
      <c r="DN46" s="404"/>
      <c r="DO46" s="358"/>
      <c r="DP46" s="164" t="b">
        <v>0</v>
      </c>
      <c r="DQ46" s="164" t="b">
        <v>0</v>
      </c>
      <c r="DR46" s="438" t="e">
        <f t="shared" si="54"/>
        <v>#DIV/0!</v>
      </c>
      <c r="DS46" s="883">
        <f t="shared" si="55"/>
        <v>0</v>
      </c>
      <c r="DT46" s="358"/>
      <c r="DU46" s="358"/>
      <c r="DV46" s="358"/>
      <c r="DW46" s="358"/>
      <c r="DX46" s="358"/>
      <c r="DY46" s="404"/>
      <c r="DZ46" s="358"/>
      <c r="EA46" s="164" t="b">
        <v>0</v>
      </c>
      <c r="EB46" s="164" t="b">
        <v>0</v>
      </c>
      <c r="EC46" s="438" t="e">
        <f t="shared" si="56"/>
        <v>#DIV/0!</v>
      </c>
      <c r="ED46" s="883">
        <f t="shared" si="57"/>
        <v>0</v>
      </c>
      <c r="EE46" s="358"/>
      <c r="EF46" s="358"/>
      <c r="EG46" s="358"/>
      <c r="EH46" s="358"/>
      <c r="EI46" s="358"/>
      <c r="EJ46" s="404"/>
      <c r="EK46" s="358"/>
      <c r="EL46" s="164" t="b">
        <v>0</v>
      </c>
      <c r="EM46" s="164" t="b">
        <v>0</v>
      </c>
      <c r="EN46" s="438" t="e">
        <f t="shared" si="58"/>
        <v>#DIV/0!</v>
      </c>
      <c r="EO46" s="883">
        <f t="shared" si="59"/>
        <v>0</v>
      </c>
      <c r="EP46" s="358"/>
      <c r="EQ46" s="358"/>
      <c r="ER46" s="358"/>
      <c r="ES46" s="358"/>
      <c r="ET46" s="358"/>
      <c r="EU46" s="404"/>
      <c r="EV46" s="358"/>
      <c r="EW46" s="164" t="b">
        <v>0</v>
      </c>
      <c r="EX46" s="164" t="b">
        <v>0</v>
      </c>
      <c r="EY46" s="438" t="e">
        <f t="shared" si="60"/>
        <v>#DIV/0!</v>
      </c>
      <c r="EZ46" s="438" t="e">
        <f t="shared" si="61"/>
        <v>#DIV/0!</v>
      </c>
    </row>
    <row r="47" spans="3:156" ht="15" customHeight="1">
      <c r="C47" s="400" t="s">
        <v>1186</v>
      </c>
      <c r="D47" s="357">
        <v>1450022</v>
      </c>
      <c r="E47" s="357">
        <v>219</v>
      </c>
      <c r="F47" s="357">
        <v>11168</v>
      </c>
      <c r="G47" s="357" t="s">
        <v>1187</v>
      </c>
      <c r="H47" s="357" t="s">
        <v>1179</v>
      </c>
      <c r="I47" s="357" t="s">
        <v>1180</v>
      </c>
      <c r="J47" s="357" t="s">
        <v>1181</v>
      </c>
      <c r="K47" s="426" t="s">
        <v>1188</v>
      </c>
      <c r="L47" s="426" t="s">
        <v>1189</v>
      </c>
      <c r="M47" s="357"/>
      <c r="N47" s="357"/>
      <c r="O47" s="359">
        <v>13</v>
      </c>
      <c r="P47" s="358"/>
      <c r="Q47" s="401">
        <v>4501.68</v>
      </c>
      <c r="R47" s="401"/>
      <c r="S47" s="358"/>
      <c r="T47" s="402">
        <f t="shared" si="31"/>
        <v>4501.68</v>
      </c>
      <c r="U47" s="403">
        <v>321</v>
      </c>
      <c r="V47" s="404">
        <v>46019</v>
      </c>
      <c r="W47" s="405" t="s">
        <v>1182</v>
      </c>
      <c r="X47" s="144">
        <f t="shared" si="0"/>
        <v>4871.0200000000004</v>
      </c>
      <c r="Y47" s="406"/>
      <c r="Z47" s="406"/>
      <c r="AA47" s="406">
        <v>4871.0200000000004</v>
      </c>
      <c r="AB47" s="148">
        <v>321</v>
      </c>
      <c r="AC47" s="407">
        <v>46050</v>
      </c>
      <c r="AD47" s="148" t="s">
        <v>1183</v>
      </c>
      <c r="AE47" s="164" t="b">
        <v>1</v>
      </c>
      <c r="AF47" s="164" t="b">
        <v>1</v>
      </c>
      <c r="AG47" s="408">
        <f t="shared" si="33"/>
        <v>0</v>
      </c>
      <c r="AH47" s="409">
        <f>(X47-Q47)/Q47</f>
        <v>8.2044925450054235E-2</v>
      </c>
      <c r="AI47" s="371">
        <f t="shared" si="30"/>
        <v>5160.8</v>
      </c>
      <c r="AJ47" s="364"/>
      <c r="AK47" s="364">
        <v>0</v>
      </c>
      <c r="AL47" s="364">
        <v>5160.8</v>
      </c>
      <c r="AM47" s="148">
        <v>368</v>
      </c>
      <c r="AN47" s="407">
        <v>46091</v>
      </c>
      <c r="AO47" s="148" t="s">
        <v>1184</v>
      </c>
      <c r="AP47" s="164" t="b">
        <v>1</v>
      </c>
      <c r="AQ47" s="164" t="b">
        <v>1</v>
      </c>
      <c r="AR47" s="438">
        <f t="shared" si="34"/>
        <v>0.14641744548286603</v>
      </c>
      <c r="AS47" s="438">
        <f t="shared" si="35"/>
        <v>5.949062003440752E-2</v>
      </c>
      <c r="AT47" s="402">
        <v>21855.85</v>
      </c>
      <c r="AU47" s="402">
        <v>0</v>
      </c>
      <c r="AV47" s="402">
        <v>0</v>
      </c>
      <c r="AW47" s="402">
        <v>21855.85</v>
      </c>
      <c r="AX47" s="148">
        <v>3016</v>
      </c>
      <c r="AY47" s="407">
        <v>46122</v>
      </c>
      <c r="AZ47" s="148" t="s">
        <v>1185</v>
      </c>
      <c r="BA47" s="164" t="b">
        <v>1</v>
      </c>
      <c r="BB47" s="164" t="b">
        <v>1</v>
      </c>
      <c r="BC47" s="438">
        <f t="shared" si="36"/>
        <v>7.1956521739130439</v>
      </c>
      <c r="BD47" s="438">
        <f t="shared" si="37"/>
        <v>3.2349732599596961</v>
      </c>
      <c r="BE47" s="364">
        <f t="shared" si="38"/>
        <v>0</v>
      </c>
      <c r="BF47" s="364"/>
      <c r="BG47" s="364"/>
      <c r="BH47" s="364"/>
      <c r="BI47" s="148"/>
      <c r="BJ47" s="1196">
        <v>46152</v>
      </c>
      <c r="BK47" s="148"/>
      <c r="BL47" s="164" t="b">
        <v>0</v>
      </c>
      <c r="BM47" s="164" t="b">
        <v>0</v>
      </c>
      <c r="BN47" s="357">
        <f t="shared" si="39"/>
        <v>-1</v>
      </c>
      <c r="BO47" s="357">
        <f t="shared" si="40"/>
        <v>-1</v>
      </c>
      <c r="BP47" s="401">
        <f t="shared" si="41"/>
        <v>0</v>
      </c>
      <c r="BQ47" s="358"/>
      <c r="BR47" s="358"/>
      <c r="BS47" s="358"/>
      <c r="BT47" s="358"/>
      <c r="BU47" s="1196">
        <v>46183</v>
      </c>
      <c r="BV47" s="358"/>
      <c r="BW47" s="164" t="b">
        <v>0</v>
      </c>
      <c r="BX47" s="164" t="b">
        <v>0</v>
      </c>
      <c r="BY47" s="438" t="e">
        <f t="shared" si="42"/>
        <v>#DIV/0!</v>
      </c>
      <c r="BZ47" s="438" t="e">
        <f t="shared" si="43"/>
        <v>#DIV/0!</v>
      </c>
      <c r="CA47" s="401">
        <f t="shared" si="44"/>
        <v>0</v>
      </c>
      <c r="CB47" s="358"/>
      <c r="CC47" s="358"/>
      <c r="CD47" s="358"/>
      <c r="CE47" s="358"/>
      <c r="CF47" s="404"/>
      <c r="CG47" s="358"/>
      <c r="CH47" s="164" t="b">
        <v>0</v>
      </c>
      <c r="CI47" s="164" t="b">
        <v>0</v>
      </c>
      <c r="CJ47" s="438" t="e">
        <f t="shared" si="45"/>
        <v>#DIV/0!</v>
      </c>
      <c r="CK47" s="438" t="e">
        <f t="shared" si="46"/>
        <v>#DIV/0!</v>
      </c>
      <c r="CL47" s="401">
        <f t="shared" si="47"/>
        <v>0</v>
      </c>
      <c r="CM47" s="358"/>
      <c r="CN47" s="358"/>
      <c r="CO47" s="358"/>
      <c r="CP47" s="358"/>
      <c r="CQ47" s="404"/>
      <c r="CR47" s="358"/>
      <c r="CS47" s="164" t="b">
        <v>0</v>
      </c>
      <c r="CT47" s="164" t="b">
        <v>0</v>
      </c>
      <c r="CU47" s="358" t="e">
        <f t="shared" si="48"/>
        <v>#DIV/0!</v>
      </c>
      <c r="CV47" s="358" t="e">
        <f t="shared" si="49"/>
        <v>#DIV/0!</v>
      </c>
      <c r="CW47" s="401">
        <f t="shared" si="50"/>
        <v>0</v>
      </c>
      <c r="CX47" s="358"/>
      <c r="CY47" s="358"/>
      <c r="CZ47" s="358"/>
      <c r="DA47" s="358"/>
      <c r="DB47" s="404"/>
      <c r="DC47" s="358"/>
      <c r="DD47" s="164" t="b">
        <v>0</v>
      </c>
      <c r="DE47" s="164" t="b">
        <v>0</v>
      </c>
      <c r="DF47" s="438" t="e">
        <f t="shared" si="51"/>
        <v>#DIV/0!</v>
      </c>
      <c r="DG47" s="438" t="e">
        <f t="shared" si="52"/>
        <v>#DIV/0!</v>
      </c>
      <c r="DH47" s="401">
        <f t="shared" si="53"/>
        <v>0</v>
      </c>
      <c r="DI47" s="358"/>
      <c r="DJ47" s="358"/>
      <c r="DK47" s="358"/>
      <c r="DL47" s="358"/>
      <c r="DM47" s="358"/>
      <c r="DN47" s="404"/>
      <c r="DO47" s="358"/>
      <c r="DP47" s="164" t="b">
        <v>0</v>
      </c>
      <c r="DQ47" s="164" t="b">
        <v>0</v>
      </c>
      <c r="DR47" s="438" t="e">
        <f t="shared" si="54"/>
        <v>#DIV/0!</v>
      </c>
      <c r="DS47" s="883">
        <f t="shared" si="55"/>
        <v>0</v>
      </c>
      <c r="DT47" s="358"/>
      <c r="DU47" s="358"/>
      <c r="DV47" s="358"/>
      <c r="DW47" s="358"/>
      <c r="DX47" s="358"/>
      <c r="DY47" s="404"/>
      <c r="DZ47" s="358"/>
      <c r="EA47" s="164" t="b">
        <v>0</v>
      </c>
      <c r="EB47" s="164" t="b">
        <v>0</v>
      </c>
      <c r="EC47" s="438" t="e">
        <f t="shared" si="56"/>
        <v>#DIV/0!</v>
      </c>
      <c r="ED47" s="883">
        <f t="shared" si="57"/>
        <v>0</v>
      </c>
      <c r="EE47" s="358"/>
      <c r="EF47" s="358"/>
      <c r="EG47" s="358"/>
      <c r="EH47" s="358"/>
      <c r="EI47" s="358"/>
      <c r="EJ47" s="404"/>
      <c r="EK47" s="358"/>
      <c r="EL47" s="164" t="b">
        <v>0</v>
      </c>
      <c r="EM47" s="164" t="b">
        <v>0</v>
      </c>
      <c r="EN47" s="438" t="e">
        <f t="shared" si="58"/>
        <v>#DIV/0!</v>
      </c>
      <c r="EO47" s="883">
        <f t="shared" si="59"/>
        <v>0</v>
      </c>
      <c r="EP47" s="358"/>
      <c r="EQ47" s="358"/>
      <c r="ER47" s="358"/>
      <c r="ES47" s="358"/>
      <c r="ET47" s="358"/>
      <c r="EU47" s="404"/>
      <c r="EV47" s="358"/>
      <c r="EW47" s="164" t="b">
        <v>0</v>
      </c>
      <c r="EX47" s="164" t="b">
        <v>0</v>
      </c>
      <c r="EY47" s="438" t="e">
        <f t="shared" si="60"/>
        <v>#DIV/0!</v>
      </c>
      <c r="EZ47" s="438" t="e">
        <f t="shared" si="61"/>
        <v>#DIV/0!</v>
      </c>
    </row>
    <row r="48" spans="3:156" ht="15" customHeight="1">
      <c r="C48" s="195" t="s">
        <v>1190</v>
      </c>
      <c r="D48" s="154">
        <v>1450022</v>
      </c>
      <c r="E48" s="154">
        <v>121</v>
      </c>
      <c r="F48" s="154" t="s">
        <v>1191</v>
      </c>
      <c r="G48" s="154"/>
      <c r="H48" s="154" t="s">
        <v>911</v>
      </c>
      <c r="I48" s="154" t="s">
        <v>912</v>
      </c>
      <c r="J48" s="154" t="s">
        <v>913</v>
      </c>
      <c r="K48" s="255" t="s">
        <v>1191</v>
      </c>
      <c r="L48" s="255" t="s">
        <v>1192</v>
      </c>
      <c r="M48" s="154"/>
      <c r="N48" s="154"/>
      <c r="O48" s="193">
        <v>33</v>
      </c>
      <c r="P48" s="255"/>
      <c r="Q48" s="348">
        <v>43260.26</v>
      </c>
      <c r="R48" s="348"/>
      <c r="S48" s="176"/>
      <c r="T48" s="203">
        <f t="shared" si="31"/>
        <v>43260.26</v>
      </c>
      <c r="U48" s="378">
        <v>1730</v>
      </c>
      <c r="V48" s="186">
        <v>46036</v>
      </c>
      <c r="W48" s="411" t="s">
        <v>1193</v>
      </c>
      <c r="X48" s="144">
        <f t="shared" si="0"/>
        <v>52176.3</v>
      </c>
      <c r="Y48" s="170"/>
      <c r="Z48" s="170"/>
      <c r="AA48" s="170">
        <v>52176.3</v>
      </c>
      <c r="AB48" s="171">
        <v>2079</v>
      </c>
      <c r="AC48" s="172">
        <v>46069</v>
      </c>
      <c r="AD48" s="171" t="s">
        <v>1194</v>
      </c>
      <c r="AE48" s="177" t="b">
        <v>1</v>
      </c>
      <c r="AF48" s="177" t="b">
        <v>1</v>
      </c>
      <c r="AG48" s="410">
        <f t="shared" si="33"/>
        <v>0.20173410404624278</v>
      </c>
      <c r="AH48" s="392">
        <f>(X48-Q48)/Q48</f>
        <v>0.20610232116034441</v>
      </c>
      <c r="AI48" s="371">
        <f t="shared" si="30"/>
        <v>54171.42</v>
      </c>
      <c r="AJ48" s="368"/>
      <c r="AK48" s="368"/>
      <c r="AL48" s="368">
        <v>54171.42</v>
      </c>
      <c r="AM48" s="171">
        <v>1889</v>
      </c>
      <c r="AN48" s="172">
        <v>46097</v>
      </c>
      <c r="AO48" s="171" t="s">
        <v>1195</v>
      </c>
      <c r="AP48" s="177" t="b">
        <v>1</v>
      </c>
      <c r="AQ48" s="177" t="b">
        <v>1</v>
      </c>
      <c r="AR48" s="439">
        <f t="shared" si="34"/>
        <v>-9.1390091390091396E-2</v>
      </c>
      <c r="AS48" s="439">
        <f t="shared" si="35"/>
        <v>3.8238050609184539E-2</v>
      </c>
      <c r="AT48" s="203">
        <v>45953.58</v>
      </c>
      <c r="AU48" s="203">
        <v>0</v>
      </c>
      <c r="AV48" s="203"/>
      <c r="AW48" s="203">
        <v>45953.58</v>
      </c>
      <c r="AX48" s="171"/>
      <c r="AY48" s="172">
        <v>46126</v>
      </c>
      <c r="AZ48" s="171" t="s">
        <v>1196</v>
      </c>
      <c r="BA48" s="177" t="b">
        <v>1</v>
      </c>
      <c r="BB48" s="177" t="b">
        <v>1</v>
      </c>
      <c r="BC48" s="439">
        <f t="shared" si="36"/>
        <v>-1</v>
      </c>
      <c r="BD48" s="439">
        <f t="shared" si="37"/>
        <v>-0.15170065691466084</v>
      </c>
      <c r="BE48" s="368">
        <f t="shared" si="38"/>
        <v>0</v>
      </c>
      <c r="BF48" s="368"/>
      <c r="BG48" s="368"/>
      <c r="BH48" s="368"/>
      <c r="BI48" s="171"/>
      <c r="BJ48" s="1197">
        <v>46156</v>
      </c>
      <c r="BK48" s="171"/>
      <c r="BL48" s="177" t="b">
        <v>0</v>
      </c>
      <c r="BM48" s="177" t="b">
        <v>0</v>
      </c>
      <c r="BN48" s="154" t="e">
        <f t="shared" si="39"/>
        <v>#DIV/0!</v>
      </c>
      <c r="BO48" s="154">
        <f t="shared" si="40"/>
        <v>-1</v>
      </c>
      <c r="BP48" s="348">
        <f t="shared" si="41"/>
        <v>0</v>
      </c>
      <c r="BQ48" s="176"/>
      <c r="BR48" s="176"/>
      <c r="BS48" s="176"/>
      <c r="BT48" s="176"/>
      <c r="BU48" s="1197">
        <v>46187</v>
      </c>
      <c r="BV48" s="176"/>
      <c r="BW48" s="177" t="b">
        <v>0</v>
      </c>
      <c r="BX48" s="177" t="b">
        <v>0</v>
      </c>
      <c r="BY48" s="439" t="e">
        <f t="shared" si="42"/>
        <v>#DIV/0!</v>
      </c>
      <c r="BZ48" s="439" t="e">
        <f t="shared" si="43"/>
        <v>#DIV/0!</v>
      </c>
      <c r="CA48" s="348">
        <f t="shared" si="44"/>
        <v>0</v>
      </c>
      <c r="CB48" s="176"/>
      <c r="CC48" s="176"/>
      <c r="CD48" s="176"/>
      <c r="CE48" s="176"/>
      <c r="CF48" s="186"/>
      <c r="CG48" s="176"/>
      <c r="CH48" s="177" t="b">
        <v>0</v>
      </c>
      <c r="CI48" s="177" t="b">
        <v>0</v>
      </c>
      <c r="CJ48" s="439" t="e">
        <f t="shared" si="45"/>
        <v>#DIV/0!</v>
      </c>
      <c r="CK48" s="439" t="e">
        <f t="shared" si="46"/>
        <v>#DIV/0!</v>
      </c>
      <c r="CL48" s="348">
        <f t="shared" si="47"/>
        <v>0</v>
      </c>
      <c r="CM48" s="176"/>
      <c r="CN48" s="176"/>
      <c r="CO48" s="176"/>
      <c r="CP48" s="176"/>
      <c r="CQ48" s="186"/>
      <c r="CR48" s="176"/>
      <c r="CS48" s="177" t="b">
        <v>0</v>
      </c>
      <c r="CT48" s="177" t="b">
        <v>0</v>
      </c>
      <c r="CU48" s="176" t="e">
        <f t="shared" si="48"/>
        <v>#DIV/0!</v>
      </c>
      <c r="CV48" s="176" t="e">
        <f t="shared" si="49"/>
        <v>#DIV/0!</v>
      </c>
      <c r="CW48" s="348">
        <f t="shared" si="50"/>
        <v>0</v>
      </c>
      <c r="CX48" s="176"/>
      <c r="CY48" s="176"/>
      <c r="CZ48" s="176"/>
      <c r="DA48" s="176"/>
      <c r="DB48" s="186"/>
      <c r="DC48" s="176"/>
      <c r="DD48" s="177" t="b">
        <v>0</v>
      </c>
      <c r="DE48" s="177" t="b">
        <v>0</v>
      </c>
      <c r="DF48" s="439" t="e">
        <f t="shared" si="51"/>
        <v>#DIV/0!</v>
      </c>
      <c r="DG48" s="439" t="e">
        <f t="shared" si="52"/>
        <v>#DIV/0!</v>
      </c>
      <c r="DH48" s="348">
        <f t="shared" si="53"/>
        <v>0</v>
      </c>
      <c r="DI48" s="176"/>
      <c r="DJ48" s="176"/>
      <c r="DK48" s="176"/>
      <c r="DL48" s="176"/>
      <c r="DM48" s="176"/>
      <c r="DN48" s="186"/>
      <c r="DO48" s="176"/>
      <c r="DP48" s="177" t="b">
        <v>0</v>
      </c>
      <c r="DQ48" s="177" t="b">
        <v>0</v>
      </c>
      <c r="DR48" s="439" t="e">
        <f t="shared" si="54"/>
        <v>#DIV/0!</v>
      </c>
      <c r="DS48" s="884">
        <f t="shared" si="55"/>
        <v>0</v>
      </c>
      <c r="DT48" s="176"/>
      <c r="DU48" s="176"/>
      <c r="DV48" s="176"/>
      <c r="DW48" s="176"/>
      <c r="DX48" s="176"/>
      <c r="DY48" s="186"/>
      <c r="DZ48" s="176"/>
      <c r="EA48" s="177" t="b">
        <v>0</v>
      </c>
      <c r="EB48" s="177" t="b">
        <v>0</v>
      </c>
      <c r="EC48" s="439" t="e">
        <f t="shared" si="56"/>
        <v>#DIV/0!</v>
      </c>
      <c r="ED48" s="884">
        <f t="shared" si="57"/>
        <v>0</v>
      </c>
      <c r="EE48" s="176"/>
      <c r="EF48" s="176"/>
      <c r="EG48" s="176"/>
      <c r="EH48" s="176"/>
      <c r="EI48" s="176"/>
      <c r="EJ48" s="186"/>
      <c r="EK48" s="176"/>
      <c r="EL48" s="177" t="b">
        <v>0</v>
      </c>
      <c r="EM48" s="177" t="b">
        <v>0</v>
      </c>
      <c r="EN48" s="439" t="e">
        <f t="shared" si="58"/>
        <v>#DIV/0!</v>
      </c>
      <c r="EO48" s="884">
        <f t="shared" si="59"/>
        <v>0</v>
      </c>
      <c r="EP48" s="176"/>
      <c r="EQ48" s="176"/>
      <c r="ER48" s="176"/>
      <c r="ES48" s="176"/>
      <c r="ET48" s="176"/>
      <c r="EU48" s="186"/>
      <c r="EV48" s="176"/>
      <c r="EW48" s="177" t="b">
        <v>0</v>
      </c>
      <c r="EX48" s="177" t="b">
        <v>0</v>
      </c>
      <c r="EY48" s="439" t="e">
        <f t="shared" si="60"/>
        <v>#DIV/0!</v>
      </c>
      <c r="EZ48" s="439" t="e">
        <f t="shared" si="61"/>
        <v>#DIV/0!</v>
      </c>
    </row>
    <row r="49" spans="1:759" ht="15" customHeight="1">
      <c r="C49" s="400" t="s">
        <v>1197</v>
      </c>
      <c r="D49" s="357">
        <v>1450022</v>
      </c>
      <c r="E49" s="357">
        <v>215</v>
      </c>
      <c r="F49" s="357" t="s">
        <v>1198</v>
      </c>
      <c r="G49" s="357" t="s">
        <v>1199</v>
      </c>
      <c r="H49" s="357" t="s">
        <v>1200</v>
      </c>
      <c r="I49" s="357" t="s">
        <v>1201</v>
      </c>
      <c r="J49" s="357" t="s">
        <v>1202</v>
      </c>
      <c r="K49" s="426" t="s">
        <v>1198</v>
      </c>
      <c r="L49" s="426"/>
      <c r="M49" s="357"/>
      <c r="N49" s="357"/>
      <c r="O49" s="359">
        <v>18</v>
      </c>
      <c r="P49" s="358"/>
      <c r="Q49" s="401">
        <v>17953.39</v>
      </c>
      <c r="R49" s="401">
        <v>861.76</v>
      </c>
      <c r="S49" s="358"/>
      <c r="T49" s="402">
        <f t="shared" si="31"/>
        <v>17091.63</v>
      </c>
      <c r="U49" s="403">
        <v>918</v>
      </c>
      <c r="V49" s="404">
        <v>46034</v>
      </c>
      <c r="W49" s="405" t="s">
        <v>1203</v>
      </c>
      <c r="X49" s="144">
        <f t="shared" si="0"/>
        <v>20339.93</v>
      </c>
      <c r="Y49" s="406">
        <v>976.32</v>
      </c>
      <c r="Z49" s="406"/>
      <c r="AA49" s="406">
        <v>19363.61</v>
      </c>
      <c r="AB49" s="148">
        <v>1037</v>
      </c>
      <c r="AC49" s="407">
        <v>46063</v>
      </c>
      <c r="AD49" s="148" t="s">
        <v>1204</v>
      </c>
      <c r="AE49" s="164" t="b">
        <v>1</v>
      </c>
      <c r="AF49" s="164" t="b">
        <v>1</v>
      </c>
      <c r="AG49" s="408">
        <f t="shared" si="33"/>
        <v>0.12962962962962962</v>
      </c>
      <c r="AH49" s="409">
        <f>(X49-Q49)/Q49</f>
        <v>0.13292976980949006</v>
      </c>
      <c r="AI49" s="371">
        <v>18740.18</v>
      </c>
      <c r="AJ49" s="364">
        <v>944.88</v>
      </c>
      <c r="AK49" s="364">
        <v>0</v>
      </c>
      <c r="AL49" s="364">
        <v>18740.18</v>
      </c>
      <c r="AM49" s="148">
        <v>956</v>
      </c>
      <c r="AN49" s="407">
        <v>46091</v>
      </c>
      <c r="AO49" s="148" t="s">
        <v>1205</v>
      </c>
      <c r="AP49" s="164" t="b">
        <v>1</v>
      </c>
      <c r="AQ49" s="164" t="b">
        <v>1</v>
      </c>
      <c r="AR49" s="438">
        <f t="shared" si="34"/>
        <v>-7.8109932497589199E-2</v>
      </c>
      <c r="AS49" s="438">
        <f t="shared" si="35"/>
        <v>-7.8650713153880072E-2</v>
      </c>
      <c r="AT49" s="144">
        <f t="shared" si="62"/>
        <v>18522.71</v>
      </c>
      <c r="AU49" s="402">
        <v>889.09</v>
      </c>
      <c r="AV49" s="402">
        <v>0</v>
      </c>
      <c r="AW49" s="402">
        <v>17633.62</v>
      </c>
      <c r="AX49" s="148">
        <v>883</v>
      </c>
      <c r="AY49" s="407">
        <v>46122</v>
      </c>
      <c r="AZ49" s="148" t="s">
        <v>1206</v>
      </c>
      <c r="BA49" s="164" t="b">
        <v>1</v>
      </c>
      <c r="BB49" s="164" t="b">
        <v>1</v>
      </c>
      <c r="BC49" s="438">
        <f t="shared" si="36"/>
        <v>-7.6359832635983269E-2</v>
      </c>
      <c r="BD49" s="438">
        <f t="shared" si="37"/>
        <v>-5.90474584555752E-2</v>
      </c>
      <c r="BE49" s="364">
        <f t="shared" si="38"/>
        <v>0</v>
      </c>
      <c r="BF49" s="364"/>
      <c r="BG49" s="364"/>
      <c r="BH49" s="364"/>
      <c r="BI49" s="148"/>
      <c r="BJ49" s="1196">
        <v>46152</v>
      </c>
      <c r="BK49" s="148"/>
      <c r="BL49" s="164" t="b">
        <v>0</v>
      </c>
      <c r="BM49" s="164" t="b">
        <v>0</v>
      </c>
      <c r="BN49" s="357">
        <f t="shared" si="39"/>
        <v>-1</v>
      </c>
      <c r="BO49" s="357">
        <f t="shared" si="40"/>
        <v>-1</v>
      </c>
      <c r="BP49" s="401">
        <f t="shared" si="41"/>
        <v>0</v>
      </c>
      <c r="BQ49" s="358"/>
      <c r="BR49" s="358"/>
      <c r="BS49" s="358"/>
      <c r="BT49" s="358"/>
      <c r="BU49" s="1196">
        <v>46183</v>
      </c>
      <c r="BV49" s="358"/>
      <c r="BW49" s="164" t="b">
        <v>0</v>
      </c>
      <c r="BX49" s="164" t="b">
        <v>0</v>
      </c>
      <c r="BY49" s="438" t="e">
        <f t="shared" si="42"/>
        <v>#DIV/0!</v>
      </c>
      <c r="BZ49" s="438" t="e">
        <f t="shared" si="43"/>
        <v>#DIV/0!</v>
      </c>
      <c r="CA49" s="401">
        <f t="shared" si="44"/>
        <v>0</v>
      </c>
      <c r="CB49" s="358"/>
      <c r="CC49" s="358"/>
      <c r="CD49" s="358"/>
      <c r="CE49" s="358"/>
      <c r="CF49" s="404"/>
      <c r="CG49" s="358"/>
      <c r="CH49" s="164" t="b">
        <v>0</v>
      </c>
      <c r="CI49" s="164" t="b">
        <v>0</v>
      </c>
      <c r="CJ49" s="438" t="e">
        <f t="shared" si="45"/>
        <v>#DIV/0!</v>
      </c>
      <c r="CK49" s="438" t="e">
        <f t="shared" si="46"/>
        <v>#DIV/0!</v>
      </c>
      <c r="CL49" s="401">
        <f t="shared" si="47"/>
        <v>0</v>
      </c>
      <c r="CM49" s="358"/>
      <c r="CN49" s="358"/>
      <c r="CO49" s="358"/>
      <c r="CP49" s="358"/>
      <c r="CQ49" s="404"/>
      <c r="CR49" s="358"/>
      <c r="CS49" s="164" t="b">
        <v>0</v>
      </c>
      <c r="CT49" s="164" t="b">
        <v>0</v>
      </c>
      <c r="CU49" s="358" t="e">
        <f t="shared" si="48"/>
        <v>#DIV/0!</v>
      </c>
      <c r="CV49" s="358" t="e">
        <f t="shared" si="49"/>
        <v>#DIV/0!</v>
      </c>
      <c r="CW49" s="401">
        <f t="shared" si="50"/>
        <v>0</v>
      </c>
      <c r="CX49" s="358"/>
      <c r="CY49" s="358"/>
      <c r="CZ49" s="358"/>
      <c r="DA49" s="358"/>
      <c r="DB49" s="404"/>
      <c r="DC49" s="358"/>
      <c r="DD49" s="164" t="b">
        <v>0</v>
      </c>
      <c r="DE49" s="164" t="b">
        <v>0</v>
      </c>
      <c r="DF49" s="438" t="e">
        <f t="shared" si="51"/>
        <v>#DIV/0!</v>
      </c>
      <c r="DG49" s="438" t="e">
        <f t="shared" si="52"/>
        <v>#DIV/0!</v>
      </c>
      <c r="DH49" s="401">
        <f t="shared" si="53"/>
        <v>0</v>
      </c>
      <c r="DI49" s="358"/>
      <c r="DJ49" s="358"/>
      <c r="DK49" s="358"/>
      <c r="DL49" s="358"/>
      <c r="DM49" s="358"/>
      <c r="DN49" s="404"/>
      <c r="DO49" s="358"/>
      <c r="DP49" s="164" t="b">
        <v>0</v>
      </c>
      <c r="DQ49" s="164" t="b">
        <v>0</v>
      </c>
      <c r="DR49" s="438" t="e">
        <f t="shared" si="54"/>
        <v>#DIV/0!</v>
      </c>
      <c r="DS49" s="883">
        <f t="shared" si="55"/>
        <v>0</v>
      </c>
      <c r="DT49" s="358"/>
      <c r="DU49" s="358"/>
      <c r="DV49" s="358"/>
      <c r="DW49" s="358"/>
      <c r="DX49" s="358"/>
      <c r="DY49" s="404"/>
      <c r="DZ49" s="358"/>
      <c r="EA49" s="164" t="b">
        <v>0</v>
      </c>
      <c r="EB49" s="164" t="b">
        <v>0</v>
      </c>
      <c r="EC49" s="438" t="e">
        <f t="shared" si="56"/>
        <v>#DIV/0!</v>
      </c>
      <c r="ED49" s="883">
        <f t="shared" si="57"/>
        <v>0</v>
      </c>
      <c r="EE49" s="358"/>
      <c r="EF49" s="358"/>
      <c r="EG49" s="358"/>
      <c r="EH49" s="358"/>
      <c r="EI49" s="358"/>
      <c r="EJ49" s="404"/>
      <c r="EK49" s="358"/>
      <c r="EL49" s="164" t="b">
        <v>0</v>
      </c>
      <c r="EM49" s="164" t="b">
        <v>0</v>
      </c>
      <c r="EN49" s="438" t="e">
        <f t="shared" si="58"/>
        <v>#DIV/0!</v>
      </c>
      <c r="EO49" s="883">
        <f t="shared" si="59"/>
        <v>0</v>
      </c>
      <c r="EP49" s="358"/>
      <c r="EQ49" s="358"/>
      <c r="ER49" s="358"/>
      <c r="ES49" s="358"/>
      <c r="ET49" s="358"/>
      <c r="EU49" s="404"/>
      <c r="EV49" s="358"/>
      <c r="EW49" s="164" t="b">
        <v>0</v>
      </c>
      <c r="EX49" s="164" t="b">
        <v>0</v>
      </c>
      <c r="EY49" s="438" t="e">
        <f t="shared" si="60"/>
        <v>#DIV/0!</v>
      </c>
      <c r="EZ49" s="438" t="e">
        <f t="shared" si="61"/>
        <v>#DIV/0!</v>
      </c>
    </row>
    <row r="50" spans="1:759" ht="15" customHeight="1">
      <c r="C50" s="197" t="s">
        <v>1207</v>
      </c>
      <c r="D50" s="154">
        <v>1450022</v>
      </c>
      <c r="E50" s="154">
        <v>354</v>
      </c>
      <c r="F50" s="154" t="s">
        <v>1208</v>
      </c>
      <c r="G50" s="154" t="s">
        <v>1209</v>
      </c>
      <c r="H50" s="154" t="s">
        <v>1210</v>
      </c>
      <c r="I50" s="154" t="s">
        <v>1211</v>
      </c>
      <c r="J50" s="154" t="s">
        <v>1212</v>
      </c>
      <c r="K50" s="255" t="s">
        <v>1208</v>
      </c>
      <c r="L50" s="255" t="s">
        <v>1213</v>
      </c>
      <c r="M50" s="154"/>
      <c r="N50" s="154"/>
      <c r="O50" s="193">
        <v>115</v>
      </c>
      <c r="P50" s="698">
        <v>195</v>
      </c>
      <c r="Q50" s="348">
        <v>354.14</v>
      </c>
      <c r="R50" s="348"/>
      <c r="S50" s="176"/>
      <c r="T50" s="203">
        <f t="shared" si="31"/>
        <v>354.14</v>
      </c>
      <c r="U50" s="378">
        <v>52</v>
      </c>
      <c r="V50" s="186">
        <v>46042</v>
      </c>
      <c r="W50" s="412" t="s">
        <v>1214</v>
      </c>
      <c r="X50" s="144">
        <f t="shared" si="0"/>
        <v>323.93</v>
      </c>
      <c r="Y50" s="170"/>
      <c r="Z50" s="170"/>
      <c r="AA50" s="170">
        <v>323.93</v>
      </c>
      <c r="AB50" s="171">
        <v>48</v>
      </c>
      <c r="AC50" s="172">
        <v>46073</v>
      </c>
      <c r="AD50" s="171" t="s">
        <v>1215</v>
      </c>
      <c r="AE50" s="177" t="b">
        <v>1</v>
      </c>
      <c r="AF50" s="177" t="b">
        <v>1</v>
      </c>
      <c r="AG50" s="410">
        <f t="shared" si="33"/>
        <v>-7.6923076923076927E-2</v>
      </c>
      <c r="AH50" s="392">
        <f>(X50-Q50)/Q50</f>
        <v>-8.5305246512678554E-2</v>
      </c>
      <c r="AI50" s="371">
        <v>264.75</v>
      </c>
      <c r="AJ50" s="368">
        <v>0</v>
      </c>
      <c r="AK50" s="368"/>
      <c r="AL50" s="368">
        <v>264.75</v>
      </c>
      <c r="AM50" s="171">
        <v>40</v>
      </c>
      <c r="AN50" s="172">
        <v>46101</v>
      </c>
      <c r="AO50" s="171" t="s">
        <v>1216</v>
      </c>
      <c r="AP50" s="177" t="b">
        <v>1</v>
      </c>
      <c r="AQ50" s="177" t="b">
        <v>1</v>
      </c>
      <c r="AR50" s="439">
        <f t="shared" si="34"/>
        <v>-0.16666666666666666</v>
      </c>
      <c r="AS50" s="439">
        <f t="shared" si="35"/>
        <v>-0.18269379186861362</v>
      </c>
      <c r="AT50" s="203">
        <v>514.76</v>
      </c>
      <c r="AU50" s="203">
        <v>0</v>
      </c>
      <c r="AV50" s="203">
        <v>6.48</v>
      </c>
      <c r="AW50" s="203">
        <v>508.28</v>
      </c>
      <c r="AX50" s="171">
        <v>72</v>
      </c>
      <c r="AY50" s="172">
        <v>46132</v>
      </c>
      <c r="AZ50" s="171" t="s">
        <v>1217</v>
      </c>
      <c r="BA50" s="177" t="b">
        <v>1</v>
      </c>
      <c r="BB50" s="177" t="b">
        <v>0</v>
      </c>
      <c r="BC50" s="439">
        <f t="shared" si="36"/>
        <v>0.8</v>
      </c>
      <c r="BD50" s="439">
        <f t="shared" si="37"/>
        <v>0.91984891406987712</v>
      </c>
      <c r="BE50" s="368">
        <f t="shared" si="38"/>
        <v>0</v>
      </c>
      <c r="BF50" s="368"/>
      <c r="BG50" s="368"/>
      <c r="BH50" s="368"/>
      <c r="BI50" s="171"/>
      <c r="BJ50" s="1197">
        <v>46162</v>
      </c>
      <c r="BK50" s="171"/>
      <c r="BL50" s="177" t="b">
        <v>0</v>
      </c>
      <c r="BM50" s="177" t="b">
        <v>0</v>
      </c>
      <c r="BN50" s="154">
        <f t="shared" si="39"/>
        <v>-1</v>
      </c>
      <c r="BO50" s="154">
        <f t="shared" si="40"/>
        <v>-1</v>
      </c>
      <c r="BP50" s="348">
        <f t="shared" si="41"/>
        <v>0</v>
      </c>
      <c r="BQ50" s="176"/>
      <c r="BR50" s="176"/>
      <c r="BS50" s="176"/>
      <c r="BT50" s="176"/>
      <c r="BU50" s="1197">
        <v>46193</v>
      </c>
      <c r="BV50" s="176"/>
      <c r="BW50" s="177" t="b">
        <v>0</v>
      </c>
      <c r="BX50" s="177" t="b">
        <v>0</v>
      </c>
      <c r="BY50" s="439" t="e">
        <f t="shared" si="42"/>
        <v>#DIV/0!</v>
      </c>
      <c r="BZ50" s="439" t="e">
        <f t="shared" si="43"/>
        <v>#DIV/0!</v>
      </c>
      <c r="CA50" s="348">
        <f t="shared" si="44"/>
        <v>0</v>
      </c>
      <c r="CB50" s="176"/>
      <c r="CC50" s="176"/>
      <c r="CD50" s="176"/>
      <c r="CE50" s="176"/>
      <c r="CF50" s="186"/>
      <c r="CG50" s="176"/>
      <c r="CH50" s="177" t="b">
        <v>0</v>
      </c>
      <c r="CI50" s="177" t="b">
        <v>0</v>
      </c>
      <c r="CJ50" s="439" t="e">
        <f t="shared" si="45"/>
        <v>#DIV/0!</v>
      </c>
      <c r="CK50" s="439" t="e">
        <f t="shared" si="46"/>
        <v>#DIV/0!</v>
      </c>
      <c r="CL50" s="348">
        <f t="shared" si="47"/>
        <v>0</v>
      </c>
      <c r="CM50" s="176"/>
      <c r="CN50" s="176"/>
      <c r="CO50" s="176"/>
      <c r="CP50" s="176"/>
      <c r="CQ50" s="186"/>
      <c r="CR50" s="176"/>
      <c r="CS50" s="177" t="b">
        <v>0</v>
      </c>
      <c r="CT50" s="177" t="b">
        <v>0</v>
      </c>
      <c r="CU50" s="176" t="e">
        <f t="shared" si="48"/>
        <v>#DIV/0!</v>
      </c>
      <c r="CV50" s="176" t="e">
        <f t="shared" si="49"/>
        <v>#DIV/0!</v>
      </c>
      <c r="CW50" s="348">
        <f t="shared" si="50"/>
        <v>0</v>
      </c>
      <c r="CX50" s="176"/>
      <c r="CY50" s="176"/>
      <c r="CZ50" s="176"/>
      <c r="DA50" s="176"/>
      <c r="DB50" s="186"/>
      <c r="DC50" s="176"/>
      <c r="DD50" s="177" t="b">
        <v>0</v>
      </c>
      <c r="DE50" s="177" t="b">
        <v>0</v>
      </c>
      <c r="DF50" s="439" t="e">
        <f t="shared" si="51"/>
        <v>#DIV/0!</v>
      </c>
      <c r="DG50" s="439" t="e">
        <f t="shared" si="52"/>
        <v>#DIV/0!</v>
      </c>
      <c r="DH50" s="348">
        <f t="shared" si="53"/>
        <v>0</v>
      </c>
      <c r="DI50" s="176"/>
      <c r="DJ50" s="176"/>
      <c r="DK50" s="176"/>
      <c r="DL50" s="176"/>
      <c r="DM50" s="176"/>
      <c r="DN50" s="186"/>
      <c r="DO50" s="176"/>
      <c r="DP50" s="177" t="b">
        <v>0</v>
      </c>
      <c r="DQ50" s="177" t="b">
        <v>0</v>
      </c>
      <c r="DR50" s="439" t="e">
        <f t="shared" si="54"/>
        <v>#DIV/0!</v>
      </c>
      <c r="DS50" s="884">
        <f t="shared" si="55"/>
        <v>0</v>
      </c>
      <c r="DT50" s="176"/>
      <c r="DU50" s="176"/>
      <c r="DV50" s="176"/>
      <c r="DW50" s="176"/>
      <c r="DX50" s="176"/>
      <c r="DY50" s="186"/>
      <c r="DZ50" s="176"/>
      <c r="EA50" s="177" t="b">
        <v>0</v>
      </c>
      <c r="EB50" s="177" t="b">
        <v>0</v>
      </c>
      <c r="EC50" s="439" t="e">
        <f t="shared" si="56"/>
        <v>#DIV/0!</v>
      </c>
      <c r="ED50" s="884">
        <f t="shared" si="57"/>
        <v>0</v>
      </c>
      <c r="EE50" s="176"/>
      <c r="EF50" s="176"/>
      <c r="EG50" s="176"/>
      <c r="EH50" s="176"/>
      <c r="EI50" s="176"/>
      <c r="EJ50" s="186"/>
      <c r="EK50" s="176"/>
      <c r="EL50" s="177" t="b">
        <v>0</v>
      </c>
      <c r="EM50" s="177" t="b">
        <v>0</v>
      </c>
      <c r="EN50" s="439" t="e">
        <f t="shared" si="58"/>
        <v>#DIV/0!</v>
      </c>
      <c r="EO50" s="884">
        <f t="shared" si="59"/>
        <v>0</v>
      </c>
      <c r="EP50" s="176"/>
      <c r="EQ50" s="176"/>
      <c r="ER50" s="176"/>
      <c r="ES50" s="176"/>
      <c r="ET50" s="176"/>
      <c r="EU50" s="186"/>
      <c r="EV50" s="176"/>
      <c r="EW50" s="177" t="b">
        <v>0</v>
      </c>
      <c r="EX50" s="177" t="b">
        <v>0</v>
      </c>
      <c r="EY50" s="439" t="e">
        <f t="shared" si="60"/>
        <v>#DIV/0!</v>
      </c>
      <c r="EZ50" s="439" t="e">
        <f t="shared" si="61"/>
        <v>#DIV/0!</v>
      </c>
    </row>
    <row r="51" spans="1:759" ht="15" customHeight="1">
      <c r="C51" s="421" t="s">
        <v>1218</v>
      </c>
      <c r="D51" s="357">
        <v>1450022</v>
      </c>
      <c r="E51" s="357">
        <v>131</v>
      </c>
      <c r="F51" s="357" t="s">
        <v>1219</v>
      </c>
      <c r="G51" s="357" t="s">
        <v>1220</v>
      </c>
      <c r="H51" s="357" t="s">
        <v>901</v>
      </c>
      <c r="I51" s="357" t="s">
        <v>1221</v>
      </c>
      <c r="J51" s="357" t="s">
        <v>1222</v>
      </c>
      <c r="K51" s="426" t="s">
        <v>1219</v>
      </c>
      <c r="L51" s="426" t="s">
        <v>1223</v>
      </c>
      <c r="M51" s="357"/>
      <c r="N51" s="357"/>
      <c r="O51" s="359">
        <v>66</v>
      </c>
      <c r="P51" s="357"/>
      <c r="Q51" s="401">
        <v>31431.83</v>
      </c>
      <c r="R51" s="401"/>
      <c r="S51" s="358"/>
      <c r="T51" s="402">
        <f t="shared" si="31"/>
        <v>31431.83</v>
      </c>
      <c r="U51" s="403">
        <v>1812</v>
      </c>
      <c r="V51" s="404">
        <v>46037</v>
      </c>
      <c r="W51" s="385" t="s">
        <v>1224</v>
      </c>
      <c r="X51" s="144">
        <f t="shared" si="0"/>
        <v>34319.800000000003</v>
      </c>
      <c r="Y51" s="406"/>
      <c r="Z51" s="406"/>
      <c r="AA51" s="406">
        <v>34319.800000000003</v>
      </c>
      <c r="AB51" s="148">
        <v>1979</v>
      </c>
      <c r="AC51" s="407">
        <v>46069</v>
      </c>
      <c r="AD51" s="148" t="s">
        <v>1225</v>
      </c>
      <c r="AE51" s="164" t="b">
        <v>1</v>
      </c>
      <c r="AF51" s="164" t="b">
        <v>1</v>
      </c>
      <c r="AG51" s="408">
        <f t="shared" si="33"/>
        <v>9.216335540838852E-2</v>
      </c>
      <c r="AH51" s="409">
        <f>(X51-Q51)/Q51</f>
        <v>9.1880428215601856E-2</v>
      </c>
      <c r="AI51" s="371">
        <v>30031.08</v>
      </c>
      <c r="AJ51" s="364">
        <v>0</v>
      </c>
      <c r="AK51" s="364">
        <v>0</v>
      </c>
      <c r="AL51" s="364">
        <v>30031.08</v>
      </c>
      <c r="AM51" s="148">
        <v>1731</v>
      </c>
      <c r="AN51" s="407">
        <v>46097</v>
      </c>
      <c r="AO51" s="148" t="s">
        <v>1226</v>
      </c>
      <c r="AP51" s="164" t="b">
        <v>1</v>
      </c>
      <c r="AQ51" s="164" t="b">
        <v>1</v>
      </c>
      <c r="AR51" s="438">
        <f t="shared" si="34"/>
        <v>-0.12531581606872158</v>
      </c>
      <c r="AS51" s="438">
        <f t="shared" si="35"/>
        <v>-0.12496343218783329</v>
      </c>
      <c r="AT51" s="402">
        <v>32452.13</v>
      </c>
      <c r="AU51" s="402">
        <v>0</v>
      </c>
      <c r="AV51" s="402">
        <v>0</v>
      </c>
      <c r="AW51" s="402">
        <v>32452.13</v>
      </c>
      <c r="AX51" s="148">
        <v>211</v>
      </c>
      <c r="AY51" s="407">
        <v>46127</v>
      </c>
      <c r="AZ51" s="148" t="s">
        <v>1227</v>
      </c>
      <c r="BA51" s="164" t="b">
        <v>1</v>
      </c>
      <c r="BB51" s="164" t="b">
        <v>1</v>
      </c>
      <c r="BC51" s="438">
        <f t="shared" si="36"/>
        <v>-0.87810514153668395</v>
      </c>
      <c r="BD51" s="438">
        <f t="shared" si="37"/>
        <v>8.0618146267133886E-2</v>
      </c>
      <c r="BE51" s="364">
        <f t="shared" si="38"/>
        <v>0</v>
      </c>
      <c r="BF51" s="364"/>
      <c r="BG51" s="364"/>
      <c r="BH51" s="364"/>
      <c r="BI51" s="148"/>
      <c r="BJ51" s="1196">
        <v>46157</v>
      </c>
      <c r="BK51" s="148"/>
      <c r="BL51" s="164" t="b">
        <v>0</v>
      </c>
      <c r="BM51" s="164" t="b">
        <v>0</v>
      </c>
      <c r="BN51" s="357">
        <f t="shared" si="39"/>
        <v>-1</v>
      </c>
      <c r="BO51" s="357">
        <f t="shared" si="40"/>
        <v>-1</v>
      </c>
      <c r="BP51" s="401">
        <f t="shared" si="41"/>
        <v>0</v>
      </c>
      <c r="BQ51" s="358"/>
      <c r="BR51" s="358"/>
      <c r="BS51" s="358"/>
      <c r="BT51" s="358"/>
      <c r="BU51" s="1196">
        <v>46188</v>
      </c>
      <c r="BV51" s="358"/>
      <c r="BW51" s="164" t="b">
        <v>0</v>
      </c>
      <c r="BX51" s="164" t="b">
        <v>0</v>
      </c>
      <c r="BY51" s="438" t="e">
        <f t="shared" si="42"/>
        <v>#DIV/0!</v>
      </c>
      <c r="BZ51" s="438" t="e">
        <f t="shared" si="43"/>
        <v>#DIV/0!</v>
      </c>
      <c r="CA51" s="401">
        <f t="shared" si="44"/>
        <v>0</v>
      </c>
      <c r="CB51" s="358"/>
      <c r="CC51" s="358"/>
      <c r="CD51" s="358"/>
      <c r="CE51" s="358"/>
      <c r="CF51" s="404"/>
      <c r="CG51" s="358"/>
      <c r="CH51" s="164" t="b">
        <v>0</v>
      </c>
      <c r="CI51" s="164" t="b">
        <v>0</v>
      </c>
      <c r="CJ51" s="438" t="e">
        <f t="shared" si="45"/>
        <v>#DIV/0!</v>
      </c>
      <c r="CK51" s="438" t="e">
        <f t="shared" si="46"/>
        <v>#DIV/0!</v>
      </c>
      <c r="CL51" s="401">
        <f t="shared" si="47"/>
        <v>0</v>
      </c>
      <c r="CM51" s="358"/>
      <c r="CN51" s="358"/>
      <c r="CO51" s="358"/>
      <c r="CP51" s="358"/>
      <c r="CQ51" s="404"/>
      <c r="CR51" s="358"/>
      <c r="CS51" s="164" t="b">
        <v>0</v>
      </c>
      <c r="CT51" s="164" t="b">
        <v>0</v>
      </c>
      <c r="CU51" s="358" t="e">
        <f t="shared" si="48"/>
        <v>#DIV/0!</v>
      </c>
      <c r="CV51" s="358" t="e">
        <f t="shared" si="49"/>
        <v>#DIV/0!</v>
      </c>
      <c r="CW51" s="401">
        <f t="shared" si="50"/>
        <v>0</v>
      </c>
      <c r="CX51" s="358"/>
      <c r="CY51" s="358"/>
      <c r="CZ51" s="358"/>
      <c r="DA51" s="358"/>
      <c r="DB51" s="404"/>
      <c r="DC51" s="358"/>
      <c r="DD51" s="164" t="b">
        <v>0</v>
      </c>
      <c r="DE51" s="164" t="b">
        <v>0</v>
      </c>
      <c r="DF51" s="438" t="e">
        <f t="shared" si="51"/>
        <v>#DIV/0!</v>
      </c>
      <c r="DG51" s="438" t="e">
        <f t="shared" si="52"/>
        <v>#DIV/0!</v>
      </c>
      <c r="DH51" s="401">
        <f t="shared" si="53"/>
        <v>0</v>
      </c>
      <c r="DI51" s="358"/>
      <c r="DJ51" s="358"/>
      <c r="DK51" s="358"/>
      <c r="DL51" s="358"/>
      <c r="DM51" s="358"/>
      <c r="DN51" s="404"/>
      <c r="DO51" s="358"/>
      <c r="DP51" s="164" t="b">
        <v>0</v>
      </c>
      <c r="DQ51" s="164" t="b">
        <v>0</v>
      </c>
      <c r="DR51" s="438" t="e">
        <f t="shared" si="54"/>
        <v>#DIV/0!</v>
      </c>
      <c r="DS51" s="883">
        <f t="shared" si="55"/>
        <v>0</v>
      </c>
      <c r="DT51" s="358"/>
      <c r="DU51" s="358"/>
      <c r="DV51" s="358"/>
      <c r="DW51" s="358"/>
      <c r="DX51" s="358"/>
      <c r="DY51" s="404"/>
      <c r="DZ51" s="358"/>
      <c r="EA51" s="164" t="b">
        <v>0</v>
      </c>
      <c r="EB51" s="164" t="b">
        <v>0</v>
      </c>
      <c r="EC51" s="438" t="e">
        <f t="shared" si="56"/>
        <v>#DIV/0!</v>
      </c>
      <c r="ED51" s="883">
        <f t="shared" si="57"/>
        <v>0</v>
      </c>
      <c r="EE51" s="358"/>
      <c r="EF51" s="358"/>
      <c r="EG51" s="358"/>
      <c r="EH51" s="358"/>
      <c r="EI51" s="358"/>
      <c r="EJ51" s="404"/>
      <c r="EK51" s="358"/>
      <c r="EL51" s="164" t="b">
        <v>0</v>
      </c>
      <c r="EM51" s="164" t="b">
        <v>0</v>
      </c>
      <c r="EN51" s="438" t="e">
        <f t="shared" si="58"/>
        <v>#DIV/0!</v>
      </c>
      <c r="EO51" s="883">
        <f t="shared" si="59"/>
        <v>0</v>
      </c>
      <c r="EP51" s="358"/>
      <c r="EQ51" s="358"/>
      <c r="ER51" s="358"/>
      <c r="ES51" s="358"/>
      <c r="ET51" s="358"/>
      <c r="EU51" s="404"/>
      <c r="EV51" s="358"/>
      <c r="EW51" s="164" t="b">
        <v>0</v>
      </c>
      <c r="EX51" s="164" t="b">
        <v>0</v>
      </c>
      <c r="EY51" s="438" t="e">
        <f t="shared" si="60"/>
        <v>#DIV/0!</v>
      </c>
      <c r="EZ51" s="438" t="e">
        <f t="shared" si="61"/>
        <v>#DIV/0!</v>
      </c>
    </row>
    <row r="52" spans="1:759" ht="15" customHeight="1">
      <c r="C52" s="195" t="s">
        <v>1228</v>
      </c>
      <c r="D52" s="154">
        <v>1450022</v>
      </c>
      <c r="E52" s="154">
        <v>117</v>
      </c>
      <c r="F52" s="154">
        <v>439940</v>
      </c>
      <c r="G52" s="154" t="s">
        <v>1229</v>
      </c>
      <c r="H52" s="154" t="s">
        <v>1230</v>
      </c>
      <c r="I52" s="154" t="s">
        <v>1231</v>
      </c>
      <c r="J52" s="154" t="s">
        <v>1232</v>
      </c>
      <c r="K52" s="255">
        <v>439940</v>
      </c>
      <c r="L52" s="255">
        <v>2254813</v>
      </c>
      <c r="M52" s="154"/>
      <c r="N52" s="154"/>
      <c r="O52" s="193">
        <v>26</v>
      </c>
      <c r="P52" s="176"/>
      <c r="Q52" s="348">
        <v>57.34</v>
      </c>
      <c r="R52" s="348">
        <v>2.75</v>
      </c>
      <c r="S52" s="176"/>
      <c r="T52" s="203">
        <f t="shared" si="31"/>
        <v>54.59</v>
      </c>
      <c r="U52" s="378">
        <v>3</v>
      </c>
      <c r="V52" s="186">
        <v>46021</v>
      </c>
      <c r="W52" s="383" t="s">
        <v>1233</v>
      </c>
      <c r="X52" s="144">
        <f t="shared" si="0"/>
        <v>65.459999999999994</v>
      </c>
      <c r="Y52" s="170"/>
      <c r="Z52" s="170"/>
      <c r="AA52" s="170">
        <v>65.459999999999994</v>
      </c>
      <c r="AB52" s="171">
        <v>4</v>
      </c>
      <c r="AC52" s="172">
        <v>46063</v>
      </c>
      <c r="AD52" s="171" t="s">
        <v>1234</v>
      </c>
      <c r="AE52" s="177" t="b">
        <v>1</v>
      </c>
      <c r="AF52" s="177" t="b">
        <v>1</v>
      </c>
      <c r="AG52" s="410">
        <f t="shared" si="33"/>
        <v>0.33333333333333331</v>
      </c>
      <c r="AH52" s="392">
        <f>(X52-Q52)/Q52</f>
        <v>0.14161144053017075</v>
      </c>
      <c r="AI52" s="371">
        <f t="shared" si="30"/>
        <v>65.459999999999994</v>
      </c>
      <c r="AJ52" s="368"/>
      <c r="AK52" s="368">
        <v>0</v>
      </c>
      <c r="AL52" s="368">
        <v>65.459999999999994</v>
      </c>
      <c r="AM52" s="171">
        <v>4</v>
      </c>
      <c r="AN52" s="172">
        <v>46091</v>
      </c>
      <c r="AO52" s="171" t="s">
        <v>1235</v>
      </c>
      <c r="AP52" s="177" t="b">
        <v>1</v>
      </c>
      <c r="AQ52" s="177" t="b">
        <v>1</v>
      </c>
      <c r="AR52" s="439">
        <f t="shared" si="34"/>
        <v>0</v>
      </c>
      <c r="AS52" s="439">
        <f t="shared" si="35"/>
        <v>0</v>
      </c>
      <c r="AT52" s="203">
        <f>SUM(AW52, ABS(AU52))</f>
        <v>68.759999999999991</v>
      </c>
      <c r="AU52" s="203">
        <v>3.3</v>
      </c>
      <c r="AV52" s="203">
        <v>0</v>
      </c>
      <c r="AW52" s="203">
        <v>65.459999999999994</v>
      </c>
      <c r="AX52" s="171">
        <v>4</v>
      </c>
      <c r="AY52" s="172">
        <v>46111</v>
      </c>
      <c r="AZ52" s="171" t="s">
        <v>1236</v>
      </c>
      <c r="BA52" s="177" t="b">
        <v>1</v>
      </c>
      <c r="BB52" s="177" t="b">
        <v>1</v>
      </c>
      <c r="BC52" s="439">
        <f t="shared" si="36"/>
        <v>0</v>
      </c>
      <c r="BD52" s="439">
        <f t="shared" si="37"/>
        <v>0</v>
      </c>
      <c r="BE52" s="368">
        <f t="shared" si="38"/>
        <v>0</v>
      </c>
      <c r="BF52" s="368"/>
      <c r="BG52" s="368"/>
      <c r="BH52" s="368"/>
      <c r="BI52" s="171"/>
      <c r="BJ52" s="1199">
        <v>46142</v>
      </c>
      <c r="BK52" s="171"/>
      <c r="BL52" s="177" t="b">
        <v>0</v>
      </c>
      <c r="BM52" s="177" t="b">
        <v>0</v>
      </c>
      <c r="BN52" s="154">
        <f t="shared" si="39"/>
        <v>-1</v>
      </c>
      <c r="BO52" s="154">
        <f t="shared" si="40"/>
        <v>-1</v>
      </c>
      <c r="BP52" s="348">
        <f t="shared" si="41"/>
        <v>0</v>
      </c>
      <c r="BQ52" s="176"/>
      <c r="BR52" s="176"/>
      <c r="BS52" s="176"/>
      <c r="BT52" s="176"/>
      <c r="BU52" s="1197">
        <v>46172</v>
      </c>
      <c r="BV52" s="176"/>
      <c r="BW52" s="177" t="b">
        <v>0</v>
      </c>
      <c r="BX52" s="177" t="b">
        <v>0</v>
      </c>
      <c r="BY52" s="439" t="e">
        <f t="shared" si="42"/>
        <v>#DIV/0!</v>
      </c>
      <c r="BZ52" s="439" t="e">
        <f t="shared" si="43"/>
        <v>#DIV/0!</v>
      </c>
      <c r="CA52" s="348">
        <f t="shared" si="44"/>
        <v>0</v>
      </c>
      <c r="CB52" s="176"/>
      <c r="CC52" s="176"/>
      <c r="CD52" s="176"/>
      <c r="CE52" s="176"/>
      <c r="CF52" s="186"/>
      <c r="CG52" s="176"/>
      <c r="CH52" s="177" t="b">
        <v>0</v>
      </c>
      <c r="CI52" s="177" t="b">
        <v>0</v>
      </c>
      <c r="CJ52" s="439" t="e">
        <f t="shared" si="45"/>
        <v>#DIV/0!</v>
      </c>
      <c r="CK52" s="439" t="e">
        <f t="shared" si="46"/>
        <v>#DIV/0!</v>
      </c>
      <c r="CL52" s="348">
        <f t="shared" si="47"/>
        <v>0</v>
      </c>
      <c r="CM52" s="176"/>
      <c r="CN52" s="176"/>
      <c r="CO52" s="176"/>
      <c r="CP52" s="176"/>
      <c r="CQ52" s="186"/>
      <c r="CR52" s="176"/>
      <c r="CS52" s="177" t="b">
        <v>0</v>
      </c>
      <c r="CT52" s="177" t="b">
        <v>0</v>
      </c>
      <c r="CU52" s="176" t="e">
        <f t="shared" si="48"/>
        <v>#DIV/0!</v>
      </c>
      <c r="CV52" s="176" t="e">
        <f t="shared" si="49"/>
        <v>#DIV/0!</v>
      </c>
      <c r="CW52" s="348">
        <f t="shared" si="50"/>
        <v>0</v>
      </c>
      <c r="CX52" s="176"/>
      <c r="CY52" s="176"/>
      <c r="CZ52" s="176"/>
      <c r="DA52" s="176"/>
      <c r="DB52" s="186"/>
      <c r="DC52" s="176"/>
      <c r="DD52" s="177" t="b">
        <v>0</v>
      </c>
      <c r="DE52" s="177" t="b">
        <v>0</v>
      </c>
      <c r="DF52" s="439" t="e">
        <f t="shared" si="51"/>
        <v>#DIV/0!</v>
      </c>
      <c r="DG52" s="439" t="e">
        <f t="shared" si="52"/>
        <v>#DIV/0!</v>
      </c>
      <c r="DH52" s="348">
        <f t="shared" si="53"/>
        <v>0</v>
      </c>
      <c r="DI52" s="176"/>
      <c r="DJ52" s="176"/>
      <c r="DK52" s="176"/>
      <c r="DL52" s="176"/>
      <c r="DM52" s="176"/>
      <c r="DN52" s="186"/>
      <c r="DO52" s="176"/>
      <c r="DP52" s="177" t="b">
        <v>0</v>
      </c>
      <c r="DQ52" s="177" t="b">
        <v>0</v>
      </c>
      <c r="DR52" s="439" t="e">
        <f t="shared" si="54"/>
        <v>#DIV/0!</v>
      </c>
      <c r="DS52" s="884">
        <f t="shared" si="55"/>
        <v>0</v>
      </c>
      <c r="DT52" s="176"/>
      <c r="DU52" s="176"/>
      <c r="DV52" s="176"/>
      <c r="DW52" s="176"/>
      <c r="DX52" s="176"/>
      <c r="DY52" s="186"/>
      <c r="DZ52" s="176"/>
      <c r="EA52" s="177" t="b">
        <v>0</v>
      </c>
      <c r="EB52" s="177" t="b">
        <v>0</v>
      </c>
      <c r="EC52" s="439" t="e">
        <f t="shared" si="56"/>
        <v>#DIV/0!</v>
      </c>
      <c r="ED52" s="884">
        <f t="shared" si="57"/>
        <v>0</v>
      </c>
      <c r="EE52" s="176"/>
      <c r="EF52" s="176"/>
      <c r="EG52" s="176"/>
      <c r="EH52" s="176"/>
      <c r="EI52" s="176"/>
      <c r="EJ52" s="186"/>
      <c r="EK52" s="176"/>
      <c r="EL52" s="177" t="b">
        <v>0</v>
      </c>
      <c r="EM52" s="177" t="b">
        <v>0</v>
      </c>
      <c r="EN52" s="439" t="e">
        <f t="shared" si="58"/>
        <v>#DIV/0!</v>
      </c>
      <c r="EO52" s="884">
        <f t="shared" si="59"/>
        <v>0</v>
      </c>
      <c r="EP52" s="176"/>
      <c r="EQ52" s="176"/>
      <c r="ER52" s="176"/>
      <c r="ES52" s="176"/>
      <c r="ET52" s="176"/>
      <c r="EU52" s="186"/>
      <c r="EV52" s="176"/>
      <c r="EW52" s="177" t="b">
        <v>0</v>
      </c>
      <c r="EX52" s="177" t="b">
        <v>0</v>
      </c>
      <c r="EY52" s="439" t="e">
        <f t="shared" si="60"/>
        <v>#DIV/0!</v>
      </c>
      <c r="EZ52" s="439" t="e">
        <f t="shared" si="61"/>
        <v>#DIV/0!</v>
      </c>
    </row>
    <row r="53" spans="1:759" ht="15" customHeight="1">
      <c r="C53" s="195" t="s">
        <v>1228</v>
      </c>
      <c r="D53" s="154">
        <v>1450022</v>
      </c>
      <c r="E53" s="154">
        <v>117</v>
      </c>
      <c r="F53" s="154">
        <v>406511</v>
      </c>
      <c r="G53" s="154" t="s">
        <v>1237</v>
      </c>
      <c r="H53" s="154" t="s">
        <v>1230</v>
      </c>
      <c r="I53" s="154" t="s">
        <v>1231</v>
      </c>
      <c r="J53" s="154" t="s">
        <v>1232</v>
      </c>
      <c r="K53" s="255">
        <v>406511</v>
      </c>
      <c r="L53" s="255">
        <v>2254811</v>
      </c>
      <c r="M53" s="154"/>
      <c r="N53" s="154"/>
      <c r="O53" s="193">
        <v>26</v>
      </c>
      <c r="P53" s="176"/>
      <c r="Q53" s="348">
        <v>9569.77</v>
      </c>
      <c r="R53" s="348">
        <v>459.35</v>
      </c>
      <c r="S53" s="176"/>
      <c r="T53" s="203">
        <f t="shared" si="31"/>
        <v>9110.42</v>
      </c>
      <c r="U53" s="378">
        <v>483</v>
      </c>
      <c r="V53" s="186">
        <v>46021</v>
      </c>
      <c r="W53" s="383" t="s">
        <v>1233</v>
      </c>
      <c r="X53" s="144">
        <f t="shared" si="0"/>
        <v>8404.93</v>
      </c>
      <c r="Y53" s="170"/>
      <c r="Z53" s="170"/>
      <c r="AA53" s="170">
        <v>8404.93</v>
      </c>
      <c r="AB53" s="171">
        <v>418</v>
      </c>
      <c r="AC53" s="172">
        <v>46063</v>
      </c>
      <c r="AD53" s="171" t="s">
        <v>1234</v>
      </c>
      <c r="AE53" s="177" t="b">
        <v>1</v>
      </c>
      <c r="AF53" s="177" t="b">
        <v>1</v>
      </c>
      <c r="AG53" s="410">
        <f t="shared" si="33"/>
        <v>-0.13457556935817805</v>
      </c>
      <c r="AH53" s="392">
        <f>(X53-Q53)/Q53</f>
        <v>-0.12172079370768578</v>
      </c>
      <c r="AI53" s="455">
        <f t="shared" si="30"/>
        <v>7344.2</v>
      </c>
      <c r="AJ53" s="368"/>
      <c r="AK53" s="368">
        <v>0</v>
      </c>
      <c r="AL53" s="368">
        <v>7344.2</v>
      </c>
      <c r="AM53" s="171">
        <v>368</v>
      </c>
      <c r="AN53" s="172">
        <v>46091</v>
      </c>
      <c r="AO53" s="171" t="s">
        <v>1235</v>
      </c>
      <c r="AP53" s="177" t="b">
        <v>1</v>
      </c>
      <c r="AQ53" s="177" t="b">
        <v>1</v>
      </c>
      <c r="AR53" s="439">
        <f t="shared" si="34"/>
        <v>-0.11961722488038277</v>
      </c>
      <c r="AS53" s="439">
        <f t="shared" si="35"/>
        <v>-0.12620331162781848</v>
      </c>
      <c r="AT53" s="203">
        <f>SUM(AW53, ABS(AU53))</f>
        <v>14867.699999999999</v>
      </c>
      <c r="AU53" s="203">
        <v>713.65</v>
      </c>
      <c r="AV53" s="203">
        <v>0</v>
      </c>
      <c r="AW53" s="203">
        <v>14154.05</v>
      </c>
      <c r="AX53" s="171">
        <v>689</v>
      </c>
      <c r="AY53" s="172">
        <v>46111</v>
      </c>
      <c r="AZ53" s="171" t="s">
        <v>1236</v>
      </c>
      <c r="BA53" s="177" t="b">
        <v>1</v>
      </c>
      <c r="BB53" s="177" t="b">
        <v>1</v>
      </c>
      <c r="BC53" s="439">
        <f t="shared" si="36"/>
        <v>0.87228260869565222</v>
      </c>
      <c r="BD53" s="439">
        <f t="shared" si="37"/>
        <v>0.92724190517687421</v>
      </c>
      <c r="BE53" s="368">
        <f t="shared" si="38"/>
        <v>0</v>
      </c>
      <c r="BF53" s="368"/>
      <c r="BG53" s="368"/>
      <c r="BH53" s="368"/>
      <c r="BI53" s="171"/>
      <c r="BJ53" s="1199">
        <v>46142</v>
      </c>
      <c r="BK53" s="171"/>
      <c r="BL53" s="177" t="b">
        <v>0</v>
      </c>
      <c r="BM53" s="177" t="b">
        <v>0</v>
      </c>
      <c r="BN53" s="154">
        <f t="shared" si="39"/>
        <v>-1</v>
      </c>
      <c r="BO53" s="154">
        <f t="shared" si="40"/>
        <v>-1</v>
      </c>
      <c r="BP53" s="348">
        <f t="shared" si="41"/>
        <v>0</v>
      </c>
      <c r="BQ53" s="176"/>
      <c r="BR53" s="176"/>
      <c r="BS53" s="176"/>
      <c r="BT53" s="176"/>
      <c r="BU53" s="1197">
        <v>46172</v>
      </c>
      <c r="BV53" s="176"/>
      <c r="BW53" s="177" t="b">
        <v>0</v>
      </c>
      <c r="BX53" s="177" t="b">
        <v>0</v>
      </c>
      <c r="BY53" s="439" t="e">
        <f t="shared" si="42"/>
        <v>#DIV/0!</v>
      </c>
      <c r="BZ53" s="439" t="e">
        <f t="shared" si="43"/>
        <v>#DIV/0!</v>
      </c>
      <c r="CA53" s="348">
        <f t="shared" si="44"/>
        <v>0</v>
      </c>
      <c r="CB53" s="176"/>
      <c r="CC53" s="176"/>
      <c r="CD53" s="176"/>
      <c r="CE53" s="176"/>
      <c r="CF53" s="186"/>
      <c r="CG53" s="176"/>
      <c r="CH53" s="177" t="b">
        <v>0</v>
      </c>
      <c r="CI53" s="177" t="b">
        <v>0</v>
      </c>
      <c r="CJ53" s="439" t="e">
        <f t="shared" si="45"/>
        <v>#DIV/0!</v>
      </c>
      <c r="CK53" s="439" t="e">
        <f t="shared" si="46"/>
        <v>#DIV/0!</v>
      </c>
      <c r="CL53" s="348">
        <f t="shared" si="47"/>
        <v>0</v>
      </c>
      <c r="CM53" s="176"/>
      <c r="CN53" s="176"/>
      <c r="CO53" s="176"/>
      <c r="CP53" s="176"/>
      <c r="CQ53" s="186"/>
      <c r="CR53" s="176"/>
      <c r="CS53" s="177" t="b">
        <v>0</v>
      </c>
      <c r="CT53" s="177" t="b">
        <v>0</v>
      </c>
      <c r="CU53" s="176" t="e">
        <f t="shared" si="48"/>
        <v>#DIV/0!</v>
      </c>
      <c r="CV53" s="176" t="e">
        <f t="shared" si="49"/>
        <v>#DIV/0!</v>
      </c>
      <c r="CW53" s="348">
        <f t="shared" si="50"/>
        <v>0</v>
      </c>
      <c r="CX53" s="176"/>
      <c r="CY53" s="176"/>
      <c r="CZ53" s="176"/>
      <c r="DA53" s="176"/>
      <c r="DB53" s="186"/>
      <c r="DC53" s="176"/>
      <c r="DD53" s="177" t="b">
        <v>0</v>
      </c>
      <c r="DE53" s="177" t="b">
        <v>0</v>
      </c>
      <c r="DF53" s="439" t="e">
        <f t="shared" si="51"/>
        <v>#DIV/0!</v>
      </c>
      <c r="DG53" s="439" t="e">
        <f t="shared" si="52"/>
        <v>#DIV/0!</v>
      </c>
      <c r="DH53" s="348">
        <f t="shared" si="53"/>
        <v>0</v>
      </c>
      <c r="DI53" s="176"/>
      <c r="DJ53" s="176"/>
      <c r="DK53" s="176"/>
      <c r="DL53" s="176"/>
      <c r="DM53" s="176"/>
      <c r="DN53" s="186"/>
      <c r="DO53" s="176"/>
      <c r="DP53" s="177" t="b">
        <v>0</v>
      </c>
      <c r="DQ53" s="177" t="b">
        <v>0</v>
      </c>
      <c r="DR53" s="439" t="e">
        <f t="shared" si="54"/>
        <v>#DIV/0!</v>
      </c>
      <c r="DS53" s="884">
        <f t="shared" si="55"/>
        <v>0</v>
      </c>
      <c r="DT53" s="176"/>
      <c r="DU53" s="176"/>
      <c r="DV53" s="176"/>
      <c r="DW53" s="176"/>
      <c r="DX53" s="176"/>
      <c r="DY53" s="186"/>
      <c r="DZ53" s="176"/>
      <c r="EA53" s="177" t="b">
        <v>0</v>
      </c>
      <c r="EB53" s="177" t="b">
        <v>0</v>
      </c>
      <c r="EC53" s="439" t="e">
        <f t="shared" si="56"/>
        <v>#DIV/0!</v>
      </c>
      <c r="ED53" s="884">
        <f t="shared" si="57"/>
        <v>0</v>
      </c>
      <c r="EE53" s="176"/>
      <c r="EF53" s="176"/>
      <c r="EG53" s="176"/>
      <c r="EH53" s="176"/>
      <c r="EI53" s="176"/>
      <c r="EJ53" s="186"/>
      <c r="EK53" s="176"/>
      <c r="EL53" s="177" t="b">
        <v>0</v>
      </c>
      <c r="EM53" s="177" t="b">
        <v>0</v>
      </c>
      <c r="EN53" s="439" t="e">
        <f t="shared" si="58"/>
        <v>#DIV/0!</v>
      </c>
      <c r="EO53" s="884">
        <f t="shared" si="59"/>
        <v>0</v>
      </c>
      <c r="EP53" s="176"/>
      <c r="EQ53" s="176"/>
      <c r="ER53" s="176"/>
      <c r="ES53" s="176"/>
      <c r="ET53" s="176"/>
      <c r="EU53" s="186"/>
      <c r="EV53" s="176"/>
      <c r="EW53" s="177" t="b">
        <v>0</v>
      </c>
      <c r="EX53" s="177" t="b">
        <v>0</v>
      </c>
      <c r="EY53" s="439" t="e">
        <f t="shared" si="60"/>
        <v>#DIV/0!</v>
      </c>
      <c r="EZ53" s="439" t="e">
        <f t="shared" si="61"/>
        <v>#DIV/0!</v>
      </c>
    </row>
    <row r="54" spans="1:759" ht="15" customHeight="1">
      <c r="C54" s="421" t="s">
        <v>1238</v>
      </c>
      <c r="D54" s="357">
        <v>1450022</v>
      </c>
      <c r="E54" s="357">
        <v>103</v>
      </c>
      <c r="F54" s="357" t="s">
        <v>1239</v>
      </c>
      <c r="G54" s="357" t="s">
        <v>1240</v>
      </c>
      <c r="H54" s="357" t="s">
        <v>901</v>
      </c>
      <c r="I54" s="357" t="s">
        <v>1241</v>
      </c>
      <c r="J54" s="357" t="s">
        <v>1242</v>
      </c>
      <c r="K54" s="426" t="s">
        <v>1239</v>
      </c>
      <c r="L54" s="426">
        <v>171389</v>
      </c>
      <c r="M54" s="357"/>
      <c r="N54" s="357"/>
      <c r="O54" s="359">
        <v>65</v>
      </c>
      <c r="P54" s="358"/>
      <c r="Q54" s="401">
        <v>8946.6299999999992</v>
      </c>
      <c r="R54" s="401"/>
      <c r="S54" s="358"/>
      <c r="T54" s="402">
        <f t="shared" si="31"/>
        <v>8946.6299999999992</v>
      </c>
      <c r="U54" s="403">
        <v>734</v>
      </c>
      <c r="V54" s="404">
        <v>46048</v>
      </c>
      <c r="W54" s="405" t="s">
        <v>1243</v>
      </c>
      <c r="X54" s="144">
        <f t="shared" si="0"/>
        <v>8821.7800000000007</v>
      </c>
      <c r="Y54" s="406"/>
      <c r="Z54" s="406"/>
      <c r="AA54" s="406">
        <v>8821.7800000000007</v>
      </c>
      <c r="AB54" s="148">
        <v>724</v>
      </c>
      <c r="AC54" s="407">
        <v>46079</v>
      </c>
      <c r="AD54" s="148" t="s">
        <v>1244</v>
      </c>
      <c r="AE54" s="164" t="b">
        <v>1</v>
      </c>
      <c r="AF54" s="164" t="b">
        <v>1</v>
      </c>
      <c r="AG54" s="408">
        <f t="shared" si="33"/>
        <v>-1.3623978201634877E-2</v>
      </c>
      <c r="AH54" s="409">
        <f>(X54-Q54)/Q54</f>
        <v>-1.395497522530814E-2</v>
      </c>
      <c r="AI54" s="1096">
        <v>7985.28</v>
      </c>
      <c r="AJ54" s="364">
        <v>0</v>
      </c>
      <c r="AK54" s="364">
        <v>0</v>
      </c>
      <c r="AL54" s="364">
        <v>7985.28</v>
      </c>
      <c r="AM54" s="148">
        <v>657</v>
      </c>
      <c r="AN54" s="407">
        <v>46107</v>
      </c>
      <c r="AO54" s="148" t="s">
        <v>1245</v>
      </c>
      <c r="AP54" s="164" t="b">
        <v>1</v>
      </c>
      <c r="AQ54" s="164" t="b">
        <v>1</v>
      </c>
      <c r="AR54" s="438">
        <f t="shared" si="34"/>
        <v>-9.2541436464088397E-2</v>
      </c>
      <c r="AS54" s="438">
        <f t="shared" si="35"/>
        <v>-9.4822133401649203E-2</v>
      </c>
      <c r="AT54" s="402">
        <f t="shared" si="62"/>
        <v>0</v>
      </c>
      <c r="AU54" s="402"/>
      <c r="AV54" s="402"/>
      <c r="AW54" s="402"/>
      <c r="AX54" s="148"/>
      <c r="AY54" s="926">
        <v>46138</v>
      </c>
      <c r="AZ54" s="148"/>
      <c r="BA54" s="164" t="b">
        <v>0</v>
      </c>
      <c r="BB54" s="164" t="b">
        <v>0</v>
      </c>
      <c r="BC54" s="438">
        <f t="shared" si="36"/>
        <v>-1</v>
      </c>
      <c r="BD54" s="438">
        <f t="shared" si="37"/>
        <v>-1</v>
      </c>
      <c r="BE54" s="364">
        <f t="shared" si="38"/>
        <v>0</v>
      </c>
      <c r="BF54" s="364"/>
      <c r="BG54" s="364"/>
      <c r="BH54" s="364"/>
      <c r="BI54" s="148"/>
      <c r="BJ54" s="1196">
        <v>46168</v>
      </c>
      <c r="BK54" s="148"/>
      <c r="BL54" s="164" t="b">
        <v>0</v>
      </c>
      <c r="BM54" s="164" t="b">
        <v>0</v>
      </c>
      <c r="BN54" s="357" t="e">
        <f t="shared" si="39"/>
        <v>#DIV/0!</v>
      </c>
      <c r="BO54" s="357" t="e">
        <f t="shared" si="40"/>
        <v>#DIV/0!</v>
      </c>
      <c r="BP54" s="401">
        <f t="shared" si="41"/>
        <v>0</v>
      </c>
      <c r="BQ54" s="358"/>
      <c r="BR54" s="358"/>
      <c r="BS54" s="358"/>
      <c r="BT54" s="358"/>
      <c r="BU54" s="1196">
        <v>46199</v>
      </c>
      <c r="BV54" s="358"/>
      <c r="BW54" s="164" t="b">
        <v>0</v>
      </c>
      <c r="BX54" s="164" t="b">
        <v>0</v>
      </c>
      <c r="BY54" s="438" t="e">
        <f t="shared" si="42"/>
        <v>#DIV/0!</v>
      </c>
      <c r="BZ54" s="438" t="e">
        <f t="shared" si="43"/>
        <v>#DIV/0!</v>
      </c>
      <c r="CA54" s="401">
        <f t="shared" si="44"/>
        <v>0</v>
      </c>
      <c r="CB54" s="358"/>
      <c r="CC54" s="358"/>
      <c r="CD54" s="358"/>
      <c r="CE54" s="358"/>
      <c r="CF54" s="404"/>
      <c r="CG54" s="358"/>
      <c r="CH54" s="164" t="b">
        <v>0</v>
      </c>
      <c r="CI54" s="164" t="b">
        <v>0</v>
      </c>
      <c r="CJ54" s="438" t="e">
        <f t="shared" si="45"/>
        <v>#DIV/0!</v>
      </c>
      <c r="CK54" s="438" t="e">
        <f t="shared" si="46"/>
        <v>#DIV/0!</v>
      </c>
      <c r="CL54" s="401">
        <f t="shared" si="47"/>
        <v>0</v>
      </c>
      <c r="CM54" s="358"/>
      <c r="CN54" s="358"/>
      <c r="CO54" s="358"/>
      <c r="CP54" s="358"/>
      <c r="CQ54" s="404"/>
      <c r="CR54" s="358"/>
      <c r="CS54" s="164" t="b">
        <v>0</v>
      </c>
      <c r="CT54" s="164" t="b">
        <v>0</v>
      </c>
      <c r="CU54" s="358" t="e">
        <f t="shared" si="48"/>
        <v>#DIV/0!</v>
      </c>
      <c r="CV54" s="358" t="e">
        <f t="shared" si="49"/>
        <v>#DIV/0!</v>
      </c>
      <c r="CW54" s="401">
        <f t="shared" si="50"/>
        <v>0</v>
      </c>
      <c r="CX54" s="358"/>
      <c r="CY54" s="358"/>
      <c r="CZ54" s="358"/>
      <c r="DA54" s="358"/>
      <c r="DB54" s="404"/>
      <c r="DC54" s="358"/>
      <c r="DD54" s="164" t="b">
        <v>0</v>
      </c>
      <c r="DE54" s="164" t="b">
        <v>0</v>
      </c>
      <c r="DF54" s="438" t="e">
        <f t="shared" si="51"/>
        <v>#DIV/0!</v>
      </c>
      <c r="DG54" s="438" t="e">
        <f t="shared" si="52"/>
        <v>#DIV/0!</v>
      </c>
      <c r="DH54" s="401">
        <f t="shared" si="53"/>
        <v>0</v>
      </c>
      <c r="DI54" s="358"/>
      <c r="DJ54" s="358"/>
      <c r="DK54" s="358"/>
      <c r="DL54" s="358"/>
      <c r="DM54" s="358"/>
      <c r="DN54" s="404"/>
      <c r="DO54" s="358"/>
      <c r="DP54" s="164" t="b">
        <v>0</v>
      </c>
      <c r="DQ54" s="164" t="b">
        <v>0</v>
      </c>
      <c r="DR54" s="438" t="e">
        <f t="shared" si="54"/>
        <v>#DIV/0!</v>
      </c>
      <c r="DS54" s="883">
        <f t="shared" si="55"/>
        <v>0</v>
      </c>
      <c r="DT54" s="358"/>
      <c r="DU54" s="358"/>
      <c r="DV54" s="358"/>
      <c r="DW54" s="358"/>
      <c r="DX54" s="358"/>
      <c r="DY54" s="404"/>
      <c r="DZ54" s="358"/>
      <c r="EA54" s="164" t="b">
        <v>0</v>
      </c>
      <c r="EB54" s="164" t="b">
        <v>0</v>
      </c>
      <c r="EC54" s="438" t="e">
        <f t="shared" si="56"/>
        <v>#DIV/0!</v>
      </c>
      <c r="ED54" s="883">
        <f t="shared" si="57"/>
        <v>0</v>
      </c>
      <c r="EE54" s="358"/>
      <c r="EF54" s="358"/>
      <c r="EG54" s="358"/>
      <c r="EH54" s="358"/>
      <c r="EI54" s="358"/>
      <c r="EJ54" s="404"/>
      <c r="EK54" s="358"/>
      <c r="EL54" s="164" t="b">
        <v>0</v>
      </c>
      <c r="EM54" s="164" t="b">
        <v>0</v>
      </c>
      <c r="EN54" s="438" t="e">
        <f t="shared" si="58"/>
        <v>#DIV/0!</v>
      </c>
      <c r="EO54" s="883">
        <f t="shared" si="59"/>
        <v>0</v>
      </c>
      <c r="EP54" s="358"/>
      <c r="EQ54" s="358"/>
      <c r="ER54" s="358"/>
      <c r="ES54" s="358"/>
      <c r="ET54" s="358"/>
      <c r="EU54" s="404"/>
      <c r="EV54" s="358"/>
      <c r="EW54" s="164" t="b">
        <v>0</v>
      </c>
      <c r="EX54" s="164" t="b">
        <v>0</v>
      </c>
      <c r="EY54" s="438" t="e">
        <f t="shared" si="60"/>
        <v>#DIV/0!</v>
      </c>
      <c r="EZ54" s="438" t="e">
        <f t="shared" si="61"/>
        <v>#DIV/0!</v>
      </c>
    </row>
    <row r="55" spans="1:759" ht="15" customHeight="1">
      <c r="C55" s="421" t="s">
        <v>1238</v>
      </c>
      <c r="D55" s="357">
        <v>1450022</v>
      </c>
      <c r="E55" s="357">
        <v>103</v>
      </c>
      <c r="F55" s="357" t="s">
        <v>1246</v>
      </c>
      <c r="G55" s="357" t="s">
        <v>1247</v>
      </c>
      <c r="H55" s="357" t="s">
        <v>901</v>
      </c>
      <c r="I55" s="357" t="s">
        <v>1241</v>
      </c>
      <c r="J55" s="357" t="s">
        <v>1242</v>
      </c>
      <c r="K55" s="426" t="s">
        <v>1246</v>
      </c>
      <c r="L55" s="426">
        <v>286229</v>
      </c>
      <c r="M55" s="357"/>
      <c r="N55" s="357"/>
      <c r="O55" s="359">
        <v>65</v>
      </c>
      <c r="P55" s="358"/>
      <c r="Q55" s="401">
        <v>13816.42</v>
      </c>
      <c r="R55" s="401"/>
      <c r="S55" s="358"/>
      <c r="T55" s="402">
        <f t="shared" si="31"/>
        <v>13816.42</v>
      </c>
      <c r="U55" s="403">
        <v>1554</v>
      </c>
      <c r="V55" s="404">
        <v>46048</v>
      </c>
      <c r="W55" s="405" t="s">
        <v>1243</v>
      </c>
      <c r="X55" s="144">
        <f t="shared" si="0"/>
        <v>13853.21</v>
      </c>
      <c r="Y55" s="406"/>
      <c r="Z55" s="406"/>
      <c r="AA55" s="406">
        <v>13853.21</v>
      </c>
      <c r="AB55" s="148">
        <v>1558</v>
      </c>
      <c r="AC55" s="407">
        <v>46079</v>
      </c>
      <c r="AD55" s="148" t="s">
        <v>1244</v>
      </c>
      <c r="AE55" s="164" t="b">
        <v>1</v>
      </c>
      <c r="AF55" s="164" t="b">
        <v>1</v>
      </c>
      <c r="AG55" s="408">
        <f t="shared" si="33"/>
        <v>2.5740025740025739E-3</v>
      </c>
      <c r="AH55" s="409">
        <f>(X55-Q55)/Q55</f>
        <v>2.6627737141748046E-3</v>
      </c>
      <c r="AI55" s="371">
        <v>13724.48</v>
      </c>
      <c r="AJ55" s="364">
        <v>0</v>
      </c>
      <c r="AK55" s="364">
        <v>0</v>
      </c>
      <c r="AL55" s="364">
        <v>13724.48</v>
      </c>
      <c r="AM55" s="148">
        <v>1544</v>
      </c>
      <c r="AN55" s="407">
        <v>46107</v>
      </c>
      <c r="AO55" s="148" t="s">
        <v>1245</v>
      </c>
      <c r="AP55" s="164" t="b">
        <v>1</v>
      </c>
      <c r="AQ55" s="164" t="b">
        <v>1</v>
      </c>
      <c r="AR55" s="438">
        <f t="shared" si="34"/>
        <v>-8.9858793324775355E-3</v>
      </c>
      <c r="AS55" s="438">
        <f t="shared" si="35"/>
        <v>-9.2924311405081974E-3</v>
      </c>
      <c r="AT55" s="402">
        <f t="shared" si="62"/>
        <v>0</v>
      </c>
      <c r="AU55" s="402"/>
      <c r="AV55" s="402"/>
      <c r="AW55" s="402"/>
      <c r="AX55" s="148"/>
      <c r="AY55" s="926">
        <v>46138</v>
      </c>
      <c r="AZ55" s="148"/>
      <c r="BA55" s="164" t="b">
        <v>0</v>
      </c>
      <c r="BB55" s="164" t="b">
        <v>0</v>
      </c>
      <c r="BC55" s="438">
        <f t="shared" si="36"/>
        <v>-1</v>
      </c>
      <c r="BD55" s="438">
        <f t="shared" si="37"/>
        <v>-1</v>
      </c>
      <c r="BE55" s="364">
        <f t="shared" si="38"/>
        <v>0</v>
      </c>
      <c r="BF55" s="364"/>
      <c r="BG55" s="364"/>
      <c r="BH55" s="364"/>
      <c r="BI55" s="148"/>
      <c r="BJ55" s="1196">
        <v>46168</v>
      </c>
      <c r="BK55" s="148"/>
      <c r="BL55" s="164" t="b">
        <v>0</v>
      </c>
      <c r="BM55" s="164" t="b">
        <v>0</v>
      </c>
      <c r="BN55" s="357" t="e">
        <f t="shared" si="39"/>
        <v>#DIV/0!</v>
      </c>
      <c r="BO55" s="357" t="e">
        <f t="shared" si="40"/>
        <v>#DIV/0!</v>
      </c>
      <c r="BP55" s="401">
        <f t="shared" si="41"/>
        <v>0</v>
      </c>
      <c r="BQ55" s="358"/>
      <c r="BR55" s="358"/>
      <c r="BS55" s="358"/>
      <c r="BT55" s="358"/>
      <c r="BU55" s="1196">
        <v>46199</v>
      </c>
      <c r="BV55" s="358"/>
      <c r="BW55" s="164" t="b">
        <v>0</v>
      </c>
      <c r="BX55" s="164" t="b">
        <v>0</v>
      </c>
      <c r="BY55" s="438" t="e">
        <f t="shared" si="42"/>
        <v>#DIV/0!</v>
      </c>
      <c r="BZ55" s="438" t="e">
        <f t="shared" si="43"/>
        <v>#DIV/0!</v>
      </c>
      <c r="CA55" s="401">
        <f t="shared" si="44"/>
        <v>0</v>
      </c>
      <c r="CB55" s="358"/>
      <c r="CC55" s="358"/>
      <c r="CD55" s="358"/>
      <c r="CE55" s="358"/>
      <c r="CF55" s="404"/>
      <c r="CG55" s="358"/>
      <c r="CH55" s="164" t="b">
        <v>0</v>
      </c>
      <c r="CI55" s="164" t="b">
        <v>0</v>
      </c>
      <c r="CJ55" s="438" t="e">
        <f t="shared" si="45"/>
        <v>#DIV/0!</v>
      </c>
      <c r="CK55" s="438" t="e">
        <f t="shared" si="46"/>
        <v>#DIV/0!</v>
      </c>
      <c r="CL55" s="401">
        <f t="shared" si="47"/>
        <v>0</v>
      </c>
      <c r="CM55" s="358"/>
      <c r="CN55" s="358"/>
      <c r="CO55" s="358"/>
      <c r="CP55" s="358"/>
      <c r="CQ55" s="404"/>
      <c r="CR55" s="358"/>
      <c r="CS55" s="164" t="b">
        <v>0</v>
      </c>
      <c r="CT55" s="164" t="b">
        <v>0</v>
      </c>
      <c r="CU55" s="358" t="e">
        <f t="shared" si="48"/>
        <v>#DIV/0!</v>
      </c>
      <c r="CV55" s="358" t="e">
        <f t="shared" si="49"/>
        <v>#DIV/0!</v>
      </c>
      <c r="CW55" s="401">
        <f t="shared" si="50"/>
        <v>0</v>
      </c>
      <c r="CX55" s="358"/>
      <c r="CY55" s="358"/>
      <c r="CZ55" s="358"/>
      <c r="DA55" s="358"/>
      <c r="DB55" s="404"/>
      <c r="DC55" s="358"/>
      <c r="DD55" s="164" t="b">
        <v>0</v>
      </c>
      <c r="DE55" s="164" t="b">
        <v>0</v>
      </c>
      <c r="DF55" s="438" t="e">
        <f t="shared" si="51"/>
        <v>#DIV/0!</v>
      </c>
      <c r="DG55" s="438" t="e">
        <f t="shared" si="52"/>
        <v>#DIV/0!</v>
      </c>
      <c r="DH55" s="401">
        <f t="shared" si="53"/>
        <v>0</v>
      </c>
      <c r="DI55" s="358"/>
      <c r="DJ55" s="358"/>
      <c r="DK55" s="358"/>
      <c r="DL55" s="358"/>
      <c r="DM55" s="358"/>
      <c r="DN55" s="404"/>
      <c r="DO55" s="358"/>
      <c r="DP55" s="164" t="b">
        <v>0</v>
      </c>
      <c r="DQ55" s="164" t="b">
        <v>0</v>
      </c>
      <c r="DR55" s="438" t="e">
        <f t="shared" si="54"/>
        <v>#DIV/0!</v>
      </c>
      <c r="DS55" s="883">
        <f t="shared" si="55"/>
        <v>0</v>
      </c>
      <c r="DT55" s="358"/>
      <c r="DU55" s="358"/>
      <c r="DV55" s="358"/>
      <c r="DW55" s="358"/>
      <c r="DX55" s="358"/>
      <c r="DY55" s="404"/>
      <c r="DZ55" s="358"/>
      <c r="EA55" s="164" t="b">
        <v>0</v>
      </c>
      <c r="EB55" s="164" t="b">
        <v>0</v>
      </c>
      <c r="EC55" s="438" t="e">
        <f t="shared" si="56"/>
        <v>#DIV/0!</v>
      </c>
      <c r="ED55" s="883">
        <f t="shared" si="57"/>
        <v>0</v>
      </c>
      <c r="EE55" s="358"/>
      <c r="EF55" s="358"/>
      <c r="EG55" s="358"/>
      <c r="EH55" s="358"/>
      <c r="EI55" s="358"/>
      <c r="EJ55" s="404"/>
      <c r="EK55" s="358"/>
      <c r="EL55" s="164" t="b">
        <v>0</v>
      </c>
      <c r="EM55" s="164" t="b">
        <v>0</v>
      </c>
      <c r="EN55" s="438" t="e">
        <f t="shared" si="58"/>
        <v>#DIV/0!</v>
      </c>
      <c r="EO55" s="883">
        <f t="shared" si="59"/>
        <v>0</v>
      </c>
      <c r="EP55" s="358"/>
      <c r="EQ55" s="358"/>
      <c r="ER55" s="358"/>
      <c r="ES55" s="358"/>
      <c r="ET55" s="358"/>
      <c r="EU55" s="404"/>
      <c r="EV55" s="358"/>
      <c r="EW55" s="164" t="b">
        <v>0</v>
      </c>
      <c r="EX55" s="164" t="b">
        <v>0</v>
      </c>
      <c r="EY55" s="438" t="e">
        <f t="shared" si="60"/>
        <v>#DIV/0!</v>
      </c>
      <c r="EZ55" s="438" t="e">
        <f t="shared" si="61"/>
        <v>#DIV/0!</v>
      </c>
    </row>
    <row r="56" spans="1:759" s="48" customFormat="1" ht="15" customHeight="1">
      <c r="A56" s="2"/>
      <c r="B56"/>
      <c r="C56" s="421" t="s">
        <v>1248</v>
      </c>
      <c r="D56" s="357">
        <v>1450022</v>
      </c>
      <c r="E56" s="357">
        <v>103</v>
      </c>
      <c r="F56" s="357" t="s">
        <v>1249</v>
      </c>
      <c r="G56" s="357" t="s">
        <v>1250</v>
      </c>
      <c r="H56" s="357" t="s">
        <v>901</v>
      </c>
      <c r="I56" s="357" t="s">
        <v>1241</v>
      </c>
      <c r="J56" s="357" t="s">
        <v>1242</v>
      </c>
      <c r="K56" s="426" t="s">
        <v>1249</v>
      </c>
      <c r="L56" s="426">
        <v>178244</v>
      </c>
      <c r="M56" s="357"/>
      <c r="N56" s="357"/>
      <c r="O56" s="359">
        <v>65</v>
      </c>
      <c r="P56" s="358"/>
      <c r="Q56" s="401">
        <v>1890.77</v>
      </c>
      <c r="R56" s="401"/>
      <c r="S56" s="358"/>
      <c r="T56" s="402">
        <f t="shared" si="31"/>
        <v>1890.77</v>
      </c>
      <c r="U56" s="403">
        <v>257</v>
      </c>
      <c r="V56" s="404">
        <v>46048</v>
      </c>
      <c r="W56" s="405" t="s">
        <v>1243</v>
      </c>
      <c r="X56" s="144">
        <f t="shared" si="0"/>
        <v>1688.49</v>
      </c>
      <c r="Y56" s="406"/>
      <c r="Z56" s="406"/>
      <c r="AA56" s="406">
        <v>1688.49</v>
      </c>
      <c r="AB56" s="148">
        <v>235</v>
      </c>
      <c r="AC56" s="407">
        <v>46079</v>
      </c>
      <c r="AD56" s="148" t="s">
        <v>1244</v>
      </c>
      <c r="AE56" s="164" t="b">
        <v>1</v>
      </c>
      <c r="AF56" s="164" t="b">
        <v>1</v>
      </c>
      <c r="AG56" s="408">
        <f t="shared" si="33"/>
        <v>-8.5603112840466927E-2</v>
      </c>
      <c r="AH56" s="409">
        <f>(X56-Q56)/Q56</f>
        <v>-0.10698286941299046</v>
      </c>
      <c r="AI56" s="1096">
        <v>1467.81</v>
      </c>
      <c r="AJ56" s="364">
        <v>0</v>
      </c>
      <c r="AK56" s="364"/>
      <c r="AL56" s="364">
        <v>1467.81</v>
      </c>
      <c r="AM56" s="148">
        <v>211</v>
      </c>
      <c r="AN56" s="407">
        <v>46107</v>
      </c>
      <c r="AO56" s="148" t="s">
        <v>1245</v>
      </c>
      <c r="AP56" s="164" t="b">
        <v>1</v>
      </c>
      <c r="AQ56" s="164" t="b">
        <v>1</v>
      </c>
      <c r="AR56" s="438">
        <f t="shared" si="34"/>
        <v>-0.10212765957446808</v>
      </c>
      <c r="AS56" s="438">
        <f t="shared" si="35"/>
        <v>-0.13069665796066313</v>
      </c>
      <c r="AT56" s="402">
        <f t="shared" si="62"/>
        <v>0</v>
      </c>
      <c r="AU56" s="402"/>
      <c r="AV56" s="402"/>
      <c r="AW56" s="402"/>
      <c r="AX56" s="148"/>
      <c r="AY56" s="926">
        <v>46138</v>
      </c>
      <c r="AZ56" s="148"/>
      <c r="BA56" s="164" t="b">
        <v>0</v>
      </c>
      <c r="BB56" s="164" t="b">
        <v>0</v>
      </c>
      <c r="BC56" s="438">
        <f t="shared" si="36"/>
        <v>-1</v>
      </c>
      <c r="BD56" s="438">
        <f t="shared" si="37"/>
        <v>-1</v>
      </c>
      <c r="BE56" s="364">
        <f t="shared" si="38"/>
        <v>0</v>
      </c>
      <c r="BF56" s="364"/>
      <c r="BG56" s="364"/>
      <c r="BH56" s="364"/>
      <c r="BI56" s="148"/>
      <c r="BJ56" s="1196">
        <v>46168</v>
      </c>
      <c r="BK56" s="148"/>
      <c r="BL56" s="164" t="b">
        <v>0</v>
      </c>
      <c r="BM56" s="164" t="b">
        <v>0</v>
      </c>
      <c r="BN56" s="357" t="e">
        <f t="shared" si="39"/>
        <v>#DIV/0!</v>
      </c>
      <c r="BO56" s="357" t="e">
        <f t="shared" si="40"/>
        <v>#DIV/0!</v>
      </c>
      <c r="BP56" s="401">
        <f t="shared" si="41"/>
        <v>0</v>
      </c>
      <c r="BQ56" s="358"/>
      <c r="BR56" s="358"/>
      <c r="BS56" s="358"/>
      <c r="BT56" s="358"/>
      <c r="BU56" s="1196">
        <v>46199</v>
      </c>
      <c r="BV56" s="358"/>
      <c r="BW56" s="164" t="b">
        <v>0</v>
      </c>
      <c r="BX56" s="164" t="b">
        <v>0</v>
      </c>
      <c r="BY56" s="438" t="e">
        <f t="shared" si="42"/>
        <v>#DIV/0!</v>
      </c>
      <c r="BZ56" s="438" t="e">
        <f t="shared" si="43"/>
        <v>#DIV/0!</v>
      </c>
      <c r="CA56" s="401">
        <f t="shared" si="44"/>
        <v>0</v>
      </c>
      <c r="CB56" s="358"/>
      <c r="CC56" s="358"/>
      <c r="CD56" s="358"/>
      <c r="CE56" s="358"/>
      <c r="CF56" s="404"/>
      <c r="CG56" s="358"/>
      <c r="CH56" s="164" t="b">
        <v>0</v>
      </c>
      <c r="CI56" s="164" t="b">
        <v>0</v>
      </c>
      <c r="CJ56" s="438" t="e">
        <f t="shared" si="45"/>
        <v>#DIV/0!</v>
      </c>
      <c r="CK56" s="438" t="e">
        <f t="shared" si="46"/>
        <v>#DIV/0!</v>
      </c>
      <c r="CL56" s="401">
        <f t="shared" si="47"/>
        <v>0</v>
      </c>
      <c r="CM56" s="358"/>
      <c r="CN56" s="358"/>
      <c r="CO56" s="358"/>
      <c r="CP56" s="358"/>
      <c r="CQ56" s="404"/>
      <c r="CR56" s="358"/>
      <c r="CS56" s="164" t="b">
        <v>0</v>
      </c>
      <c r="CT56" s="164" t="b">
        <v>0</v>
      </c>
      <c r="CU56" s="358" t="e">
        <f t="shared" si="48"/>
        <v>#DIV/0!</v>
      </c>
      <c r="CV56" s="358" t="e">
        <f t="shared" si="49"/>
        <v>#DIV/0!</v>
      </c>
      <c r="CW56" s="401">
        <f t="shared" si="50"/>
        <v>0</v>
      </c>
      <c r="CX56" s="358"/>
      <c r="CY56" s="358"/>
      <c r="CZ56" s="358"/>
      <c r="DA56" s="358"/>
      <c r="DB56" s="404"/>
      <c r="DC56" s="358"/>
      <c r="DD56" s="164" t="b">
        <v>0</v>
      </c>
      <c r="DE56" s="164" t="b">
        <v>0</v>
      </c>
      <c r="DF56" s="438" t="e">
        <f t="shared" si="51"/>
        <v>#DIV/0!</v>
      </c>
      <c r="DG56" s="438" t="e">
        <f t="shared" si="52"/>
        <v>#DIV/0!</v>
      </c>
      <c r="DH56" s="401">
        <f t="shared" si="53"/>
        <v>0</v>
      </c>
      <c r="DI56" s="358"/>
      <c r="DJ56" s="358"/>
      <c r="DK56" s="358"/>
      <c r="DL56" s="358"/>
      <c r="DM56" s="358"/>
      <c r="DN56" s="404"/>
      <c r="DO56" s="358"/>
      <c r="DP56" s="164" t="b">
        <v>0</v>
      </c>
      <c r="DQ56" s="164" t="b">
        <v>0</v>
      </c>
      <c r="DR56" s="438" t="e">
        <f t="shared" si="54"/>
        <v>#DIV/0!</v>
      </c>
      <c r="DS56" s="883">
        <f t="shared" si="55"/>
        <v>0</v>
      </c>
      <c r="DT56" s="358"/>
      <c r="DU56" s="358"/>
      <c r="DV56" s="358"/>
      <c r="DW56" s="358"/>
      <c r="DX56" s="358"/>
      <c r="DY56" s="404"/>
      <c r="DZ56" s="358"/>
      <c r="EA56" s="164" t="b">
        <v>0</v>
      </c>
      <c r="EB56" s="164" t="b">
        <v>0</v>
      </c>
      <c r="EC56" s="438" t="e">
        <f t="shared" si="56"/>
        <v>#DIV/0!</v>
      </c>
      <c r="ED56" s="883">
        <f t="shared" si="57"/>
        <v>0</v>
      </c>
      <c r="EE56" s="358"/>
      <c r="EF56" s="358"/>
      <c r="EG56" s="358"/>
      <c r="EH56" s="358"/>
      <c r="EI56" s="358"/>
      <c r="EJ56" s="404"/>
      <c r="EK56" s="358"/>
      <c r="EL56" s="164" t="b">
        <v>0</v>
      </c>
      <c r="EM56" s="164" t="b">
        <v>0</v>
      </c>
      <c r="EN56" s="438" t="e">
        <f t="shared" si="58"/>
        <v>#DIV/0!</v>
      </c>
      <c r="EO56" s="883">
        <f t="shared" si="59"/>
        <v>0</v>
      </c>
      <c r="EP56" s="358"/>
      <c r="EQ56" s="358"/>
      <c r="ER56" s="358"/>
      <c r="ES56" s="358"/>
      <c r="ET56" s="358"/>
      <c r="EU56" s="404"/>
      <c r="EV56" s="358"/>
      <c r="EW56" s="164" t="b">
        <v>0</v>
      </c>
      <c r="EX56" s="164" t="b">
        <v>0</v>
      </c>
      <c r="EY56" s="438" t="e">
        <f t="shared" si="60"/>
        <v>#DIV/0!</v>
      </c>
      <c r="EZ56" s="438" t="e">
        <f t="shared" si="61"/>
        <v>#DIV/0!</v>
      </c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  <c r="IR56" s="175"/>
      <c r="IS56" s="175"/>
      <c r="IT56" s="175"/>
      <c r="IU56" s="175"/>
      <c r="IV56" s="175"/>
      <c r="IW56" s="175"/>
      <c r="IX56" s="175"/>
      <c r="IY56" s="175"/>
      <c r="IZ56" s="175"/>
      <c r="JA56" s="175"/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175"/>
      <c r="JO56" s="175"/>
      <c r="JP56" s="175"/>
      <c r="JQ56" s="175"/>
      <c r="JR56" s="175"/>
      <c r="JS56" s="175"/>
      <c r="JT56" s="175"/>
      <c r="JU56" s="175"/>
      <c r="JV56" s="175"/>
      <c r="JW56" s="175"/>
      <c r="JX56" s="175"/>
      <c r="JY56" s="175"/>
      <c r="JZ56" s="175"/>
      <c r="KA56" s="175"/>
      <c r="KB56" s="175"/>
      <c r="KC56" s="175"/>
      <c r="KD56" s="175"/>
      <c r="KE56" s="175"/>
      <c r="KF56" s="175"/>
      <c r="KG56" s="175"/>
      <c r="KH56" s="175"/>
      <c r="KI56" s="175"/>
      <c r="KJ56" s="175"/>
      <c r="KK56" s="175"/>
      <c r="KL56" s="175"/>
      <c r="KM56" s="175"/>
      <c r="KN56" s="175"/>
      <c r="KO56" s="175"/>
      <c r="KP56" s="175"/>
      <c r="KQ56" s="175"/>
      <c r="KR56" s="175"/>
      <c r="KS56" s="175"/>
      <c r="KT56" s="175"/>
      <c r="KU56" s="175"/>
      <c r="KV56" s="175"/>
      <c r="KW56" s="175"/>
      <c r="KX56" s="175"/>
      <c r="KY56" s="175"/>
      <c r="KZ56" s="175"/>
      <c r="LA56" s="175"/>
      <c r="LB56" s="175"/>
      <c r="LC56" s="175"/>
      <c r="LD56" s="175"/>
      <c r="LE56" s="175"/>
      <c r="LF56" s="175"/>
      <c r="LG56" s="175"/>
      <c r="LH56" s="175"/>
      <c r="LI56" s="175"/>
      <c r="LJ56" s="175"/>
      <c r="LK56" s="175"/>
      <c r="LL56" s="175"/>
      <c r="LM56" s="175"/>
      <c r="LN56" s="175"/>
      <c r="LO56" s="175"/>
      <c r="LP56" s="175"/>
      <c r="LQ56" s="175"/>
      <c r="LR56" s="175"/>
      <c r="LS56" s="175"/>
      <c r="LT56" s="175"/>
      <c r="LU56" s="175"/>
      <c r="LV56" s="175"/>
      <c r="LW56" s="175"/>
      <c r="LX56" s="175"/>
      <c r="LY56" s="175"/>
      <c r="LZ56" s="175"/>
      <c r="MA56" s="175"/>
      <c r="MB56" s="175"/>
      <c r="MC56" s="175"/>
      <c r="MD56" s="175"/>
      <c r="ME56" s="175"/>
      <c r="MF56" s="175"/>
      <c r="MG56" s="175"/>
      <c r="MH56" s="175"/>
      <c r="MI56" s="175"/>
      <c r="MJ56" s="175"/>
      <c r="MK56" s="175"/>
      <c r="ML56" s="175"/>
      <c r="MM56" s="175"/>
      <c r="MN56" s="175"/>
      <c r="MO56" s="175"/>
      <c r="MP56" s="175"/>
      <c r="MQ56" s="175"/>
      <c r="MR56" s="175"/>
      <c r="MS56" s="175"/>
      <c r="MT56" s="175"/>
      <c r="MU56" s="175"/>
      <c r="MV56" s="175"/>
      <c r="MW56" s="175"/>
      <c r="MX56" s="175"/>
      <c r="MY56" s="175"/>
      <c r="MZ56" s="175"/>
      <c r="NA56" s="175"/>
      <c r="NB56" s="175"/>
      <c r="NC56" s="175"/>
      <c r="ND56" s="175"/>
      <c r="NE56" s="175"/>
      <c r="NF56" s="175"/>
      <c r="NG56" s="175"/>
      <c r="NH56" s="175"/>
      <c r="NI56" s="175"/>
      <c r="NJ56" s="175"/>
      <c r="NK56" s="175"/>
      <c r="NL56" s="175"/>
      <c r="NM56" s="175"/>
      <c r="NN56" s="175"/>
      <c r="NO56" s="175"/>
      <c r="NP56" s="175"/>
      <c r="NQ56" s="175"/>
      <c r="NR56" s="175"/>
      <c r="NS56" s="175"/>
      <c r="NT56" s="175"/>
      <c r="NU56" s="175"/>
      <c r="NV56" s="175"/>
      <c r="NW56" s="175"/>
      <c r="NX56" s="175"/>
      <c r="NY56" s="175"/>
      <c r="NZ56" s="175"/>
      <c r="OA56" s="175"/>
      <c r="OB56" s="175"/>
      <c r="OC56" s="175"/>
      <c r="OD56" s="175"/>
      <c r="OE56" s="175"/>
      <c r="OF56" s="175"/>
      <c r="OG56" s="175"/>
      <c r="OH56" s="175"/>
      <c r="OI56" s="175"/>
      <c r="OJ56" s="175"/>
      <c r="OK56" s="175"/>
      <c r="OL56" s="175"/>
      <c r="OM56" s="175"/>
      <c r="ON56" s="175"/>
      <c r="OO56" s="175"/>
      <c r="OP56" s="175"/>
      <c r="OQ56" s="175"/>
      <c r="OR56" s="175"/>
      <c r="OS56" s="175"/>
      <c r="OT56" s="175"/>
      <c r="OU56" s="175"/>
      <c r="OV56" s="175"/>
      <c r="OW56" s="175"/>
      <c r="OX56" s="175"/>
      <c r="OY56" s="175"/>
      <c r="OZ56" s="175"/>
      <c r="PA56" s="175"/>
      <c r="PB56" s="175"/>
      <c r="PC56" s="175"/>
      <c r="PD56" s="175"/>
      <c r="PE56" s="175"/>
      <c r="PF56" s="175"/>
      <c r="PG56" s="175"/>
      <c r="PH56" s="175"/>
      <c r="PI56" s="175"/>
      <c r="PJ56" s="175"/>
      <c r="PK56" s="175"/>
      <c r="PL56" s="175"/>
      <c r="PM56" s="175"/>
      <c r="PN56" s="175"/>
      <c r="PO56" s="175"/>
      <c r="PP56" s="175"/>
      <c r="PQ56" s="175"/>
      <c r="PR56" s="175"/>
      <c r="PS56" s="175"/>
      <c r="PT56" s="175"/>
      <c r="PU56" s="175"/>
      <c r="PV56" s="175"/>
      <c r="PW56" s="175"/>
      <c r="PX56" s="175"/>
      <c r="PY56" s="175"/>
      <c r="PZ56" s="175"/>
      <c r="QA56" s="175"/>
      <c r="QB56" s="175"/>
      <c r="QC56" s="175"/>
      <c r="QD56" s="175"/>
      <c r="QE56" s="175"/>
      <c r="QF56" s="175"/>
      <c r="QG56" s="175"/>
      <c r="QH56" s="175"/>
      <c r="QI56" s="175"/>
      <c r="QJ56" s="175"/>
      <c r="QK56" s="175"/>
      <c r="QL56" s="175"/>
      <c r="QM56" s="175"/>
      <c r="QN56" s="175"/>
      <c r="QO56" s="175"/>
      <c r="QP56" s="175"/>
      <c r="QQ56" s="175"/>
      <c r="QR56" s="175"/>
      <c r="QS56" s="175"/>
      <c r="QT56" s="175"/>
      <c r="QU56" s="175"/>
      <c r="QV56" s="175"/>
      <c r="QW56" s="175"/>
      <c r="QX56" s="175"/>
      <c r="QY56" s="175"/>
      <c r="QZ56" s="175"/>
      <c r="RA56" s="175"/>
      <c r="RB56" s="175"/>
      <c r="RC56" s="175"/>
      <c r="RD56" s="175"/>
      <c r="RE56" s="175"/>
      <c r="RF56" s="175"/>
      <c r="RG56" s="175"/>
      <c r="RH56" s="175"/>
      <c r="RI56" s="175"/>
      <c r="RJ56" s="175"/>
      <c r="RK56" s="175"/>
      <c r="RL56" s="175"/>
      <c r="RM56" s="175"/>
      <c r="RN56" s="175"/>
      <c r="RO56" s="175"/>
      <c r="RP56" s="175"/>
      <c r="RQ56" s="175"/>
      <c r="RR56" s="175"/>
      <c r="RS56" s="175"/>
      <c r="RT56" s="175"/>
      <c r="RU56" s="175"/>
      <c r="RV56" s="175"/>
      <c r="RW56" s="175"/>
      <c r="RX56" s="175"/>
      <c r="RY56" s="175"/>
      <c r="RZ56" s="175"/>
      <c r="SA56" s="175"/>
      <c r="SB56" s="175"/>
      <c r="SC56" s="175"/>
      <c r="SD56" s="175"/>
      <c r="SE56" s="175"/>
      <c r="SF56" s="175"/>
      <c r="SG56" s="175"/>
      <c r="SH56" s="175"/>
      <c r="SI56" s="175"/>
      <c r="SJ56" s="175"/>
      <c r="SK56" s="175"/>
      <c r="SL56" s="175"/>
      <c r="SM56" s="175"/>
      <c r="SN56" s="175"/>
      <c r="SO56" s="175"/>
      <c r="SP56" s="175"/>
      <c r="SQ56" s="175"/>
      <c r="SR56" s="175"/>
      <c r="SS56" s="175"/>
      <c r="ST56" s="175"/>
      <c r="SU56" s="175"/>
      <c r="SV56" s="175"/>
      <c r="SW56" s="175"/>
      <c r="SX56" s="175"/>
      <c r="SY56" s="175"/>
      <c r="SZ56" s="175"/>
      <c r="TA56" s="175"/>
      <c r="TB56" s="175"/>
      <c r="TC56" s="175"/>
      <c r="TD56" s="175"/>
      <c r="TE56" s="175"/>
      <c r="TF56" s="175"/>
      <c r="TG56" s="175"/>
      <c r="TH56" s="175"/>
      <c r="TI56" s="175"/>
      <c r="TJ56" s="175"/>
      <c r="TK56" s="175"/>
      <c r="TL56" s="175"/>
      <c r="TM56" s="175"/>
      <c r="TN56" s="175"/>
      <c r="TO56" s="175"/>
      <c r="TP56" s="175"/>
      <c r="TQ56" s="175"/>
      <c r="TR56" s="175"/>
      <c r="TS56" s="175"/>
      <c r="TT56" s="175"/>
      <c r="TU56" s="175"/>
      <c r="TV56" s="175"/>
      <c r="TW56" s="175"/>
      <c r="TX56" s="175"/>
      <c r="TY56" s="175"/>
      <c r="TZ56" s="175"/>
      <c r="UA56" s="175"/>
      <c r="UB56" s="175"/>
      <c r="UC56" s="175"/>
      <c r="UD56" s="175"/>
      <c r="UE56" s="175"/>
      <c r="UF56" s="175"/>
      <c r="UG56" s="175"/>
      <c r="UH56" s="175"/>
      <c r="UI56" s="175"/>
      <c r="UJ56" s="175"/>
      <c r="UK56" s="175"/>
      <c r="UL56" s="175"/>
      <c r="UM56" s="175"/>
      <c r="UN56" s="175"/>
      <c r="UO56" s="175"/>
      <c r="UP56" s="175"/>
      <c r="UQ56" s="175"/>
      <c r="UR56" s="175"/>
      <c r="US56" s="175"/>
      <c r="UT56" s="175"/>
      <c r="UU56" s="175"/>
      <c r="UV56" s="175"/>
      <c r="UW56" s="175"/>
      <c r="UX56" s="175"/>
      <c r="UY56" s="175"/>
      <c r="UZ56" s="175"/>
      <c r="VA56" s="175"/>
      <c r="VB56" s="175"/>
      <c r="VC56" s="175"/>
      <c r="VD56" s="175"/>
      <c r="VE56" s="175"/>
      <c r="VF56" s="175"/>
      <c r="VG56" s="175"/>
      <c r="VH56" s="175"/>
      <c r="VI56" s="175"/>
      <c r="VJ56" s="175"/>
      <c r="VK56" s="175"/>
      <c r="VL56" s="175"/>
      <c r="VM56" s="175"/>
      <c r="VN56" s="175"/>
      <c r="VO56" s="175"/>
      <c r="VP56" s="175"/>
      <c r="VQ56" s="175"/>
      <c r="VR56" s="175"/>
      <c r="VS56" s="175"/>
      <c r="VT56" s="175"/>
      <c r="VU56" s="175"/>
      <c r="VV56" s="175"/>
      <c r="VW56" s="175"/>
      <c r="VX56" s="175"/>
      <c r="VY56" s="175"/>
      <c r="VZ56" s="175"/>
      <c r="WA56" s="175"/>
      <c r="WB56" s="175"/>
      <c r="WC56" s="175"/>
      <c r="WD56" s="175"/>
      <c r="WE56" s="175"/>
      <c r="WF56" s="175"/>
      <c r="WG56" s="175"/>
      <c r="WH56" s="175"/>
      <c r="WI56" s="175"/>
      <c r="WJ56" s="175"/>
      <c r="WK56" s="175"/>
      <c r="WL56" s="175"/>
      <c r="WM56" s="175"/>
      <c r="WN56" s="175"/>
      <c r="WO56" s="175"/>
      <c r="WP56" s="175"/>
      <c r="WQ56" s="175"/>
      <c r="WR56" s="175"/>
      <c r="WS56" s="175"/>
      <c r="WT56" s="175"/>
      <c r="WU56" s="175"/>
      <c r="WV56" s="175"/>
      <c r="WW56" s="175"/>
      <c r="WX56" s="175"/>
      <c r="WY56" s="175"/>
      <c r="WZ56" s="175"/>
      <c r="XA56" s="175"/>
      <c r="XB56" s="175"/>
      <c r="XC56" s="175"/>
      <c r="XD56" s="175"/>
      <c r="XE56" s="175"/>
      <c r="XF56" s="175"/>
      <c r="XG56" s="175"/>
      <c r="XH56" s="175"/>
      <c r="XI56" s="175"/>
      <c r="XJ56" s="175"/>
      <c r="XK56" s="175"/>
      <c r="XL56" s="175"/>
      <c r="XM56" s="175"/>
      <c r="XN56" s="175"/>
      <c r="XO56" s="175"/>
      <c r="XP56" s="175"/>
      <c r="XQ56" s="175"/>
      <c r="XR56" s="175"/>
      <c r="XS56" s="175"/>
      <c r="XT56" s="175"/>
      <c r="XU56" s="175"/>
      <c r="XV56" s="175"/>
      <c r="XW56" s="175"/>
      <c r="XX56" s="175"/>
      <c r="XY56" s="175"/>
      <c r="XZ56" s="175"/>
      <c r="YA56" s="175"/>
      <c r="YB56" s="175"/>
      <c r="YC56" s="175"/>
      <c r="YD56" s="175"/>
      <c r="YE56" s="175"/>
      <c r="YF56" s="175"/>
      <c r="YG56" s="175"/>
      <c r="YH56" s="175"/>
      <c r="YI56" s="175"/>
      <c r="YJ56" s="175"/>
      <c r="YK56" s="175"/>
      <c r="YL56" s="175"/>
      <c r="YM56" s="175"/>
      <c r="YN56" s="175"/>
      <c r="YO56" s="175"/>
      <c r="YP56" s="175"/>
      <c r="YQ56" s="175"/>
      <c r="YR56" s="175"/>
      <c r="YS56" s="175"/>
      <c r="YT56" s="175"/>
      <c r="YU56" s="175"/>
      <c r="YV56" s="175"/>
      <c r="YW56" s="175"/>
      <c r="YX56" s="175"/>
      <c r="YY56" s="175"/>
      <c r="YZ56" s="175"/>
      <c r="ZA56" s="175"/>
      <c r="ZB56" s="175"/>
      <c r="ZC56" s="175"/>
      <c r="ZD56" s="175"/>
      <c r="ZE56" s="175"/>
      <c r="ZF56" s="175"/>
      <c r="ZG56" s="175"/>
      <c r="ZH56" s="175"/>
      <c r="ZI56" s="175"/>
      <c r="ZJ56" s="175"/>
      <c r="ZK56" s="175"/>
      <c r="ZL56" s="175"/>
      <c r="ZM56" s="175"/>
      <c r="ZN56" s="175"/>
      <c r="ZO56" s="175"/>
      <c r="ZP56" s="175"/>
      <c r="ZQ56" s="175"/>
      <c r="ZR56" s="175"/>
      <c r="ZS56" s="175"/>
      <c r="ZT56" s="175"/>
      <c r="ZU56" s="175"/>
      <c r="ZV56" s="175"/>
      <c r="ZW56" s="175"/>
      <c r="ZX56" s="175"/>
      <c r="ZY56" s="175"/>
      <c r="ZZ56" s="175"/>
      <c r="AAA56" s="175"/>
      <c r="AAB56" s="175"/>
      <c r="AAC56" s="175"/>
      <c r="AAD56" s="175"/>
      <c r="AAE56" s="175"/>
      <c r="AAF56" s="175"/>
      <c r="AAG56" s="175"/>
      <c r="AAH56" s="175"/>
      <c r="AAI56" s="175"/>
      <c r="AAJ56" s="175"/>
      <c r="AAK56" s="175"/>
      <c r="AAL56" s="175"/>
      <c r="AAM56" s="175"/>
      <c r="AAN56" s="175"/>
      <c r="AAO56" s="175"/>
      <c r="AAP56" s="175"/>
      <c r="AAQ56" s="175"/>
      <c r="AAR56" s="175"/>
      <c r="AAS56" s="175"/>
      <c r="AAT56" s="175"/>
      <c r="AAU56" s="175"/>
      <c r="AAV56" s="175"/>
      <c r="AAW56" s="175"/>
      <c r="AAX56" s="175"/>
      <c r="AAY56" s="175"/>
      <c r="AAZ56" s="175"/>
      <c r="ABA56" s="175"/>
      <c r="ABB56" s="175"/>
      <c r="ABC56" s="175"/>
      <c r="ABD56" s="175"/>
      <c r="ABE56" s="175"/>
      <c r="ABF56" s="175"/>
      <c r="ABG56" s="175"/>
      <c r="ABH56" s="175"/>
      <c r="ABI56" s="175"/>
      <c r="ABJ56" s="175"/>
      <c r="ABK56" s="175"/>
      <c r="ABL56" s="175"/>
      <c r="ABM56" s="175"/>
      <c r="ABN56" s="175"/>
      <c r="ABO56" s="175"/>
      <c r="ABP56" s="175"/>
      <c r="ABQ56" s="175"/>
      <c r="ABR56" s="175"/>
      <c r="ABS56" s="175"/>
      <c r="ABT56" s="175"/>
      <c r="ABU56" s="175"/>
      <c r="ABV56" s="175"/>
      <c r="ABW56" s="175"/>
      <c r="ABX56" s="175"/>
      <c r="ABY56" s="175"/>
      <c r="ABZ56" s="175"/>
      <c r="ACA56" s="175"/>
      <c r="ACB56" s="175"/>
      <c r="ACC56" s="175"/>
      <c r="ACD56" s="175"/>
      <c r="ACE56" s="175"/>
    </row>
    <row r="57" spans="1:759" s="48" customFormat="1" ht="15" customHeight="1">
      <c r="A57" s="2"/>
      <c r="B57"/>
      <c r="C57" s="421" t="s">
        <v>1251</v>
      </c>
      <c r="D57" s="357">
        <v>1450022</v>
      </c>
      <c r="E57" s="357">
        <v>103</v>
      </c>
      <c r="F57" s="357" t="s">
        <v>1252</v>
      </c>
      <c r="G57" s="357" t="s">
        <v>1253</v>
      </c>
      <c r="H57" s="357" t="s">
        <v>901</v>
      </c>
      <c r="I57" s="357" t="s">
        <v>1241</v>
      </c>
      <c r="J57" s="357" t="s">
        <v>1242</v>
      </c>
      <c r="K57" s="426" t="s">
        <v>1252</v>
      </c>
      <c r="L57" s="426">
        <v>287573</v>
      </c>
      <c r="M57" s="357"/>
      <c r="N57" s="357"/>
      <c r="O57" s="359">
        <v>65</v>
      </c>
      <c r="P57" s="358"/>
      <c r="Q57" s="401">
        <v>2185</v>
      </c>
      <c r="R57" s="401"/>
      <c r="S57" s="358"/>
      <c r="T57" s="402">
        <f t="shared" si="31"/>
        <v>2185</v>
      </c>
      <c r="U57" s="403">
        <v>289</v>
      </c>
      <c r="V57" s="404">
        <v>46048</v>
      </c>
      <c r="W57" s="405" t="s">
        <v>1243</v>
      </c>
      <c r="X57" s="144">
        <f t="shared" si="0"/>
        <v>2194.1999999999998</v>
      </c>
      <c r="Y57" s="406"/>
      <c r="Z57" s="406"/>
      <c r="AA57" s="406">
        <v>2194.1999999999998</v>
      </c>
      <c r="AB57" s="148">
        <v>290</v>
      </c>
      <c r="AC57" s="407">
        <v>46079</v>
      </c>
      <c r="AD57" s="148" t="s">
        <v>1244</v>
      </c>
      <c r="AE57" s="164" t="b">
        <v>1</v>
      </c>
      <c r="AF57" s="164" t="b">
        <v>1</v>
      </c>
      <c r="AG57" s="408">
        <f t="shared" si="33"/>
        <v>3.4602076124567475E-3</v>
      </c>
      <c r="AH57" s="409">
        <f>(X57-Q57)/Q57</f>
        <v>4.2105263157893903E-3</v>
      </c>
      <c r="AI57" s="371">
        <v>1982.72</v>
      </c>
      <c r="AJ57" s="364">
        <v>0</v>
      </c>
      <c r="AK57" s="364"/>
      <c r="AL57" s="364">
        <v>1982.72</v>
      </c>
      <c r="AM57" s="148">
        <v>267</v>
      </c>
      <c r="AN57" s="407">
        <v>46107</v>
      </c>
      <c r="AO57" s="148" t="s">
        <v>1245</v>
      </c>
      <c r="AP57" s="164" t="b">
        <v>1</v>
      </c>
      <c r="AQ57" s="164" t="b">
        <v>1</v>
      </c>
      <c r="AR57" s="438">
        <f t="shared" si="34"/>
        <v>-7.9310344827586213E-2</v>
      </c>
      <c r="AS57" s="438">
        <f t="shared" si="35"/>
        <v>-9.6381369063895633E-2</v>
      </c>
      <c r="AT57" s="402">
        <f t="shared" si="62"/>
        <v>0</v>
      </c>
      <c r="AU57" s="402"/>
      <c r="AV57" s="402"/>
      <c r="AW57" s="402"/>
      <c r="AX57" s="148"/>
      <c r="AY57" s="926">
        <v>46138</v>
      </c>
      <c r="AZ57" s="148"/>
      <c r="BA57" s="164" t="b">
        <v>0</v>
      </c>
      <c r="BB57" s="164" t="b">
        <v>0</v>
      </c>
      <c r="BC57" s="438">
        <f t="shared" si="36"/>
        <v>-1</v>
      </c>
      <c r="BD57" s="438">
        <f t="shared" si="37"/>
        <v>-1</v>
      </c>
      <c r="BE57" s="364">
        <f t="shared" si="38"/>
        <v>0</v>
      </c>
      <c r="BF57" s="364"/>
      <c r="BG57" s="364"/>
      <c r="BH57" s="364"/>
      <c r="BI57" s="148"/>
      <c r="BJ57" s="1196">
        <v>46168</v>
      </c>
      <c r="BK57" s="148"/>
      <c r="BL57" s="164" t="b">
        <v>0</v>
      </c>
      <c r="BM57" s="164" t="b">
        <v>0</v>
      </c>
      <c r="BN57" s="357" t="e">
        <f t="shared" si="39"/>
        <v>#DIV/0!</v>
      </c>
      <c r="BO57" s="357" t="e">
        <f t="shared" si="40"/>
        <v>#DIV/0!</v>
      </c>
      <c r="BP57" s="401">
        <f t="shared" si="41"/>
        <v>0</v>
      </c>
      <c r="BQ57" s="358"/>
      <c r="BR57" s="358"/>
      <c r="BS57" s="358"/>
      <c r="BT57" s="358"/>
      <c r="BU57" s="1196">
        <v>46199</v>
      </c>
      <c r="BV57" s="358"/>
      <c r="BW57" s="164" t="b">
        <v>0</v>
      </c>
      <c r="BX57" s="164" t="b">
        <v>0</v>
      </c>
      <c r="BY57" s="438" t="e">
        <f t="shared" si="42"/>
        <v>#DIV/0!</v>
      </c>
      <c r="BZ57" s="438" t="e">
        <f t="shared" si="43"/>
        <v>#DIV/0!</v>
      </c>
      <c r="CA57" s="401">
        <f t="shared" si="44"/>
        <v>0</v>
      </c>
      <c r="CB57" s="358"/>
      <c r="CC57" s="358"/>
      <c r="CD57" s="358"/>
      <c r="CE57" s="358"/>
      <c r="CF57" s="404"/>
      <c r="CG57" s="358"/>
      <c r="CH57" s="164" t="b">
        <v>0</v>
      </c>
      <c r="CI57" s="164" t="b">
        <v>0</v>
      </c>
      <c r="CJ57" s="438" t="e">
        <f t="shared" si="45"/>
        <v>#DIV/0!</v>
      </c>
      <c r="CK57" s="438" t="e">
        <f t="shared" si="46"/>
        <v>#DIV/0!</v>
      </c>
      <c r="CL57" s="401">
        <f t="shared" si="47"/>
        <v>0</v>
      </c>
      <c r="CM57" s="358"/>
      <c r="CN57" s="358"/>
      <c r="CO57" s="358"/>
      <c r="CP57" s="358"/>
      <c r="CQ57" s="404"/>
      <c r="CR57" s="358"/>
      <c r="CS57" s="164" t="b">
        <v>0</v>
      </c>
      <c r="CT57" s="164" t="b">
        <v>0</v>
      </c>
      <c r="CU57" s="358" t="e">
        <f t="shared" si="48"/>
        <v>#DIV/0!</v>
      </c>
      <c r="CV57" s="358" t="e">
        <f t="shared" si="49"/>
        <v>#DIV/0!</v>
      </c>
      <c r="CW57" s="401">
        <f t="shared" si="50"/>
        <v>0</v>
      </c>
      <c r="CX57" s="358"/>
      <c r="CY57" s="358"/>
      <c r="CZ57" s="358"/>
      <c r="DA57" s="358"/>
      <c r="DB57" s="404"/>
      <c r="DC57" s="358"/>
      <c r="DD57" s="164" t="b">
        <v>0</v>
      </c>
      <c r="DE57" s="164" t="b">
        <v>0</v>
      </c>
      <c r="DF57" s="438" t="e">
        <f t="shared" si="51"/>
        <v>#DIV/0!</v>
      </c>
      <c r="DG57" s="438" t="e">
        <f t="shared" si="52"/>
        <v>#DIV/0!</v>
      </c>
      <c r="DH57" s="401">
        <f t="shared" si="53"/>
        <v>0</v>
      </c>
      <c r="DI57" s="358"/>
      <c r="DJ57" s="358"/>
      <c r="DK57" s="358"/>
      <c r="DL57" s="358"/>
      <c r="DM57" s="358"/>
      <c r="DN57" s="404"/>
      <c r="DO57" s="358"/>
      <c r="DP57" s="164" t="b">
        <v>0</v>
      </c>
      <c r="DQ57" s="164" t="b">
        <v>0</v>
      </c>
      <c r="DR57" s="438" t="e">
        <f t="shared" si="54"/>
        <v>#DIV/0!</v>
      </c>
      <c r="DS57" s="883">
        <f t="shared" si="55"/>
        <v>0</v>
      </c>
      <c r="DT57" s="358"/>
      <c r="DU57" s="358"/>
      <c r="DV57" s="358"/>
      <c r="DW57" s="358"/>
      <c r="DX57" s="358"/>
      <c r="DY57" s="404"/>
      <c r="DZ57" s="358"/>
      <c r="EA57" s="164" t="b">
        <v>0</v>
      </c>
      <c r="EB57" s="164" t="b">
        <v>0</v>
      </c>
      <c r="EC57" s="438" t="e">
        <f t="shared" si="56"/>
        <v>#DIV/0!</v>
      </c>
      <c r="ED57" s="883">
        <f t="shared" si="57"/>
        <v>0</v>
      </c>
      <c r="EE57" s="358"/>
      <c r="EF57" s="358"/>
      <c r="EG57" s="358"/>
      <c r="EH57" s="358"/>
      <c r="EI57" s="358"/>
      <c r="EJ57" s="404"/>
      <c r="EK57" s="358"/>
      <c r="EL57" s="164" t="b">
        <v>0</v>
      </c>
      <c r="EM57" s="164" t="b">
        <v>0</v>
      </c>
      <c r="EN57" s="438" t="e">
        <f t="shared" si="58"/>
        <v>#DIV/0!</v>
      </c>
      <c r="EO57" s="883">
        <f t="shared" si="59"/>
        <v>0</v>
      </c>
      <c r="EP57" s="358"/>
      <c r="EQ57" s="358"/>
      <c r="ER57" s="358"/>
      <c r="ES57" s="358"/>
      <c r="ET57" s="358"/>
      <c r="EU57" s="404"/>
      <c r="EV57" s="358"/>
      <c r="EW57" s="164" t="b">
        <v>0</v>
      </c>
      <c r="EX57" s="164" t="b">
        <v>0</v>
      </c>
      <c r="EY57" s="438" t="e">
        <f t="shared" si="60"/>
        <v>#DIV/0!</v>
      </c>
      <c r="EZ57" s="438" t="e">
        <f t="shared" si="61"/>
        <v>#DIV/0!</v>
      </c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  <c r="IR57" s="175"/>
      <c r="IS57" s="175"/>
      <c r="IT57" s="175"/>
      <c r="IU57" s="175"/>
      <c r="IV57" s="175"/>
      <c r="IW57" s="175"/>
      <c r="IX57" s="175"/>
      <c r="IY57" s="175"/>
      <c r="IZ57" s="175"/>
      <c r="JA57" s="175"/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175"/>
      <c r="JO57" s="175"/>
      <c r="JP57" s="175"/>
      <c r="JQ57" s="175"/>
      <c r="JR57" s="175"/>
      <c r="JS57" s="175"/>
      <c r="JT57" s="175"/>
      <c r="JU57" s="175"/>
      <c r="JV57" s="175"/>
      <c r="JW57" s="175"/>
      <c r="JX57" s="175"/>
      <c r="JY57" s="175"/>
      <c r="JZ57" s="175"/>
      <c r="KA57" s="175"/>
      <c r="KB57" s="175"/>
      <c r="KC57" s="175"/>
      <c r="KD57" s="175"/>
      <c r="KE57" s="175"/>
      <c r="KF57" s="175"/>
      <c r="KG57" s="175"/>
      <c r="KH57" s="175"/>
      <c r="KI57" s="175"/>
      <c r="KJ57" s="175"/>
      <c r="KK57" s="175"/>
      <c r="KL57" s="175"/>
      <c r="KM57" s="175"/>
      <c r="KN57" s="175"/>
      <c r="KO57" s="175"/>
      <c r="KP57" s="175"/>
      <c r="KQ57" s="175"/>
      <c r="KR57" s="175"/>
      <c r="KS57" s="175"/>
      <c r="KT57" s="175"/>
      <c r="KU57" s="175"/>
      <c r="KV57" s="175"/>
      <c r="KW57" s="175"/>
      <c r="KX57" s="175"/>
      <c r="KY57" s="175"/>
      <c r="KZ57" s="175"/>
      <c r="LA57" s="175"/>
      <c r="LB57" s="175"/>
      <c r="LC57" s="175"/>
      <c r="LD57" s="175"/>
      <c r="LE57" s="175"/>
      <c r="LF57" s="175"/>
      <c r="LG57" s="175"/>
      <c r="LH57" s="175"/>
      <c r="LI57" s="175"/>
      <c r="LJ57" s="175"/>
      <c r="LK57" s="175"/>
      <c r="LL57" s="175"/>
      <c r="LM57" s="175"/>
      <c r="LN57" s="175"/>
      <c r="LO57" s="175"/>
      <c r="LP57" s="175"/>
      <c r="LQ57" s="175"/>
      <c r="LR57" s="175"/>
      <c r="LS57" s="175"/>
      <c r="LT57" s="175"/>
      <c r="LU57" s="175"/>
      <c r="LV57" s="175"/>
      <c r="LW57" s="175"/>
      <c r="LX57" s="175"/>
      <c r="LY57" s="175"/>
      <c r="LZ57" s="175"/>
      <c r="MA57" s="175"/>
      <c r="MB57" s="175"/>
      <c r="MC57" s="175"/>
      <c r="MD57" s="175"/>
      <c r="ME57" s="175"/>
      <c r="MF57" s="175"/>
      <c r="MG57" s="175"/>
      <c r="MH57" s="175"/>
      <c r="MI57" s="175"/>
      <c r="MJ57" s="175"/>
      <c r="MK57" s="175"/>
      <c r="ML57" s="175"/>
      <c r="MM57" s="175"/>
      <c r="MN57" s="175"/>
      <c r="MO57" s="175"/>
      <c r="MP57" s="175"/>
      <c r="MQ57" s="175"/>
      <c r="MR57" s="175"/>
      <c r="MS57" s="175"/>
      <c r="MT57" s="175"/>
      <c r="MU57" s="175"/>
      <c r="MV57" s="175"/>
      <c r="MW57" s="175"/>
      <c r="MX57" s="175"/>
      <c r="MY57" s="175"/>
      <c r="MZ57" s="175"/>
      <c r="NA57" s="175"/>
      <c r="NB57" s="175"/>
      <c r="NC57" s="175"/>
      <c r="ND57" s="175"/>
      <c r="NE57" s="175"/>
      <c r="NF57" s="175"/>
      <c r="NG57" s="175"/>
      <c r="NH57" s="175"/>
      <c r="NI57" s="175"/>
      <c r="NJ57" s="175"/>
      <c r="NK57" s="175"/>
      <c r="NL57" s="175"/>
      <c r="NM57" s="175"/>
      <c r="NN57" s="175"/>
      <c r="NO57" s="175"/>
      <c r="NP57" s="175"/>
      <c r="NQ57" s="175"/>
      <c r="NR57" s="175"/>
      <c r="NS57" s="175"/>
      <c r="NT57" s="175"/>
      <c r="NU57" s="175"/>
      <c r="NV57" s="175"/>
      <c r="NW57" s="175"/>
      <c r="NX57" s="175"/>
      <c r="NY57" s="175"/>
      <c r="NZ57" s="175"/>
      <c r="OA57" s="175"/>
      <c r="OB57" s="175"/>
      <c r="OC57" s="175"/>
      <c r="OD57" s="175"/>
      <c r="OE57" s="175"/>
      <c r="OF57" s="175"/>
      <c r="OG57" s="175"/>
      <c r="OH57" s="175"/>
      <c r="OI57" s="175"/>
      <c r="OJ57" s="175"/>
      <c r="OK57" s="175"/>
      <c r="OL57" s="175"/>
      <c r="OM57" s="175"/>
      <c r="ON57" s="175"/>
      <c r="OO57" s="175"/>
      <c r="OP57" s="175"/>
      <c r="OQ57" s="175"/>
      <c r="OR57" s="175"/>
      <c r="OS57" s="175"/>
      <c r="OT57" s="175"/>
      <c r="OU57" s="175"/>
      <c r="OV57" s="175"/>
      <c r="OW57" s="175"/>
      <c r="OX57" s="175"/>
      <c r="OY57" s="175"/>
      <c r="OZ57" s="175"/>
      <c r="PA57" s="175"/>
      <c r="PB57" s="175"/>
      <c r="PC57" s="175"/>
      <c r="PD57" s="175"/>
      <c r="PE57" s="175"/>
      <c r="PF57" s="175"/>
      <c r="PG57" s="175"/>
      <c r="PH57" s="175"/>
      <c r="PI57" s="175"/>
      <c r="PJ57" s="175"/>
      <c r="PK57" s="175"/>
      <c r="PL57" s="175"/>
      <c r="PM57" s="175"/>
      <c r="PN57" s="175"/>
      <c r="PO57" s="175"/>
      <c r="PP57" s="175"/>
      <c r="PQ57" s="175"/>
      <c r="PR57" s="175"/>
      <c r="PS57" s="175"/>
      <c r="PT57" s="175"/>
      <c r="PU57" s="175"/>
      <c r="PV57" s="175"/>
      <c r="PW57" s="175"/>
      <c r="PX57" s="175"/>
      <c r="PY57" s="175"/>
      <c r="PZ57" s="175"/>
      <c r="QA57" s="175"/>
      <c r="QB57" s="175"/>
      <c r="QC57" s="175"/>
      <c r="QD57" s="175"/>
      <c r="QE57" s="175"/>
      <c r="QF57" s="175"/>
      <c r="QG57" s="175"/>
      <c r="QH57" s="175"/>
      <c r="QI57" s="175"/>
      <c r="QJ57" s="175"/>
      <c r="QK57" s="175"/>
      <c r="QL57" s="175"/>
      <c r="QM57" s="175"/>
      <c r="QN57" s="175"/>
      <c r="QO57" s="175"/>
      <c r="QP57" s="175"/>
      <c r="QQ57" s="175"/>
      <c r="QR57" s="175"/>
      <c r="QS57" s="175"/>
      <c r="QT57" s="175"/>
      <c r="QU57" s="175"/>
      <c r="QV57" s="175"/>
      <c r="QW57" s="175"/>
      <c r="QX57" s="175"/>
      <c r="QY57" s="175"/>
      <c r="QZ57" s="175"/>
      <c r="RA57" s="175"/>
      <c r="RB57" s="175"/>
      <c r="RC57" s="175"/>
      <c r="RD57" s="175"/>
      <c r="RE57" s="175"/>
      <c r="RF57" s="175"/>
      <c r="RG57" s="175"/>
      <c r="RH57" s="175"/>
      <c r="RI57" s="175"/>
      <c r="RJ57" s="175"/>
      <c r="RK57" s="175"/>
      <c r="RL57" s="175"/>
      <c r="RM57" s="175"/>
      <c r="RN57" s="175"/>
      <c r="RO57" s="175"/>
      <c r="RP57" s="175"/>
      <c r="RQ57" s="175"/>
      <c r="RR57" s="175"/>
      <c r="RS57" s="175"/>
      <c r="RT57" s="175"/>
      <c r="RU57" s="175"/>
      <c r="RV57" s="175"/>
      <c r="RW57" s="175"/>
      <c r="RX57" s="175"/>
      <c r="RY57" s="175"/>
      <c r="RZ57" s="175"/>
      <c r="SA57" s="175"/>
      <c r="SB57" s="175"/>
      <c r="SC57" s="175"/>
      <c r="SD57" s="175"/>
      <c r="SE57" s="175"/>
      <c r="SF57" s="175"/>
      <c r="SG57" s="175"/>
      <c r="SH57" s="175"/>
      <c r="SI57" s="175"/>
      <c r="SJ57" s="175"/>
      <c r="SK57" s="175"/>
      <c r="SL57" s="175"/>
      <c r="SM57" s="175"/>
      <c r="SN57" s="175"/>
      <c r="SO57" s="175"/>
      <c r="SP57" s="175"/>
      <c r="SQ57" s="175"/>
      <c r="SR57" s="175"/>
      <c r="SS57" s="175"/>
      <c r="ST57" s="175"/>
      <c r="SU57" s="175"/>
      <c r="SV57" s="175"/>
      <c r="SW57" s="175"/>
      <c r="SX57" s="175"/>
      <c r="SY57" s="175"/>
      <c r="SZ57" s="175"/>
      <c r="TA57" s="175"/>
      <c r="TB57" s="175"/>
      <c r="TC57" s="175"/>
      <c r="TD57" s="175"/>
      <c r="TE57" s="175"/>
      <c r="TF57" s="175"/>
      <c r="TG57" s="175"/>
      <c r="TH57" s="175"/>
      <c r="TI57" s="175"/>
      <c r="TJ57" s="175"/>
      <c r="TK57" s="175"/>
      <c r="TL57" s="175"/>
      <c r="TM57" s="175"/>
      <c r="TN57" s="175"/>
      <c r="TO57" s="175"/>
      <c r="TP57" s="175"/>
      <c r="TQ57" s="175"/>
      <c r="TR57" s="175"/>
      <c r="TS57" s="175"/>
      <c r="TT57" s="175"/>
      <c r="TU57" s="175"/>
      <c r="TV57" s="175"/>
      <c r="TW57" s="175"/>
      <c r="TX57" s="175"/>
      <c r="TY57" s="175"/>
      <c r="TZ57" s="175"/>
      <c r="UA57" s="175"/>
      <c r="UB57" s="175"/>
      <c r="UC57" s="175"/>
      <c r="UD57" s="175"/>
      <c r="UE57" s="175"/>
      <c r="UF57" s="175"/>
      <c r="UG57" s="175"/>
      <c r="UH57" s="175"/>
      <c r="UI57" s="175"/>
      <c r="UJ57" s="175"/>
      <c r="UK57" s="175"/>
      <c r="UL57" s="175"/>
      <c r="UM57" s="175"/>
      <c r="UN57" s="175"/>
      <c r="UO57" s="175"/>
      <c r="UP57" s="175"/>
      <c r="UQ57" s="175"/>
      <c r="UR57" s="175"/>
      <c r="US57" s="175"/>
      <c r="UT57" s="175"/>
      <c r="UU57" s="175"/>
      <c r="UV57" s="175"/>
      <c r="UW57" s="175"/>
      <c r="UX57" s="175"/>
      <c r="UY57" s="175"/>
      <c r="UZ57" s="175"/>
      <c r="VA57" s="175"/>
      <c r="VB57" s="175"/>
      <c r="VC57" s="175"/>
      <c r="VD57" s="175"/>
      <c r="VE57" s="175"/>
      <c r="VF57" s="175"/>
      <c r="VG57" s="175"/>
      <c r="VH57" s="175"/>
      <c r="VI57" s="175"/>
      <c r="VJ57" s="175"/>
      <c r="VK57" s="175"/>
      <c r="VL57" s="175"/>
      <c r="VM57" s="175"/>
      <c r="VN57" s="175"/>
      <c r="VO57" s="175"/>
      <c r="VP57" s="175"/>
      <c r="VQ57" s="175"/>
      <c r="VR57" s="175"/>
      <c r="VS57" s="175"/>
      <c r="VT57" s="175"/>
      <c r="VU57" s="175"/>
      <c r="VV57" s="175"/>
      <c r="VW57" s="175"/>
      <c r="VX57" s="175"/>
      <c r="VY57" s="175"/>
      <c r="VZ57" s="175"/>
      <c r="WA57" s="175"/>
      <c r="WB57" s="175"/>
      <c r="WC57" s="175"/>
      <c r="WD57" s="175"/>
      <c r="WE57" s="175"/>
      <c r="WF57" s="175"/>
      <c r="WG57" s="175"/>
      <c r="WH57" s="175"/>
      <c r="WI57" s="175"/>
      <c r="WJ57" s="175"/>
      <c r="WK57" s="175"/>
      <c r="WL57" s="175"/>
      <c r="WM57" s="175"/>
      <c r="WN57" s="175"/>
      <c r="WO57" s="175"/>
      <c r="WP57" s="175"/>
      <c r="WQ57" s="175"/>
      <c r="WR57" s="175"/>
      <c r="WS57" s="175"/>
      <c r="WT57" s="175"/>
      <c r="WU57" s="175"/>
      <c r="WV57" s="175"/>
      <c r="WW57" s="175"/>
      <c r="WX57" s="175"/>
      <c r="WY57" s="175"/>
      <c r="WZ57" s="175"/>
      <c r="XA57" s="175"/>
      <c r="XB57" s="175"/>
      <c r="XC57" s="175"/>
      <c r="XD57" s="175"/>
      <c r="XE57" s="175"/>
      <c r="XF57" s="175"/>
      <c r="XG57" s="175"/>
      <c r="XH57" s="175"/>
      <c r="XI57" s="175"/>
      <c r="XJ57" s="175"/>
      <c r="XK57" s="175"/>
      <c r="XL57" s="175"/>
      <c r="XM57" s="175"/>
      <c r="XN57" s="175"/>
      <c r="XO57" s="175"/>
      <c r="XP57" s="175"/>
      <c r="XQ57" s="175"/>
      <c r="XR57" s="175"/>
      <c r="XS57" s="175"/>
      <c r="XT57" s="175"/>
      <c r="XU57" s="175"/>
      <c r="XV57" s="175"/>
      <c r="XW57" s="175"/>
      <c r="XX57" s="175"/>
      <c r="XY57" s="175"/>
      <c r="XZ57" s="175"/>
      <c r="YA57" s="175"/>
      <c r="YB57" s="175"/>
      <c r="YC57" s="175"/>
      <c r="YD57" s="175"/>
      <c r="YE57" s="175"/>
      <c r="YF57" s="175"/>
      <c r="YG57" s="175"/>
      <c r="YH57" s="175"/>
      <c r="YI57" s="175"/>
      <c r="YJ57" s="175"/>
      <c r="YK57" s="175"/>
      <c r="YL57" s="175"/>
      <c r="YM57" s="175"/>
      <c r="YN57" s="175"/>
      <c r="YO57" s="175"/>
      <c r="YP57" s="175"/>
      <c r="YQ57" s="175"/>
      <c r="YR57" s="175"/>
      <c r="YS57" s="175"/>
      <c r="YT57" s="175"/>
      <c r="YU57" s="175"/>
      <c r="YV57" s="175"/>
      <c r="YW57" s="175"/>
      <c r="YX57" s="175"/>
      <c r="YY57" s="175"/>
      <c r="YZ57" s="175"/>
      <c r="ZA57" s="175"/>
      <c r="ZB57" s="175"/>
      <c r="ZC57" s="175"/>
      <c r="ZD57" s="175"/>
      <c r="ZE57" s="175"/>
      <c r="ZF57" s="175"/>
      <c r="ZG57" s="175"/>
      <c r="ZH57" s="175"/>
      <c r="ZI57" s="175"/>
      <c r="ZJ57" s="175"/>
      <c r="ZK57" s="175"/>
      <c r="ZL57" s="175"/>
      <c r="ZM57" s="175"/>
      <c r="ZN57" s="175"/>
      <c r="ZO57" s="175"/>
      <c r="ZP57" s="175"/>
      <c r="ZQ57" s="175"/>
      <c r="ZR57" s="175"/>
      <c r="ZS57" s="175"/>
      <c r="ZT57" s="175"/>
      <c r="ZU57" s="175"/>
      <c r="ZV57" s="175"/>
      <c r="ZW57" s="175"/>
      <c r="ZX57" s="175"/>
      <c r="ZY57" s="175"/>
      <c r="ZZ57" s="175"/>
      <c r="AAA57" s="175"/>
      <c r="AAB57" s="175"/>
      <c r="AAC57" s="175"/>
      <c r="AAD57" s="175"/>
      <c r="AAE57" s="175"/>
      <c r="AAF57" s="175"/>
      <c r="AAG57" s="175"/>
      <c r="AAH57" s="175"/>
      <c r="AAI57" s="175"/>
      <c r="AAJ57" s="175"/>
      <c r="AAK57" s="175"/>
      <c r="AAL57" s="175"/>
      <c r="AAM57" s="175"/>
      <c r="AAN57" s="175"/>
      <c r="AAO57" s="175"/>
      <c r="AAP57" s="175"/>
      <c r="AAQ57" s="175"/>
      <c r="AAR57" s="175"/>
      <c r="AAS57" s="175"/>
      <c r="AAT57" s="175"/>
      <c r="AAU57" s="175"/>
      <c r="AAV57" s="175"/>
      <c r="AAW57" s="175"/>
      <c r="AAX57" s="175"/>
      <c r="AAY57" s="175"/>
      <c r="AAZ57" s="175"/>
      <c r="ABA57" s="175"/>
      <c r="ABB57" s="175"/>
      <c r="ABC57" s="175"/>
      <c r="ABD57" s="175"/>
      <c r="ABE57" s="175"/>
      <c r="ABF57" s="175"/>
      <c r="ABG57" s="175"/>
      <c r="ABH57" s="175"/>
      <c r="ABI57" s="175"/>
      <c r="ABJ57" s="175"/>
      <c r="ABK57" s="175"/>
      <c r="ABL57" s="175"/>
      <c r="ABM57" s="175"/>
      <c r="ABN57" s="175"/>
      <c r="ABO57" s="175"/>
      <c r="ABP57" s="175"/>
      <c r="ABQ57" s="175"/>
      <c r="ABR57" s="175"/>
      <c r="ABS57" s="175"/>
      <c r="ABT57" s="175"/>
      <c r="ABU57" s="175"/>
      <c r="ABV57" s="175"/>
      <c r="ABW57" s="175"/>
      <c r="ABX57" s="175"/>
      <c r="ABY57" s="175"/>
      <c r="ABZ57" s="175"/>
      <c r="ACA57" s="175"/>
      <c r="ACB57" s="175"/>
      <c r="ACC57" s="175"/>
      <c r="ACD57" s="175"/>
      <c r="ACE57" s="175"/>
    </row>
    <row r="58" spans="1:759" ht="15" customHeight="1">
      <c r="C58" s="195" t="s">
        <v>1254</v>
      </c>
      <c r="D58" s="154">
        <v>1450022</v>
      </c>
      <c r="E58" s="154">
        <v>199</v>
      </c>
      <c r="F58" s="154" t="s">
        <v>1255</v>
      </c>
      <c r="G58" s="154" t="s">
        <v>1256</v>
      </c>
      <c r="H58" s="154" t="s">
        <v>901</v>
      </c>
      <c r="I58" s="154" t="s">
        <v>1257</v>
      </c>
      <c r="J58" s="154" t="s">
        <v>1258</v>
      </c>
      <c r="K58" s="255" t="s">
        <v>1259</v>
      </c>
      <c r="L58" s="255" t="s">
        <v>1260</v>
      </c>
      <c r="M58" s="154"/>
      <c r="N58" s="154"/>
      <c r="O58" s="193">
        <v>35</v>
      </c>
      <c r="P58" s="176"/>
      <c r="Q58" s="348">
        <v>7396.37</v>
      </c>
      <c r="R58" s="348"/>
      <c r="S58" s="176"/>
      <c r="T58" s="203">
        <f t="shared" si="31"/>
        <v>7396.37</v>
      </c>
      <c r="U58" s="378">
        <v>549</v>
      </c>
      <c r="V58" s="186">
        <v>46040</v>
      </c>
      <c r="W58" s="383" t="s">
        <v>1261</v>
      </c>
      <c r="X58" s="475">
        <f t="shared" si="0"/>
        <v>9428.83</v>
      </c>
      <c r="Y58" s="170"/>
      <c r="Z58" s="170"/>
      <c r="AA58" s="170">
        <v>9428.83</v>
      </c>
      <c r="AB58" s="171">
        <v>620</v>
      </c>
      <c r="AC58" s="172">
        <v>46071</v>
      </c>
      <c r="AD58" s="171" t="s">
        <v>1262</v>
      </c>
      <c r="AE58" s="177" t="b">
        <v>1</v>
      </c>
      <c r="AF58" s="177" t="b">
        <v>1</v>
      </c>
      <c r="AG58" s="410">
        <f t="shared" si="33"/>
        <v>0.12932604735883424</v>
      </c>
      <c r="AH58" s="392">
        <f>(X58-Q58)/Q58</f>
        <v>0.27479155315377679</v>
      </c>
      <c r="AI58" s="371">
        <f t="shared" si="30"/>
        <v>8212.07</v>
      </c>
      <c r="AJ58" s="368"/>
      <c r="AK58" s="368"/>
      <c r="AL58" s="368">
        <v>8212.07</v>
      </c>
      <c r="AM58" s="171">
        <v>542</v>
      </c>
      <c r="AN58" s="172">
        <v>46099</v>
      </c>
      <c r="AO58" s="171" t="s">
        <v>1263</v>
      </c>
      <c r="AP58" s="177" t="b">
        <v>1</v>
      </c>
      <c r="AQ58" s="177" t="b">
        <v>1</v>
      </c>
      <c r="AR58" s="439">
        <f t="shared" si="34"/>
        <v>-0.12580645161290321</v>
      </c>
      <c r="AS58" s="439">
        <f t="shared" si="35"/>
        <v>-0.1290467640205625</v>
      </c>
      <c r="AT58" s="203">
        <v>8290.07</v>
      </c>
      <c r="AU58" s="203">
        <v>0</v>
      </c>
      <c r="AV58" s="203">
        <v>0</v>
      </c>
      <c r="AW58" s="203">
        <v>8290.07</v>
      </c>
      <c r="AX58" s="171">
        <v>547</v>
      </c>
      <c r="AY58" s="172">
        <v>46130</v>
      </c>
      <c r="AZ58" s="171" t="s">
        <v>1264</v>
      </c>
      <c r="BA58" s="177" t="b">
        <v>1</v>
      </c>
      <c r="BB58" s="177" t="b">
        <v>1</v>
      </c>
      <c r="BC58" s="439">
        <f t="shared" si="36"/>
        <v>9.2250922509225092E-3</v>
      </c>
      <c r="BD58" s="439">
        <f t="shared" si="37"/>
        <v>9.4982142139557989E-3</v>
      </c>
      <c r="BE58" s="368">
        <f t="shared" si="38"/>
        <v>0</v>
      </c>
      <c r="BF58" s="368"/>
      <c r="BG58" s="368"/>
      <c r="BH58" s="368"/>
      <c r="BI58" s="171"/>
      <c r="BJ58" s="1197">
        <v>46160</v>
      </c>
      <c r="BK58" s="171"/>
      <c r="BL58" s="177" t="b">
        <v>0</v>
      </c>
      <c r="BM58" s="177" t="b">
        <v>0</v>
      </c>
      <c r="BN58" s="154">
        <f t="shared" si="39"/>
        <v>-1</v>
      </c>
      <c r="BO58" s="154">
        <f t="shared" si="40"/>
        <v>-1</v>
      </c>
      <c r="BP58" s="348">
        <f t="shared" si="41"/>
        <v>0</v>
      </c>
      <c r="BQ58" s="176"/>
      <c r="BR58" s="176"/>
      <c r="BS58" s="176"/>
      <c r="BT58" s="176"/>
      <c r="BU58" s="1197">
        <v>46191</v>
      </c>
      <c r="BV58" s="176"/>
      <c r="BW58" s="177" t="b">
        <v>0</v>
      </c>
      <c r="BX58" s="177" t="b">
        <v>0</v>
      </c>
      <c r="BY58" s="439" t="e">
        <f t="shared" si="42"/>
        <v>#DIV/0!</v>
      </c>
      <c r="BZ58" s="439" t="e">
        <f t="shared" si="43"/>
        <v>#DIV/0!</v>
      </c>
      <c r="CA58" s="348">
        <f t="shared" si="44"/>
        <v>0</v>
      </c>
      <c r="CB58" s="176"/>
      <c r="CC58" s="176"/>
      <c r="CD58" s="176"/>
      <c r="CE58" s="176"/>
      <c r="CF58" s="186"/>
      <c r="CG58" s="176"/>
      <c r="CH58" s="177" t="b">
        <v>0</v>
      </c>
      <c r="CI58" s="177" t="b">
        <v>0</v>
      </c>
      <c r="CJ58" s="439" t="e">
        <f t="shared" si="45"/>
        <v>#DIV/0!</v>
      </c>
      <c r="CK58" s="439" t="e">
        <f t="shared" si="46"/>
        <v>#DIV/0!</v>
      </c>
      <c r="CL58" s="348">
        <f t="shared" si="47"/>
        <v>0</v>
      </c>
      <c r="CM58" s="176"/>
      <c r="CN58" s="176"/>
      <c r="CO58" s="176"/>
      <c r="CP58" s="176"/>
      <c r="CQ58" s="186"/>
      <c r="CR58" s="176"/>
      <c r="CS58" s="177" t="b">
        <v>0</v>
      </c>
      <c r="CT58" s="177" t="b">
        <v>0</v>
      </c>
      <c r="CU58" s="176" t="e">
        <f t="shared" si="48"/>
        <v>#DIV/0!</v>
      </c>
      <c r="CV58" s="176" t="e">
        <f t="shared" si="49"/>
        <v>#DIV/0!</v>
      </c>
      <c r="CW58" s="348">
        <f t="shared" si="50"/>
        <v>0</v>
      </c>
      <c r="CX58" s="176"/>
      <c r="CY58" s="176"/>
      <c r="CZ58" s="176"/>
      <c r="DA58" s="176"/>
      <c r="DB58" s="186"/>
      <c r="DC58" s="176"/>
      <c r="DD58" s="177" t="b">
        <v>0</v>
      </c>
      <c r="DE58" s="177" t="b">
        <v>0</v>
      </c>
      <c r="DF58" s="439" t="e">
        <f t="shared" si="51"/>
        <v>#DIV/0!</v>
      </c>
      <c r="DG58" s="439" t="e">
        <f t="shared" si="52"/>
        <v>#DIV/0!</v>
      </c>
      <c r="DH58" s="348">
        <f t="shared" si="53"/>
        <v>0</v>
      </c>
      <c r="DI58" s="176"/>
      <c r="DJ58" s="176"/>
      <c r="DK58" s="176"/>
      <c r="DL58" s="176"/>
      <c r="DM58" s="176"/>
      <c r="DN58" s="186"/>
      <c r="DO58" s="176"/>
      <c r="DP58" s="177" t="b">
        <v>0</v>
      </c>
      <c r="DQ58" s="177" t="b">
        <v>0</v>
      </c>
      <c r="DR58" s="439" t="e">
        <f t="shared" si="54"/>
        <v>#DIV/0!</v>
      </c>
      <c r="DS58" s="884">
        <f t="shared" si="55"/>
        <v>0</v>
      </c>
      <c r="DT58" s="176"/>
      <c r="DU58" s="176"/>
      <c r="DV58" s="176"/>
      <c r="DW58" s="176"/>
      <c r="DX58" s="176"/>
      <c r="DY58" s="186"/>
      <c r="DZ58" s="176"/>
      <c r="EA58" s="177" t="b">
        <v>0</v>
      </c>
      <c r="EB58" s="177" t="b">
        <v>0</v>
      </c>
      <c r="EC58" s="439" t="e">
        <f t="shared" si="56"/>
        <v>#DIV/0!</v>
      </c>
      <c r="ED58" s="884">
        <f t="shared" si="57"/>
        <v>0</v>
      </c>
      <c r="EE58" s="176"/>
      <c r="EF58" s="176"/>
      <c r="EG58" s="176"/>
      <c r="EH58" s="176"/>
      <c r="EI58" s="176"/>
      <c r="EJ58" s="186"/>
      <c r="EK58" s="176"/>
      <c r="EL58" s="177" t="b">
        <v>0</v>
      </c>
      <c r="EM58" s="177" t="b">
        <v>0</v>
      </c>
      <c r="EN58" s="439" t="e">
        <f t="shared" si="58"/>
        <v>#DIV/0!</v>
      </c>
      <c r="EO58" s="884">
        <f t="shared" si="59"/>
        <v>0</v>
      </c>
      <c r="EP58" s="176"/>
      <c r="EQ58" s="176"/>
      <c r="ER58" s="176"/>
      <c r="ES58" s="176"/>
      <c r="ET58" s="176"/>
      <c r="EU58" s="186"/>
      <c r="EV58" s="176"/>
      <c r="EW58" s="177" t="b">
        <v>0</v>
      </c>
      <c r="EX58" s="177" t="b">
        <v>0</v>
      </c>
      <c r="EY58" s="439" t="e">
        <f t="shared" si="60"/>
        <v>#DIV/0!</v>
      </c>
      <c r="EZ58" s="439" t="e">
        <f t="shared" si="61"/>
        <v>#DIV/0!</v>
      </c>
    </row>
    <row r="59" spans="1:759" ht="15" customHeight="1">
      <c r="C59" s="195" t="s">
        <v>1254</v>
      </c>
      <c r="D59" s="154">
        <v>1450022</v>
      </c>
      <c r="E59" s="154">
        <v>199</v>
      </c>
      <c r="F59" s="154" t="s">
        <v>1265</v>
      </c>
      <c r="G59" s="154" t="s">
        <v>1266</v>
      </c>
      <c r="H59" s="154" t="s">
        <v>901</v>
      </c>
      <c r="I59" s="154" t="s">
        <v>1257</v>
      </c>
      <c r="J59" s="154" t="s">
        <v>1258</v>
      </c>
      <c r="K59" s="255" t="s">
        <v>1267</v>
      </c>
      <c r="L59" s="255" t="s">
        <v>1268</v>
      </c>
      <c r="M59" s="154"/>
      <c r="N59" s="154"/>
      <c r="O59" s="193">
        <v>35</v>
      </c>
      <c r="P59" s="176"/>
      <c r="Q59" s="348">
        <v>17846.28</v>
      </c>
      <c r="R59" s="348"/>
      <c r="S59" s="176"/>
      <c r="T59" s="203">
        <f t="shared" si="31"/>
        <v>17846.28</v>
      </c>
      <c r="U59" s="378">
        <v>1267</v>
      </c>
      <c r="V59" s="186">
        <v>46040</v>
      </c>
      <c r="W59" s="383" t="s">
        <v>1261</v>
      </c>
      <c r="X59" s="475">
        <f t="shared" si="0"/>
        <v>22501.13</v>
      </c>
      <c r="Y59" s="170"/>
      <c r="Z59" s="170"/>
      <c r="AA59" s="170">
        <v>22501.13</v>
      </c>
      <c r="AB59" s="171">
        <v>1458</v>
      </c>
      <c r="AC59" s="172">
        <v>46071</v>
      </c>
      <c r="AD59" s="171" t="s">
        <v>1262</v>
      </c>
      <c r="AE59" s="177" t="b">
        <v>1</v>
      </c>
      <c r="AF59" s="177" t="b">
        <v>1</v>
      </c>
      <c r="AG59" s="410">
        <f t="shared" si="33"/>
        <v>0.15074980268350435</v>
      </c>
      <c r="AH59" s="392">
        <f>(X59-Q59)/Q59</f>
        <v>0.26083026826879341</v>
      </c>
      <c r="AI59" s="455">
        <v>18866.47</v>
      </c>
      <c r="AJ59" s="368">
        <v>0</v>
      </c>
      <c r="AK59" s="368">
        <v>0</v>
      </c>
      <c r="AL59" s="368">
        <v>18866.47</v>
      </c>
      <c r="AM59" s="171">
        <v>1225</v>
      </c>
      <c r="AN59" s="172">
        <v>46099</v>
      </c>
      <c r="AO59" s="171" t="s">
        <v>1263</v>
      </c>
      <c r="AP59" s="177" t="b">
        <v>1</v>
      </c>
      <c r="AQ59" s="177" t="b">
        <v>1</v>
      </c>
      <c r="AR59" s="439">
        <f t="shared" si="34"/>
        <v>-0.15980795610425241</v>
      </c>
      <c r="AS59" s="439">
        <f t="shared" si="35"/>
        <v>-0.16153233193177408</v>
      </c>
      <c r="AT59" s="203">
        <v>19178.45</v>
      </c>
      <c r="AU59" s="203">
        <v>0</v>
      </c>
      <c r="AV59" s="203"/>
      <c r="AW59" s="203">
        <v>19178.45</v>
      </c>
      <c r="AX59" s="171">
        <v>1245</v>
      </c>
      <c r="AY59" s="172">
        <v>46130</v>
      </c>
      <c r="AZ59" s="171" t="s">
        <v>1264</v>
      </c>
      <c r="BA59" s="177" t="b">
        <v>1</v>
      </c>
      <c r="BB59" s="177" t="b">
        <v>1</v>
      </c>
      <c r="BC59" s="439">
        <f t="shared" si="36"/>
        <v>1.6326530612244899E-2</v>
      </c>
      <c r="BD59" s="439">
        <f t="shared" si="37"/>
        <v>1.653621477679712E-2</v>
      </c>
      <c r="BE59" s="368">
        <f t="shared" si="38"/>
        <v>0</v>
      </c>
      <c r="BF59" s="368"/>
      <c r="BG59" s="368"/>
      <c r="BH59" s="368"/>
      <c r="BI59" s="171"/>
      <c r="BJ59" s="1197">
        <v>46160</v>
      </c>
      <c r="BK59" s="171"/>
      <c r="BL59" s="177" t="b">
        <v>0</v>
      </c>
      <c r="BM59" s="177" t="b">
        <v>0</v>
      </c>
      <c r="BN59" s="154">
        <f t="shared" si="39"/>
        <v>-1</v>
      </c>
      <c r="BO59" s="154">
        <f t="shared" si="40"/>
        <v>-1</v>
      </c>
      <c r="BP59" s="348">
        <f t="shared" si="41"/>
        <v>0</v>
      </c>
      <c r="BQ59" s="176"/>
      <c r="BR59" s="176"/>
      <c r="BS59" s="176"/>
      <c r="BT59" s="176"/>
      <c r="BU59" s="1197">
        <v>46191</v>
      </c>
      <c r="BV59" s="176"/>
      <c r="BW59" s="177" t="b">
        <v>0</v>
      </c>
      <c r="BX59" s="177" t="b">
        <v>0</v>
      </c>
      <c r="BY59" s="439" t="e">
        <f t="shared" si="42"/>
        <v>#DIV/0!</v>
      </c>
      <c r="BZ59" s="439" t="e">
        <f t="shared" si="43"/>
        <v>#DIV/0!</v>
      </c>
      <c r="CA59" s="348">
        <f t="shared" si="44"/>
        <v>0</v>
      </c>
      <c r="CB59" s="176"/>
      <c r="CC59" s="176"/>
      <c r="CD59" s="176"/>
      <c r="CE59" s="176"/>
      <c r="CF59" s="186"/>
      <c r="CG59" s="176"/>
      <c r="CH59" s="177" t="b">
        <v>0</v>
      </c>
      <c r="CI59" s="177" t="b">
        <v>0</v>
      </c>
      <c r="CJ59" s="439" t="e">
        <f t="shared" si="45"/>
        <v>#DIV/0!</v>
      </c>
      <c r="CK59" s="439" t="e">
        <f t="shared" si="46"/>
        <v>#DIV/0!</v>
      </c>
      <c r="CL59" s="348">
        <f t="shared" si="47"/>
        <v>0</v>
      </c>
      <c r="CM59" s="176"/>
      <c r="CN59" s="176"/>
      <c r="CO59" s="176"/>
      <c r="CP59" s="176"/>
      <c r="CQ59" s="186"/>
      <c r="CR59" s="176"/>
      <c r="CS59" s="177" t="b">
        <v>0</v>
      </c>
      <c r="CT59" s="177" t="b">
        <v>0</v>
      </c>
      <c r="CU59" s="176" t="e">
        <f t="shared" si="48"/>
        <v>#DIV/0!</v>
      </c>
      <c r="CV59" s="176" t="e">
        <f t="shared" si="49"/>
        <v>#DIV/0!</v>
      </c>
      <c r="CW59" s="348">
        <f t="shared" si="50"/>
        <v>0</v>
      </c>
      <c r="CX59" s="176"/>
      <c r="CY59" s="176"/>
      <c r="CZ59" s="176"/>
      <c r="DA59" s="176"/>
      <c r="DB59" s="186"/>
      <c r="DC59" s="176"/>
      <c r="DD59" s="177" t="b">
        <v>0</v>
      </c>
      <c r="DE59" s="177" t="b">
        <v>0</v>
      </c>
      <c r="DF59" s="439" t="e">
        <f t="shared" si="51"/>
        <v>#DIV/0!</v>
      </c>
      <c r="DG59" s="439" t="e">
        <f t="shared" si="52"/>
        <v>#DIV/0!</v>
      </c>
      <c r="DH59" s="348">
        <f t="shared" si="53"/>
        <v>0</v>
      </c>
      <c r="DI59" s="176"/>
      <c r="DJ59" s="176"/>
      <c r="DK59" s="176"/>
      <c r="DL59" s="176"/>
      <c r="DM59" s="176"/>
      <c r="DN59" s="186"/>
      <c r="DO59" s="176"/>
      <c r="DP59" s="177" t="b">
        <v>0</v>
      </c>
      <c r="DQ59" s="177" t="b">
        <v>0</v>
      </c>
      <c r="DR59" s="439" t="e">
        <f t="shared" si="54"/>
        <v>#DIV/0!</v>
      </c>
      <c r="DS59" s="884">
        <f t="shared" si="55"/>
        <v>0</v>
      </c>
      <c r="DT59" s="176"/>
      <c r="DU59" s="176"/>
      <c r="DV59" s="176"/>
      <c r="DW59" s="176"/>
      <c r="DX59" s="176"/>
      <c r="DY59" s="186"/>
      <c r="DZ59" s="176"/>
      <c r="EA59" s="177" t="b">
        <v>0</v>
      </c>
      <c r="EB59" s="177" t="b">
        <v>0</v>
      </c>
      <c r="EC59" s="439" t="e">
        <f t="shared" si="56"/>
        <v>#DIV/0!</v>
      </c>
      <c r="ED59" s="884">
        <f t="shared" si="57"/>
        <v>0</v>
      </c>
      <c r="EE59" s="176"/>
      <c r="EF59" s="176"/>
      <c r="EG59" s="176"/>
      <c r="EH59" s="176"/>
      <c r="EI59" s="176"/>
      <c r="EJ59" s="186"/>
      <c r="EK59" s="176"/>
      <c r="EL59" s="177" t="b">
        <v>0</v>
      </c>
      <c r="EM59" s="177" t="b">
        <v>0</v>
      </c>
      <c r="EN59" s="439" t="e">
        <f t="shared" si="58"/>
        <v>#DIV/0!</v>
      </c>
      <c r="EO59" s="884">
        <f t="shared" si="59"/>
        <v>0</v>
      </c>
      <c r="EP59" s="176"/>
      <c r="EQ59" s="176"/>
      <c r="ER59" s="176"/>
      <c r="ES59" s="176"/>
      <c r="ET59" s="176"/>
      <c r="EU59" s="186"/>
      <c r="EV59" s="176"/>
      <c r="EW59" s="177" t="b">
        <v>0</v>
      </c>
      <c r="EX59" s="177" t="b">
        <v>0</v>
      </c>
      <c r="EY59" s="439" t="e">
        <f t="shared" si="60"/>
        <v>#DIV/0!</v>
      </c>
      <c r="EZ59" s="439" t="e">
        <f t="shared" si="61"/>
        <v>#DIV/0!</v>
      </c>
    </row>
    <row r="60" spans="1:759" ht="15" customHeight="1">
      <c r="C60" s="400" t="s">
        <v>1269</v>
      </c>
      <c r="D60" s="357">
        <v>1450022</v>
      </c>
      <c r="E60" s="357">
        <v>104</v>
      </c>
      <c r="F60" s="357" t="s">
        <v>1270</v>
      </c>
      <c r="G60" s="357" t="s">
        <v>1271</v>
      </c>
      <c r="H60" s="357" t="s">
        <v>901</v>
      </c>
      <c r="I60" s="357" t="s">
        <v>1272</v>
      </c>
      <c r="J60" s="357" t="s">
        <v>1273</v>
      </c>
      <c r="K60" s="426" t="s">
        <v>1270</v>
      </c>
      <c r="L60" s="426" t="s">
        <v>1274</v>
      </c>
      <c r="M60" s="357"/>
      <c r="N60" s="357"/>
      <c r="O60" s="359">
        <v>39</v>
      </c>
      <c r="P60" s="357"/>
      <c r="Q60" s="401">
        <v>3096.96</v>
      </c>
      <c r="R60" s="401"/>
      <c r="S60" s="358"/>
      <c r="T60" s="402">
        <f t="shared" si="31"/>
        <v>3096.96</v>
      </c>
      <c r="U60" s="403">
        <v>1262</v>
      </c>
      <c r="V60" s="404">
        <v>46042</v>
      </c>
      <c r="W60" s="385" t="s">
        <v>1275</v>
      </c>
      <c r="X60" s="144">
        <f t="shared" si="0"/>
        <v>4004.3</v>
      </c>
      <c r="Y60" s="406"/>
      <c r="Z60" s="406"/>
      <c r="AA60" s="406">
        <v>4004.3</v>
      </c>
      <c r="AB60" s="148">
        <v>1468</v>
      </c>
      <c r="AC60" s="407">
        <v>46073</v>
      </c>
      <c r="AD60" s="148" t="s">
        <v>1276</v>
      </c>
      <c r="AE60" s="164" t="b">
        <v>1</v>
      </c>
      <c r="AF60" s="164" t="b">
        <v>1</v>
      </c>
      <c r="AG60" s="408">
        <f t="shared" si="33"/>
        <v>0.16323296354992076</v>
      </c>
      <c r="AH60" s="409">
        <f>(X60-Q60)/Q60</f>
        <v>0.29297762967555285</v>
      </c>
      <c r="AI60" s="1096">
        <f t="shared" si="30"/>
        <v>3223.94</v>
      </c>
      <c r="AJ60" s="364"/>
      <c r="AK60" s="364">
        <v>0</v>
      </c>
      <c r="AL60" s="364">
        <v>3223.94</v>
      </c>
      <c r="AM60" s="148">
        <v>1150</v>
      </c>
      <c r="AN60" s="407">
        <v>46101</v>
      </c>
      <c r="AO60" s="148" t="s">
        <v>1277</v>
      </c>
      <c r="AP60" s="164" t="b">
        <v>1</v>
      </c>
      <c r="AQ60" s="164" t="b">
        <v>1</v>
      </c>
      <c r="AR60" s="438">
        <f t="shared" si="34"/>
        <v>-0.21662125340599456</v>
      </c>
      <c r="AS60" s="438">
        <f t="shared" si="35"/>
        <v>-0.19488050345878183</v>
      </c>
      <c r="AT60" s="402">
        <f t="shared" si="62"/>
        <v>0</v>
      </c>
      <c r="AU60" s="402"/>
      <c r="AV60" s="402"/>
      <c r="AW60" s="402"/>
      <c r="AX60" s="148"/>
      <c r="AY60" s="926">
        <v>46132</v>
      </c>
      <c r="AZ60" s="148"/>
      <c r="BA60" s="164" t="b">
        <v>0</v>
      </c>
      <c r="BB60" s="164" t="b">
        <v>0</v>
      </c>
      <c r="BC60" s="438">
        <f t="shared" si="36"/>
        <v>-1</v>
      </c>
      <c r="BD60" s="438">
        <f t="shared" si="37"/>
        <v>-1</v>
      </c>
      <c r="BE60" s="364">
        <f t="shared" si="38"/>
        <v>0</v>
      </c>
      <c r="BF60" s="364"/>
      <c r="BG60" s="364"/>
      <c r="BH60" s="364"/>
      <c r="BI60" s="148"/>
      <c r="BJ60" s="1196">
        <v>46162</v>
      </c>
      <c r="BK60" s="148"/>
      <c r="BL60" s="164" t="b">
        <v>0</v>
      </c>
      <c r="BM60" s="164" t="b">
        <v>0</v>
      </c>
      <c r="BN60" s="357" t="e">
        <f t="shared" si="39"/>
        <v>#DIV/0!</v>
      </c>
      <c r="BO60" s="357" t="e">
        <f t="shared" si="40"/>
        <v>#DIV/0!</v>
      </c>
      <c r="BP60" s="401">
        <f t="shared" si="41"/>
        <v>0</v>
      </c>
      <c r="BQ60" s="358"/>
      <c r="BR60" s="358"/>
      <c r="BS60" s="358"/>
      <c r="BT60" s="358"/>
      <c r="BU60" s="1196">
        <v>46193</v>
      </c>
      <c r="BV60" s="358"/>
      <c r="BW60" s="164" t="b">
        <v>0</v>
      </c>
      <c r="BX60" s="164" t="b">
        <v>0</v>
      </c>
      <c r="BY60" s="438" t="e">
        <f t="shared" si="42"/>
        <v>#DIV/0!</v>
      </c>
      <c r="BZ60" s="438" t="e">
        <f t="shared" si="43"/>
        <v>#DIV/0!</v>
      </c>
      <c r="CA60" s="401">
        <f t="shared" si="44"/>
        <v>0</v>
      </c>
      <c r="CB60" s="358"/>
      <c r="CC60" s="358"/>
      <c r="CD60" s="358"/>
      <c r="CE60" s="358"/>
      <c r="CF60" s="404"/>
      <c r="CG60" s="358"/>
      <c r="CH60" s="164" t="b">
        <v>0</v>
      </c>
      <c r="CI60" s="164" t="b">
        <v>0</v>
      </c>
      <c r="CJ60" s="438" t="e">
        <f t="shared" si="45"/>
        <v>#DIV/0!</v>
      </c>
      <c r="CK60" s="438" t="e">
        <f t="shared" si="46"/>
        <v>#DIV/0!</v>
      </c>
      <c r="CL60" s="401">
        <f t="shared" si="47"/>
        <v>0</v>
      </c>
      <c r="CM60" s="358"/>
      <c r="CN60" s="358"/>
      <c r="CO60" s="358"/>
      <c r="CP60" s="358"/>
      <c r="CQ60" s="404"/>
      <c r="CR60" s="358"/>
      <c r="CS60" s="164" t="b">
        <v>0</v>
      </c>
      <c r="CT60" s="164" t="b">
        <v>0</v>
      </c>
      <c r="CU60" s="358" t="e">
        <f t="shared" si="48"/>
        <v>#DIV/0!</v>
      </c>
      <c r="CV60" s="358" t="e">
        <f t="shared" si="49"/>
        <v>#DIV/0!</v>
      </c>
      <c r="CW60" s="401">
        <f t="shared" si="50"/>
        <v>0</v>
      </c>
      <c r="CX60" s="358"/>
      <c r="CY60" s="358"/>
      <c r="CZ60" s="358"/>
      <c r="DA60" s="358"/>
      <c r="DB60" s="404"/>
      <c r="DC60" s="358"/>
      <c r="DD60" s="164" t="b">
        <v>0</v>
      </c>
      <c r="DE60" s="164" t="b">
        <v>0</v>
      </c>
      <c r="DF60" s="438" t="e">
        <f t="shared" si="51"/>
        <v>#DIV/0!</v>
      </c>
      <c r="DG60" s="438" t="e">
        <f t="shared" si="52"/>
        <v>#DIV/0!</v>
      </c>
      <c r="DH60" s="401">
        <f t="shared" si="53"/>
        <v>0</v>
      </c>
      <c r="DI60" s="358"/>
      <c r="DJ60" s="358"/>
      <c r="DK60" s="358"/>
      <c r="DL60" s="358"/>
      <c r="DM60" s="358"/>
      <c r="DN60" s="404"/>
      <c r="DO60" s="358"/>
      <c r="DP60" s="164" t="b">
        <v>0</v>
      </c>
      <c r="DQ60" s="164" t="b">
        <v>0</v>
      </c>
      <c r="DR60" s="438" t="e">
        <f t="shared" si="54"/>
        <v>#DIV/0!</v>
      </c>
      <c r="DS60" s="883">
        <f t="shared" si="55"/>
        <v>0</v>
      </c>
      <c r="DT60" s="358"/>
      <c r="DU60" s="358"/>
      <c r="DV60" s="358"/>
      <c r="DW60" s="358"/>
      <c r="DX60" s="358"/>
      <c r="DY60" s="404"/>
      <c r="DZ60" s="358"/>
      <c r="EA60" s="164" t="b">
        <v>0</v>
      </c>
      <c r="EB60" s="164" t="b">
        <v>0</v>
      </c>
      <c r="EC60" s="438" t="e">
        <f t="shared" si="56"/>
        <v>#DIV/0!</v>
      </c>
      <c r="ED60" s="883">
        <f t="shared" si="57"/>
        <v>0</v>
      </c>
      <c r="EE60" s="358"/>
      <c r="EF60" s="358"/>
      <c r="EG60" s="358"/>
      <c r="EH60" s="358"/>
      <c r="EI60" s="358"/>
      <c r="EJ60" s="404"/>
      <c r="EK60" s="358"/>
      <c r="EL60" s="164" t="b">
        <v>0</v>
      </c>
      <c r="EM60" s="164" t="b">
        <v>0</v>
      </c>
      <c r="EN60" s="438" t="e">
        <f t="shared" si="58"/>
        <v>#DIV/0!</v>
      </c>
      <c r="EO60" s="883">
        <f t="shared" si="59"/>
        <v>0</v>
      </c>
      <c r="EP60" s="358"/>
      <c r="EQ60" s="358"/>
      <c r="ER60" s="358"/>
      <c r="ES60" s="358"/>
      <c r="ET60" s="358"/>
      <c r="EU60" s="404"/>
      <c r="EV60" s="358"/>
      <c r="EW60" s="164" t="b">
        <v>0</v>
      </c>
      <c r="EX60" s="164" t="b">
        <v>0</v>
      </c>
      <c r="EY60" s="438" t="e">
        <f t="shared" si="60"/>
        <v>#DIV/0!</v>
      </c>
      <c r="EZ60" s="438" t="e">
        <f t="shared" si="61"/>
        <v>#DIV/0!</v>
      </c>
    </row>
    <row r="61" spans="1:759" ht="15" customHeight="1">
      <c r="C61" s="195" t="s">
        <v>1278</v>
      </c>
      <c r="D61" s="154">
        <v>1450022</v>
      </c>
      <c r="E61" s="154">
        <v>122</v>
      </c>
      <c r="F61" s="154" t="s">
        <v>1279</v>
      </c>
      <c r="G61" s="154" t="s">
        <v>1280</v>
      </c>
      <c r="H61" s="154" t="s">
        <v>1179</v>
      </c>
      <c r="I61" s="154" t="s">
        <v>1281</v>
      </c>
      <c r="J61" s="154" t="s">
        <v>1282</v>
      </c>
      <c r="K61" s="255" t="s">
        <v>1279</v>
      </c>
      <c r="L61" s="255" t="s">
        <v>1283</v>
      </c>
      <c r="M61" s="154"/>
      <c r="N61" s="154"/>
      <c r="O61" s="193">
        <v>135</v>
      </c>
      <c r="P61" s="154"/>
      <c r="Q61" s="348">
        <v>43004.62</v>
      </c>
      <c r="R61" s="348"/>
      <c r="S61" s="176"/>
      <c r="T61" s="203">
        <f t="shared" si="31"/>
        <v>43004.62</v>
      </c>
      <c r="U61" s="378">
        <v>2068</v>
      </c>
      <c r="V61" s="186">
        <v>46063</v>
      </c>
      <c r="W61" s="411" t="s">
        <v>1284</v>
      </c>
      <c r="X61" s="144">
        <f t="shared" si="0"/>
        <v>53100.97</v>
      </c>
      <c r="Y61" s="170"/>
      <c r="Z61" s="170"/>
      <c r="AA61" s="170">
        <v>53100.97</v>
      </c>
      <c r="AB61" s="171">
        <v>2550</v>
      </c>
      <c r="AC61" s="172">
        <v>46091</v>
      </c>
      <c r="AD61" s="171" t="s">
        <v>1285</v>
      </c>
      <c r="AE61" s="177" t="b">
        <v>1</v>
      </c>
      <c r="AF61" s="177" t="b">
        <v>1</v>
      </c>
      <c r="AG61" s="410">
        <f t="shared" si="33"/>
        <v>0.23307543520309479</v>
      </c>
      <c r="AH61" s="392">
        <f>(X61-Q61)/Q61</f>
        <v>0.23477361269556615</v>
      </c>
      <c r="AI61" s="455">
        <v>52891.519999999997</v>
      </c>
      <c r="AJ61" s="368">
        <v>0</v>
      </c>
      <c r="AK61" s="368"/>
      <c r="AL61" s="368">
        <v>52891.519999999997</v>
      </c>
      <c r="AM61" s="171">
        <v>2540</v>
      </c>
      <c r="AN61" s="172">
        <v>46122</v>
      </c>
      <c r="AO61" s="171" t="s">
        <v>1286</v>
      </c>
      <c r="AP61" s="177" t="b">
        <v>1</v>
      </c>
      <c r="AQ61" s="177" t="b">
        <v>1</v>
      </c>
      <c r="AR61" s="439">
        <f t="shared" si="34"/>
        <v>-3.9215686274509803E-3</v>
      </c>
      <c r="AS61" s="439">
        <f t="shared" si="35"/>
        <v>-3.9443723909375738E-3</v>
      </c>
      <c r="AT61" s="203">
        <f t="shared" si="62"/>
        <v>0</v>
      </c>
      <c r="AU61" s="203"/>
      <c r="AV61" s="203"/>
      <c r="AW61" s="203"/>
      <c r="AX61" s="171"/>
      <c r="AY61" s="172">
        <v>46152</v>
      </c>
      <c r="AZ61" s="171"/>
      <c r="BA61" s="177" t="b">
        <v>0</v>
      </c>
      <c r="BB61" s="177" t="b">
        <v>0</v>
      </c>
      <c r="BC61" s="439">
        <f t="shared" si="36"/>
        <v>-1</v>
      </c>
      <c r="BD61" s="439">
        <f t="shared" si="37"/>
        <v>-1</v>
      </c>
      <c r="BE61" s="368">
        <f t="shared" si="38"/>
        <v>0</v>
      </c>
      <c r="BF61" s="368"/>
      <c r="BG61" s="368"/>
      <c r="BH61" s="368"/>
      <c r="BI61" s="171"/>
      <c r="BJ61" s="1197">
        <v>46183</v>
      </c>
      <c r="BK61" s="171"/>
      <c r="BL61" s="177" t="b">
        <v>0</v>
      </c>
      <c r="BM61" s="177" t="b">
        <v>0</v>
      </c>
      <c r="BN61" s="154" t="e">
        <f t="shared" si="39"/>
        <v>#DIV/0!</v>
      </c>
      <c r="BO61" s="154" t="e">
        <f t="shared" si="40"/>
        <v>#DIV/0!</v>
      </c>
      <c r="BP61" s="348">
        <f t="shared" si="41"/>
        <v>0</v>
      </c>
      <c r="BQ61" s="176"/>
      <c r="BR61" s="176"/>
      <c r="BS61" s="176"/>
      <c r="BT61" s="176"/>
      <c r="BU61" s="1197">
        <v>46213</v>
      </c>
      <c r="BV61" s="176"/>
      <c r="BW61" s="177" t="b">
        <v>0</v>
      </c>
      <c r="BX61" s="177" t="b">
        <v>0</v>
      </c>
      <c r="BY61" s="439" t="e">
        <f t="shared" si="42"/>
        <v>#DIV/0!</v>
      </c>
      <c r="BZ61" s="439" t="e">
        <f t="shared" si="43"/>
        <v>#DIV/0!</v>
      </c>
      <c r="CA61" s="348">
        <f t="shared" si="44"/>
        <v>0</v>
      </c>
      <c r="CB61" s="176"/>
      <c r="CC61" s="176"/>
      <c r="CD61" s="176"/>
      <c r="CE61" s="176"/>
      <c r="CF61" s="186"/>
      <c r="CG61" s="176"/>
      <c r="CH61" s="177" t="b">
        <v>0</v>
      </c>
      <c r="CI61" s="177" t="b">
        <v>0</v>
      </c>
      <c r="CJ61" s="439" t="e">
        <f t="shared" si="45"/>
        <v>#DIV/0!</v>
      </c>
      <c r="CK61" s="439" t="e">
        <f t="shared" si="46"/>
        <v>#DIV/0!</v>
      </c>
      <c r="CL61" s="348">
        <f t="shared" si="47"/>
        <v>0</v>
      </c>
      <c r="CM61" s="176"/>
      <c r="CN61" s="176"/>
      <c r="CO61" s="176"/>
      <c r="CP61" s="176"/>
      <c r="CQ61" s="186"/>
      <c r="CR61" s="176"/>
      <c r="CS61" s="177" t="b">
        <v>0</v>
      </c>
      <c r="CT61" s="177" t="b">
        <v>0</v>
      </c>
      <c r="CU61" s="176" t="e">
        <f t="shared" si="48"/>
        <v>#DIV/0!</v>
      </c>
      <c r="CV61" s="176" t="e">
        <f t="shared" si="49"/>
        <v>#DIV/0!</v>
      </c>
      <c r="CW61" s="348">
        <f t="shared" si="50"/>
        <v>0</v>
      </c>
      <c r="CX61" s="176"/>
      <c r="CY61" s="176"/>
      <c r="CZ61" s="176"/>
      <c r="DA61" s="176"/>
      <c r="DB61" s="186"/>
      <c r="DC61" s="176"/>
      <c r="DD61" s="177" t="b">
        <v>0</v>
      </c>
      <c r="DE61" s="177" t="b">
        <v>0</v>
      </c>
      <c r="DF61" s="439" t="e">
        <f t="shared" si="51"/>
        <v>#DIV/0!</v>
      </c>
      <c r="DG61" s="439" t="e">
        <f t="shared" si="52"/>
        <v>#DIV/0!</v>
      </c>
      <c r="DH61" s="348">
        <f t="shared" si="53"/>
        <v>0</v>
      </c>
      <c r="DI61" s="176"/>
      <c r="DJ61" s="176"/>
      <c r="DK61" s="176"/>
      <c r="DL61" s="176"/>
      <c r="DM61" s="176"/>
      <c r="DN61" s="186"/>
      <c r="DO61" s="176"/>
      <c r="DP61" s="177" t="b">
        <v>0</v>
      </c>
      <c r="DQ61" s="177" t="b">
        <v>0</v>
      </c>
      <c r="DR61" s="439" t="e">
        <f t="shared" si="54"/>
        <v>#DIV/0!</v>
      </c>
      <c r="DS61" s="884">
        <f t="shared" si="55"/>
        <v>0</v>
      </c>
      <c r="DT61" s="176"/>
      <c r="DU61" s="176"/>
      <c r="DV61" s="176"/>
      <c r="DW61" s="176"/>
      <c r="DX61" s="176"/>
      <c r="DY61" s="186"/>
      <c r="DZ61" s="176"/>
      <c r="EA61" s="177" t="b">
        <v>0</v>
      </c>
      <c r="EB61" s="177" t="b">
        <v>0</v>
      </c>
      <c r="EC61" s="439" t="e">
        <f t="shared" si="56"/>
        <v>#DIV/0!</v>
      </c>
      <c r="ED61" s="884">
        <f t="shared" si="57"/>
        <v>0</v>
      </c>
      <c r="EE61" s="176"/>
      <c r="EF61" s="176"/>
      <c r="EG61" s="176"/>
      <c r="EH61" s="176"/>
      <c r="EI61" s="176"/>
      <c r="EJ61" s="186"/>
      <c r="EK61" s="176"/>
      <c r="EL61" s="177" t="b">
        <v>0</v>
      </c>
      <c r="EM61" s="177" t="b">
        <v>0</v>
      </c>
      <c r="EN61" s="439" t="e">
        <f t="shared" si="58"/>
        <v>#DIV/0!</v>
      </c>
      <c r="EO61" s="884">
        <f t="shared" si="59"/>
        <v>0</v>
      </c>
      <c r="EP61" s="176"/>
      <c r="EQ61" s="176"/>
      <c r="ER61" s="176"/>
      <c r="ES61" s="176"/>
      <c r="ET61" s="176"/>
      <c r="EU61" s="186"/>
      <c r="EV61" s="176"/>
      <c r="EW61" s="177" t="b">
        <v>0</v>
      </c>
      <c r="EX61" s="177" t="b">
        <v>0</v>
      </c>
      <c r="EY61" s="439" t="e">
        <f t="shared" si="60"/>
        <v>#DIV/0!</v>
      </c>
      <c r="EZ61" s="439" t="e">
        <f t="shared" si="61"/>
        <v>#DIV/0!</v>
      </c>
    </row>
    <row r="62" spans="1:759" ht="15" customHeight="1">
      <c r="C62" s="400" t="s">
        <v>1287</v>
      </c>
      <c r="D62" s="357">
        <v>1450022</v>
      </c>
      <c r="E62" s="357">
        <v>112</v>
      </c>
      <c r="F62" s="357" t="s">
        <v>1288</v>
      </c>
      <c r="G62" s="357" t="s">
        <v>1289</v>
      </c>
      <c r="H62" s="357" t="s">
        <v>920</v>
      </c>
      <c r="I62" s="357" t="s">
        <v>921</v>
      </c>
      <c r="J62" s="357" t="s">
        <v>922</v>
      </c>
      <c r="K62" s="426" t="s">
        <v>1288</v>
      </c>
      <c r="L62" s="426" t="s">
        <v>1290</v>
      </c>
      <c r="M62" s="357"/>
      <c r="N62" s="357"/>
      <c r="O62" s="359">
        <v>40</v>
      </c>
      <c r="P62" s="357"/>
      <c r="Q62" s="401">
        <v>214160.26</v>
      </c>
      <c r="R62" s="401"/>
      <c r="S62" s="358"/>
      <c r="T62" s="402">
        <f t="shared" si="31"/>
        <v>214160.26</v>
      </c>
      <c r="U62" s="403">
        <v>16971</v>
      </c>
      <c r="V62" s="404">
        <v>46063</v>
      </c>
      <c r="W62" s="385" t="s">
        <v>924</v>
      </c>
      <c r="X62" s="144">
        <f t="shared" si="0"/>
        <v>4285.18</v>
      </c>
      <c r="Y62" s="406"/>
      <c r="Z62" s="406"/>
      <c r="AA62" s="406">
        <v>4285.18</v>
      </c>
      <c r="AB62" s="148">
        <v>253</v>
      </c>
      <c r="AC62" s="407">
        <v>46073</v>
      </c>
      <c r="AD62" s="148" t="s">
        <v>1291</v>
      </c>
      <c r="AE62" s="164" t="b">
        <v>1</v>
      </c>
      <c r="AF62" s="164" t="b">
        <v>1</v>
      </c>
      <c r="AG62" s="408">
        <f t="shared" si="33"/>
        <v>-0.98509221613340403</v>
      </c>
      <c r="AH62" s="409">
        <f>(X62-Q62)/Q62</f>
        <v>-0.97999077886812436</v>
      </c>
      <c r="AI62" s="1096">
        <f t="shared" si="30"/>
        <v>2948.77</v>
      </c>
      <c r="AJ62" s="364"/>
      <c r="AK62" s="364">
        <v>0</v>
      </c>
      <c r="AL62" s="364">
        <v>2948.77</v>
      </c>
      <c r="AM62" s="148">
        <v>179</v>
      </c>
      <c r="AN62" s="407">
        <v>46101</v>
      </c>
      <c r="AO62" s="148" t="s">
        <v>1292</v>
      </c>
      <c r="AP62" s="164" t="b">
        <v>1</v>
      </c>
      <c r="AQ62" s="164" t="b">
        <v>1</v>
      </c>
      <c r="AR62" s="438">
        <f t="shared" si="34"/>
        <v>-0.29249011857707508</v>
      </c>
      <c r="AS62" s="438">
        <f t="shared" si="35"/>
        <v>-0.31186787952898132</v>
      </c>
      <c r="AT62" s="402">
        <v>3923.99</v>
      </c>
      <c r="AU62" s="402">
        <v>0</v>
      </c>
      <c r="AV62" s="402">
        <v>0</v>
      </c>
      <c r="AW62" s="402">
        <v>3923.99</v>
      </c>
      <c r="AX62" s="148">
        <v>233</v>
      </c>
      <c r="AY62" s="407">
        <v>46132</v>
      </c>
      <c r="AZ62" s="148" t="s">
        <v>1293</v>
      </c>
      <c r="BA62" s="164" t="b">
        <v>1</v>
      </c>
      <c r="BB62" s="164" t="b">
        <v>1</v>
      </c>
      <c r="BC62" s="438">
        <f t="shared" si="36"/>
        <v>0.3016759776536313</v>
      </c>
      <c r="BD62" s="438">
        <f t="shared" si="37"/>
        <v>0.33072094466506369</v>
      </c>
      <c r="BE62" s="364">
        <f t="shared" si="38"/>
        <v>0</v>
      </c>
      <c r="BF62" s="364"/>
      <c r="BG62" s="364"/>
      <c r="BH62" s="364"/>
      <c r="BI62" s="148"/>
      <c r="BJ62" s="1196">
        <v>46162</v>
      </c>
      <c r="BK62" s="148"/>
      <c r="BL62" s="164" t="b">
        <v>0</v>
      </c>
      <c r="BM62" s="164" t="b">
        <v>0</v>
      </c>
      <c r="BN62" s="357">
        <f t="shared" si="39"/>
        <v>-1</v>
      </c>
      <c r="BO62" s="357">
        <f t="shared" si="40"/>
        <v>-1</v>
      </c>
      <c r="BP62" s="401">
        <f t="shared" si="41"/>
        <v>0</v>
      </c>
      <c r="BQ62" s="358"/>
      <c r="BR62" s="358"/>
      <c r="BS62" s="358"/>
      <c r="BT62" s="358"/>
      <c r="BU62" s="1196">
        <v>46193</v>
      </c>
      <c r="BV62" s="358"/>
      <c r="BW62" s="164" t="b">
        <v>0</v>
      </c>
      <c r="BX62" s="164" t="b">
        <v>0</v>
      </c>
      <c r="BY62" s="438" t="e">
        <f t="shared" si="42"/>
        <v>#DIV/0!</v>
      </c>
      <c r="BZ62" s="438" t="e">
        <f t="shared" si="43"/>
        <v>#DIV/0!</v>
      </c>
      <c r="CA62" s="401">
        <f t="shared" si="44"/>
        <v>0</v>
      </c>
      <c r="CB62" s="358"/>
      <c r="CC62" s="358"/>
      <c r="CD62" s="358"/>
      <c r="CE62" s="358"/>
      <c r="CF62" s="404"/>
      <c r="CG62" s="358"/>
      <c r="CH62" s="164" t="b">
        <v>0</v>
      </c>
      <c r="CI62" s="164" t="b">
        <v>0</v>
      </c>
      <c r="CJ62" s="438" t="e">
        <f t="shared" si="45"/>
        <v>#DIV/0!</v>
      </c>
      <c r="CK62" s="438" t="e">
        <f t="shared" si="46"/>
        <v>#DIV/0!</v>
      </c>
      <c r="CL62" s="401">
        <f t="shared" si="47"/>
        <v>0</v>
      </c>
      <c r="CM62" s="358"/>
      <c r="CN62" s="358"/>
      <c r="CO62" s="358"/>
      <c r="CP62" s="358"/>
      <c r="CQ62" s="404"/>
      <c r="CR62" s="358"/>
      <c r="CS62" s="164" t="b">
        <v>0</v>
      </c>
      <c r="CT62" s="164" t="b">
        <v>0</v>
      </c>
      <c r="CU62" s="358" t="e">
        <f t="shared" si="48"/>
        <v>#DIV/0!</v>
      </c>
      <c r="CV62" s="358" t="e">
        <f t="shared" si="49"/>
        <v>#DIV/0!</v>
      </c>
      <c r="CW62" s="401">
        <f t="shared" si="50"/>
        <v>0</v>
      </c>
      <c r="CX62" s="358"/>
      <c r="CY62" s="358"/>
      <c r="CZ62" s="358"/>
      <c r="DA62" s="358"/>
      <c r="DB62" s="404"/>
      <c r="DC62" s="358"/>
      <c r="DD62" s="164" t="b">
        <v>0</v>
      </c>
      <c r="DE62" s="164" t="b">
        <v>0</v>
      </c>
      <c r="DF62" s="438" t="e">
        <f t="shared" si="51"/>
        <v>#DIV/0!</v>
      </c>
      <c r="DG62" s="438" t="e">
        <f t="shared" si="52"/>
        <v>#DIV/0!</v>
      </c>
      <c r="DH62" s="401">
        <f t="shared" si="53"/>
        <v>0</v>
      </c>
      <c r="DI62" s="358"/>
      <c r="DJ62" s="358"/>
      <c r="DK62" s="358"/>
      <c r="DL62" s="358"/>
      <c r="DM62" s="358"/>
      <c r="DN62" s="404"/>
      <c r="DO62" s="358"/>
      <c r="DP62" s="164" t="b">
        <v>0</v>
      </c>
      <c r="DQ62" s="164" t="b">
        <v>0</v>
      </c>
      <c r="DR62" s="438" t="e">
        <f t="shared" si="54"/>
        <v>#DIV/0!</v>
      </c>
      <c r="DS62" s="883">
        <f t="shared" si="55"/>
        <v>0</v>
      </c>
      <c r="DT62" s="358"/>
      <c r="DU62" s="358"/>
      <c r="DV62" s="358"/>
      <c r="DW62" s="358"/>
      <c r="DX62" s="358"/>
      <c r="DY62" s="404"/>
      <c r="DZ62" s="358"/>
      <c r="EA62" s="164" t="b">
        <v>0</v>
      </c>
      <c r="EB62" s="164" t="b">
        <v>0</v>
      </c>
      <c r="EC62" s="438" t="e">
        <f t="shared" si="56"/>
        <v>#DIV/0!</v>
      </c>
      <c r="ED62" s="883">
        <f t="shared" si="57"/>
        <v>0</v>
      </c>
      <c r="EE62" s="358"/>
      <c r="EF62" s="358"/>
      <c r="EG62" s="358"/>
      <c r="EH62" s="358"/>
      <c r="EI62" s="358"/>
      <c r="EJ62" s="404"/>
      <c r="EK62" s="358"/>
      <c r="EL62" s="164" t="b">
        <v>0</v>
      </c>
      <c r="EM62" s="164" t="b">
        <v>0</v>
      </c>
      <c r="EN62" s="438" t="e">
        <f t="shared" si="58"/>
        <v>#DIV/0!</v>
      </c>
      <c r="EO62" s="883">
        <f t="shared" si="59"/>
        <v>0</v>
      </c>
      <c r="EP62" s="358"/>
      <c r="EQ62" s="358"/>
      <c r="ER62" s="358"/>
      <c r="ES62" s="358"/>
      <c r="ET62" s="358"/>
      <c r="EU62" s="404"/>
      <c r="EV62" s="358"/>
      <c r="EW62" s="164" t="b">
        <v>0</v>
      </c>
      <c r="EX62" s="164" t="b">
        <v>0</v>
      </c>
      <c r="EY62" s="438" t="e">
        <f t="shared" si="60"/>
        <v>#DIV/0!</v>
      </c>
      <c r="EZ62" s="438" t="e">
        <f t="shared" si="61"/>
        <v>#DIV/0!</v>
      </c>
    </row>
    <row r="63" spans="1:759" ht="15" customHeight="1">
      <c r="C63" s="195" t="s">
        <v>1294</v>
      </c>
      <c r="D63" s="154">
        <v>1450022</v>
      </c>
      <c r="E63" s="154">
        <v>200</v>
      </c>
      <c r="F63" s="154" t="s">
        <v>1295</v>
      </c>
      <c r="G63" s="154" t="s">
        <v>1296</v>
      </c>
      <c r="H63" s="154" t="s">
        <v>901</v>
      </c>
      <c r="I63" s="154" t="s">
        <v>1297</v>
      </c>
      <c r="J63" s="154" t="s">
        <v>1298</v>
      </c>
      <c r="K63" s="255" t="s">
        <v>1295</v>
      </c>
      <c r="L63" s="255" t="s">
        <v>1299</v>
      </c>
      <c r="M63" s="154"/>
      <c r="N63" s="154"/>
      <c r="O63" s="193">
        <v>19</v>
      </c>
      <c r="P63" s="154"/>
      <c r="Q63" s="348">
        <v>10938.27</v>
      </c>
      <c r="R63" s="348"/>
      <c r="S63" s="176"/>
      <c r="T63" s="203">
        <f t="shared" si="31"/>
        <v>10938.27</v>
      </c>
      <c r="U63" s="378">
        <v>787</v>
      </c>
      <c r="V63" s="186">
        <v>46032</v>
      </c>
      <c r="W63" s="387" t="s">
        <v>1300</v>
      </c>
      <c r="X63" s="475">
        <f t="shared" si="0"/>
        <v>11720.84</v>
      </c>
      <c r="Y63" s="170"/>
      <c r="Z63" s="170"/>
      <c r="AA63" s="170">
        <v>11720.84</v>
      </c>
      <c r="AB63" s="171">
        <v>841</v>
      </c>
      <c r="AC63" s="172">
        <v>46063</v>
      </c>
      <c r="AD63" s="171" t="s">
        <v>1301</v>
      </c>
      <c r="AE63" s="177" t="b">
        <v>1</v>
      </c>
      <c r="AF63" s="177" t="b">
        <v>1</v>
      </c>
      <c r="AG63" s="410">
        <f t="shared" si="33"/>
        <v>6.8614993646759853E-2</v>
      </c>
      <c r="AH63" s="392">
        <f>(X63-Q63)/Q63</f>
        <v>7.1544220429738861E-2</v>
      </c>
      <c r="AI63" s="455">
        <f t="shared" si="30"/>
        <v>9561.52</v>
      </c>
      <c r="AJ63" s="368"/>
      <c r="AK63" s="368"/>
      <c r="AL63" s="368">
        <v>9561.52</v>
      </c>
      <c r="AM63" s="171">
        <v>692</v>
      </c>
      <c r="AN63" s="172">
        <v>46091</v>
      </c>
      <c r="AO63" s="171" t="s">
        <v>1302</v>
      </c>
      <c r="AP63" s="177" t="b">
        <v>1</v>
      </c>
      <c r="AQ63" s="177" t="b">
        <v>1</v>
      </c>
      <c r="AR63" s="439">
        <f t="shared" si="34"/>
        <v>-0.17717003567181927</v>
      </c>
      <c r="AS63" s="439">
        <f t="shared" si="35"/>
        <v>-0.18422911668446967</v>
      </c>
      <c r="AT63" s="203">
        <v>10025.26</v>
      </c>
      <c r="AU63" s="203">
        <v>0</v>
      </c>
      <c r="AV63" s="203"/>
      <c r="AW63" s="203">
        <v>10025.26</v>
      </c>
      <c r="AX63" s="171">
        <v>724</v>
      </c>
      <c r="AY63" s="172">
        <v>46122</v>
      </c>
      <c r="AZ63" s="171" t="s">
        <v>1303</v>
      </c>
      <c r="BA63" s="177" t="b">
        <v>1</v>
      </c>
      <c r="BB63" s="177" t="b">
        <v>1</v>
      </c>
      <c r="BC63" s="439">
        <f t="shared" si="36"/>
        <v>4.6242774566473986E-2</v>
      </c>
      <c r="BD63" s="439">
        <f t="shared" si="37"/>
        <v>4.8500656799337322E-2</v>
      </c>
      <c r="BE63" s="368">
        <f t="shared" si="38"/>
        <v>0</v>
      </c>
      <c r="BF63" s="368"/>
      <c r="BG63" s="368"/>
      <c r="BH63" s="368"/>
      <c r="BI63" s="171"/>
      <c r="BJ63" s="1197">
        <v>46152</v>
      </c>
      <c r="BK63" s="171"/>
      <c r="BL63" s="177" t="b">
        <v>0</v>
      </c>
      <c r="BM63" s="177" t="b">
        <v>0</v>
      </c>
      <c r="BN63" s="154">
        <f t="shared" si="39"/>
        <v>-1</v>
      </c>
      <c r="BO63" s="154">
        <f t="shared" si="40"/>
        <v>-1</v>
      </c>
      <c r="BP63" s="348">
        <f t="shared" si="41"/>
        <v>0</v>
      </c>
      <c r="BQ63" s="176"/>
      <c r="BR63" s="176"/>
      <c r="BS63" s="176"/>
      <c r="BT63" s="176"/>
      <c r="BU63" s="1197">
        <v>46183</v>
      </c>
      <c r="BV63" s="176"/>
      <c r="BW63" s="177" t="b">
        <v>0</v>
      </c>
      <c r="BX63" s="177" t="b">
        <v>0</v>
      </c>
      <c r="BY63" s="439" t="e">
        <f t="shared" si="42"/>
        <v>#DIV/0!</v>
      </c>
      <c r="BZ63" s="439" t="e">
        <f t="shared" si="43"/>
        <v>#DIV/0!</v>
      </c>
      <c r="CA63" s="348">
        <f t="shared" si="44"/>
        <v>0</v>
      </c>
      <c r="CB63" s="176"/>
      <c r="CC63" s="176"/>
      <c r="CD63" s="176"/>
      <c r="CE63" s="176"/>
      <c r="CF63" s="186"/>
      <c r="CG63" s="176"/>
      <c r="CH63" s="177" t="b">
        <v>0</v>
      </c>
      <c r="CI63" s="177" t="b">
        <v>0</v>
      </c>
      <c r="CJ63" s="439" t="e">
        <f t="shared" si="45"/>
        <v>#DIV/0!</v>
      </c>
      <c r="CK63" s="439" t="e">
        <f t="shared" si="46"/>
        <v>#DIV/0!</v>
      </c>
      <c r="CL63" s="348">
        <f t="shared" si="47"/>
        <v>0</v>
      </c>
      <c r="CM63" s="176"/>
      <c r="CN63" s="176"/>
      <c r="CO63" s="176"/>
      <c r="CP63" s="176"/>
      <c r="CQ63" s="186"/>
      <c r="CR63" s="176"/>
      <c r="CS63" s="177" t="b">
        <v>0</v>
      </c>
      <c r="CT63" s="177" t="b">
        <v>0</v>
      </c>
      <c r="CU63" s="176" t="e">
        <f t="shared" si="48"/>
        <v>#DIV/0!</v>
      </c>
      <c r="CV63" s="176" t="e">
        <f t="shared" si="49"/>
        <v>#DIV/0!</v>
      </c>
      <c r="CW63" s="348">
        <f t="shared" si="50"/>
        <v>0</v>
      </c>
      <c r="CX63" s="176"/>
      <c r="CY63" s="176"/>
      <c r="CZ63" s="176"/>
      <c r="DA63" s="176"/>
      <c r="DB63" s="186"/>
      <c r="DC63" s="176"/>
      <c r="DD63" s="177" t="b">
        <v>0</v>
      </c>
      <c r="DE63" s="177" t="b">
        <v>0</v>
      </c>
      <c r="DF63" s="439" t="e">
        <f t="shared" si="51"/>
        <v>#DIV/0!</v>
      </c>
      <c r="DG63" s="439" t="e">
        <f t="shared" si="52"/>
        <v>#DIV/0!</v>
      </c>
      <c r="DH63" s="348">
        <f t="shared" si="53"/>
        <v>0</v>
      </c>
      <c r="DI63" s="176"/>
      <c r="DJ63" s="176"/>
      <c r="DK63" s="176"/>
      <c r="DL63" s="176"/>
      <c r="DM63" s="176"/>
      <c r="DN63" s="186"/>
      <c r="DO63" s="176"/>
      <c r="DP63" s="177" t="b">
        <v>0</v>
      </c>
      <c r="DQ63" s="177" t="b">
        <v>0</v>
      </c>
      <c r="DR63" s="439" t="e">
        <f t="shared" si="54"/>
        <v>#DIV/0!</v>
      </c>
      <c r="DS63" s="884">
        <f t="shared" si="55"/>
        <v>0</v>
      </c>
      <c r="DT63" s="176"/>
      <c r="DU63" s="176"/>
      <c r="DV63" s="176"/>
      <c r="DW63" s="176"/>
      <c r="DX63" s="176"/>
      <c r="DY63" s="186"/>
      <c r="DZ63" s="176"/>
      <c r="EA63" s="177" t="b">
        <v>0</v>
      </c>
      <c r="EB63" s="177" t="b">
        <v>0</v>
      </c>
      <c r="EC63" s="439" t="e">
        <f t="shared" si="56"/>
        <v>#DIV/0!</v>
      </c>
      <c r="ED63" s="884">
        <f t="shared" si="57"/>
        <v>0</v>
      </c>
      <c r="EE63" s="176"/>
      <c r="EF63" s="176"/>
      <c r="EG63" s="176"/>
      <c r="EH63" s="176"/>
      <c r="EI63" s="176"/>
      <c r="EJ63" s="186"/>
      <c r="EK63" s="176"/>
      <c r="EL63" s="177" t="b">
        <v>0</v>
      </c>
      <c r="EM63" s="177" t="b">
        <v>0</v>
      </c>
      <c r="EN63" s="439" t="e">
        <f t="shared" si="58"/>
        <v>#DIV/0!</v>
      </c>
      <c r="EO63" s="884">
        <f t="shared" si="59"/>
        <v>0</v>
      </c>
      <c r="EP63" s="176"/>
      <c r="EQ63" s="176"/>
      <c r="ER63" s="176"/>
      <c r="ES63" s="176"/>
      <c r="ET63" s="176"/>
      <c r="EU63" s="186"/>
      <c r="EV63" s="176"/>
      <c r="EW63" s="177" t="b">
        <v>0</v>
      </c>
      <c r="EX63" s="177" t="b">
        <v>0</v>
      </c>
      <c r="EY63" s="439" t="e">
        <f t="shared" si="60"/>
        <v>#DIV/0!</v>
      </c>
      <c r="EZ63" s="439" t="e">
        <f t="shared" si="61"/>
        <v>#DIV/0!</v>
      </c>
    </row>
    <row r="64" spans="1:759" ht="15" customHeight="1">
      <c r="A64" s="184"/>
      <c r="C64" s="400" t="s">
        <v>1304</v>
      </c>
      <c r="D64" s="357">
        <v>1450022</v>
      </c>
      <c r="E64" s="357">
        <v>75</v>
      </c>
      <c r="F64" s="425" t="s">
        <v>1305</v>
      </c>
      <c r="G64" s="357"/>
      <c r="H64" s="357" t="s">
        <v>1306</v>
      </c>
      <c r="I64" s="357" t="s">
        <v>1307</v>
      </c>
      <c r="J64" s="357" t="s">
        <v>1308</v>
      </c>
      <c r="K64" s="935" t="s">
        <v>1305</v>
      </c>
      <c r="L64" s="426" t="s">
        <v>1309</v>
      </c>
      <c r="M64" s="357"/>
      <c r="N64" s="357"/>
      <c r="O64" s="359">
        <v>44</v>
      </c>
      <c r="P64" s="357"/>
      <c r="Q64" s="401">
        <v>877.4</v>
      </c>
      <c r="R64" s="401"/>
      <c r="S64" s="358"/>
      <c r="T64" s="402">
        <f t="shared" si="31"/>
        <v>877.4</v>
      </c>
      <c r="U64" s="403"/>
      <c r="V64" s="404">
        <v>46045</v>
      </c>
      <c r="W64" s="385" t="s">
        <v>1310</v>
      </c>
      <c r="X64" s="144">
        <f t="shared" si="0"/>
        <v>877.4</v>
      </c>
      <c r="Y64" s="406"/>
      <c r="Z64" s="406"/>
      <c r="AA64" s="406">
        <v>877.4</v>
      </c>
      <c r="AB64" s="148"/>
      <c r="AC64" s="407">
        <v>46076</v>
      </c>
      <c r="AD64" s="148" t="s">
        <v>1311</v>
      </c>
      <c r="AE64" s="164" t="b">
        <v>1</v>
      </c>
      <c r="AF64" s="164" t="b">
        <v>1</v>
      </c>
      <c r="AG64" s="408">
        <v>0</v>
      </c>
      <c r="AH64" s="409">
        <f>(X64-Q64)/Q64</f>
        <v>0</v>
      </c>
      <c r="AI64" s="1096">
        <v>877.4</v>
      </c>
      <c r="AJ64" s="364">
        <v>0</v>
      </c>
      <c r="AK64" s="364">
        <v>0</v>
      </c>
      <c r="AL64" s="364">
        <v>877.4</v>
      </c>
      <c r="AM64" s="148"/>
      <c r="AN64" s="407">
        <v>46104</v>
      </c>
      <c r="AO64" s="148" t="s">
        <v>1312</v>
      </c>
      <c r="AP64" s="164" t="b">
        <v>1</v>
      </c>
      <c r="AQ64" s="164" t="b">
        <v>1</v>
      </c>
      <c r="AR64" s="438">
        <v>0</v>
      </c>
      <c r="AS64" s="438">
        <f t="shared" si="35"/>
        <v>0</v>
      </c>
      <c r="AT64" s="402">
        <f t="shared" si="62"/>
        <v>0</v>
      </c>
      <c r="AU64" s="402"/>
      <c r="AV64" s="402"/>
      <c r="AW64" s="402"/>
      <c r="AX64" s="148"/>
      <c r="AY64" s="926">
        <v>46135</v>
      </c>
      <c r="AZ64" s="148"/>
      <c r="BA64" s="164" t="b">
        <v>0</v>
      </c>
      <c r="BB64" s="164" t="b">
        <v>0</v>
      </c>
      <c r="BC64" s="438" t="e">
        <f t="shared" si="36"/>
        <v>#DIV/0!</v>
      </c>
      <c r="BD64" s="438">
        <f t="shared" si="37"/>
        <v>-1</v>
      </c>
      <c r="BE64" s="364">
        <f t="shared" si="38"/>
        <v>0</v>
      </c>
      <c r="BF64" s="364"/>
      <c r="BG64" s="364"/>
      <c r="BH64" s="364"/>
      <c r="BI64" s="148"/>
      <c r="BJ64" s="1196">
        <v>46165</v>
      </c>
      <c r="BK64" s="148"/>
      <c r="BL64" s="164" t="b">
        <v>0</v>
      </c>
      <c r="BM64" s="164" t="b">
        <v>0</v>
      </c>
      <c r="BN64" s="357" t="e">
        <f t="shared" si="39"/>
        <v>#DIV/0!</v>
      </c>
      <c r="BO64" s="357" t="e">
        <f t="shared" si="40"/>
        <v>#DIV/0!</v>
      </c>
      <c r="BP64" s="401">
        <f t="shared" si="41"/>
        <v>0</v>
      </c>
      <c r="BQ64" s="358"/>
      <c r="BR64" s="358"/>
      <c r="BS64" s="358"/>
      <c r="BT64" s="358"/>
      <c r="BU64" s="1196">
        <v>46196</v>
      </c>
      <c r="BV64" s="358"/>
      <c r="BW64" s="164" t="b">
        <v>0</v>
      </c>
      <c r="BX64" s="164" t="b">
        <v>0</v>
      </c>
      <c r="BY64" s="438" t="e">
        <f t="shared" si="42"/>
        <v>#DIV/0!</v>
      </c>
      <c r="BZ64" s="438" t="e">
        <f t="shared" si="43"/>
        <v>#DIV/0!</v>
      </c>
      <c r="CA64" s="401">
        <f t="shared" si="44"/>
        <v>0</v>
      </c>
      <c r="CB64" s="358"/>
      <c r="CC64" s="358"/>
      <c r="CD64" s="358"/>
      <c r="CE64" s="358"/>
      <c r="CF64" s="404"/>
      <c r="CG64" s="358"/>
      <c r="CH64" s="164" t="b">
        <v>0</v>
      </c>
      <c r="CI64" s="164" t="b">
        <v>0</v>
      </c>
      <c r="CJ64" s="438" t="e">
        <f t="shared" si="45"/>
        <v>#DIV/0!</v>
      </c>
      <c r="CK64" s="438" t="e">
        <f t="shared" si="46"/>
        <v>#DIV/0!</v>
      </c>
      <c r="CL64" s="401">
        <f t="shared" si="47"/>
        <v>0</v>
      </c>
      <c r="CM64" s="358"/>
      <c r="CN64" s="358"/>
      <c r="CO64" s="358"/>
      <c r="CP64" s="358"/>
      <c r="CQ64" s="404"/>
      <c r="CR64" s="358"/>
      <c r="CS64" s="164" t="b">
        <v>0</v>
      </c>
      <c r="CT64" s="164" t="b">
        <v>0</v>
      </c>
      <c r="CU64" s="358" t="e">
        <f t="shared" si="48"/>
        <v>#DIV/0!</v>
      </c>
      <c r="CV64" s="358" t="e">
        <f t="shared" si="49"/>
        <v>#DIV/0!</v>
      </c>
      <c r="CW64" s="401">
        <f t="shared" si="50"/>
        <v>0</v>
      </c>
      <c r="CX64" s="358"/>
      <c r="CY64" s="358"/>
      <c r="CZ64" s="358"/>
      <c r="DA64" s="358"/>
      <c r="DB64" s="404"/>
      <c r="DC64" s="358"/>
      <c r="DD64" s="164" t="b">
        <v>0</v>
      </c>
      <c r="DE64" s="164" t="b">
        <v>0</v>
      </c>
      <c r="DF64" s="438" t="e">
        <f t="shared" si="51"/>
        <v>#DIV/0!</v>
      </c>
      <c r="DG64" s="438" t="e">
        <f t="shared" si="52"/>
        <v>#DIV/0!</v>
      </c>
      <c r="DH64" s="401">
        <f t="shared" si="53"/>
        <v>0</v>
      </c>
      <c r="DI64" s="358"/>
      <c r="DJ64" s="358"/>
      <c r="DK64" s="358"/>
      <c r="DL64" s="358"/>
      <c r="DM64" s="358"/>
      <c r="DN64" s="404"/>
      <c r="DO64" s="358"/>
      <c r="DP64" s="164" t="b">
        <v>0</v>
      </c>
      <c r="DQ64" s="164" t="b">
        <v>0</v>
      </c>
      <c r="DR64" s="438" t="e">
        <f t="shared" si="54"/>
        <v>#DIV/0!</v>
      </c>
      <c r="DS64" s="883">
        <f t="shared" si="55"/>
        <v>0</v>
      </c>
      <c r="DT64" s="358"/>
      <c r="DU64" s="358"/>
      <c r="DV64" s="358"/>
      <c r="DW64" s="358"/>
      <c r="DX64" s="358"/>
      <c r="DY64" s="404"/>
      <c r="DZ64" s="358"/>
      <c r="EA64" s="164" t="b">
        <v>0</v>
      </c>
      <c r="EB64" s="164" t="b">
        <v>0</v>
      </c>
      <c r="EC64" s="438" t="e">
        <f t="shared" si="56"/>
        <v>#DIV/0!</v>
      </c>
      <c r="ED64" s="883">
        <f t="shared" si="57"/>
        <v>0</v>
      </c>
      <c r="EE64" s="358"/>
      <c r="EF64" s="358"/>
      <c r="EG64" s="358"/>
      <c r="EH64" s="358"/>
      <c r="EI64" s="358"/>
      <c r="EJ64" s="404"/>
      <c r="EK64" s="358"/>
      <c r="EL64" s="164" t="b">
        <v>0</v>
      </c>
      <c r="EM64" s="164" t="b">
        <v>0</v>
      </c>
      <c r="EN64" s="438" t="e">
        <f t="shared" si="58"/>
        <v>#DIV/0!</v>
      </c>
      <c r="EO64" s="883">
        <f t="shared" si="59"/>
        <v>0</v>
      </c>
      <c r="EP64" s="358"/>
      <c r="EQ64" s="358"/>
      <c r="ER64" s="358"/>
      <c r="ES64" s="358"/>
      <c r="ET64" s="358"/>
      <c r="EU64" s="404"/>
      <c r="EV64" s="358"/>
      <c r="EW64" s="164" t="b">
        <v>0</v>
      </c>
      <c r="EX64" s="164" t="b">
        <v>0</v>
      </c>
      <c r="EY64" s="438" t="e">
        <f t="shared" si="60"/>
        <v>#DIV/0!</v>
      </c>
      <c r="EZ64" s="438" t="e">
        <f t="shared" si="61"/>
        <v>#DIV/0!</v>
      </c>
    </row>
    <row r="65" spans="3:156" ht="15" customHeight="1">
      <c r="C65" s="400" t="s">
        <v>1313</v>
      </c>
      <c r="D65" s="357">
        <v>1450022</v>
      </c>
      <c r="E65" s="357">
        <v>75</v>
      </c>
      <c r="F65" s="357" t="s">
        <v>1314</v>
      </c>
      <c r="G65" s="357"/>
      <c r="H65" s="357" t="s">
        <v>1306</v>
      </c>
      <c r="I65" s="357" t="s">
        <v>1307</v>
      </c>
      <c r="J65" s="357" t="s">
        <v>1308</v>
      </c>
      <c r="K65" s="426" t="s">
        <v>1314</v>
      </c>
      <c r="L65" s="426" t="s">
        <v>1315</v>
      </c>
      <c r="M65" s="357"/>
      <c r="N65" s="357"/>
      <c r="O65" s="359">
        <v>44</v>
      </c>
      <c r="P65" s="357"/>
      <c r="Q65" s="401">
        <v>77.56</v>
      </c>
      <c r="R65" s="401"/>
      <c r="S65" s="358"/>
      <c r="T65" s="402">
        <f t="shared" si="31"/>
        <v>77.56</v>
      </c>
      <c r="U65" s="403"/>
      <c r="V65" s="404">
        <v>46045</v>
      </c>
      <c r="W65" s="385" t="s">
        <v>1310</v>
      </c>
      <c r="X65" s="144">
        <f t="shared" si="0"/>
        <v>77.56</v>
      </c>
      <c r="Y65" s="406"/>
      <c r="Z65" s="406"/>
      <c r="AA65" s="406">
        <v>77.56</v>
      </c>
      <c r="AB65" s="148"/>
      <c r="AC65" s="407">
        <v>46076</v>
      </c>
      <c r="AD65" s="148" t="s">
        <v>1311</v>
      </c>
      <c r="AE65" s="164" t="b">
        <v>1</v>
      </c>
      <c r="AF65" s="164" t="b">
        <v>1</v>
      </c>
      <c r="AG65" s="408">
        <v>0</v>
      </c>
      <c r="AH65" s="409">
        <f>(X65-Q65)/Q65</f>
        <v>0</v>
      </c>
      <c r="AI65" s="371">
        <v>77.56</v>
      </c>
      <c r="AJ65" s="364">
        <v>0</v>
      </c>
      <c r="AK65" s="364"/>
      <c r="AL65" s="364">
        <v>77.56</v>
      </c>
      <c r="AM65" s="148"/>
      <c r="AN65" s="407">
        <v>46104</v>
      </c>
      <c r="AO65" s="148" t="s">
        <v>1312</v>
      </c>
      <c r="AP65" s="164" t="b">
        <v>1</v>
      </c>
      <c r="AQ65" s="164" t="b">
        <v>1</v>
      </c>
      <c r="AR65" s="438">
        <v>0</v>
      </c>
      <c r="AS65" s="438">
        <f t="shared" si="35"/>
        <v>0</v>
      </c>
      <c r="AT65" s="402">
        <f t="shared" si="62"/>
        <v>0</v>
      </c>
      <c r="AU65" s="402"/>
      <c r="AV65" s="402"/>
      <c r="AW65" s="402"/>
      <c r="AX65" s="148"/>
      <c r="AY65" s="926">
        <v>46135</v>
      </c>
      <c r="AZ65" s="148"/>
      <c r="BA65" s="164" t="b">
        <v>0</v>
      </c>
      <c r="BB65" s="164" t="b">
        <v>0</v>
      </c>
      <c r="BC65" s="438" t="e">
        <f t="shared" si="36"/>
        <v>#DIV/0!</v>
      </c>
      <c r="BD65" s="438">
        <f t="shared" si="37"/>
        <v>-1</v>
      </c>
      <c r="BE65" s="364">
        <f t="shared" si="38"/>
        <v>0</v>
      </c>
      <c r="BF65" s="364"/>
      <c r="BG65" s="364"/>
      <c r="BH65" s="364"/>
      <c r="BI65" s="148"/>
      <c r="BJ65" s="1196">
        <v>46165</v>
      </c>
      <c r="BK65" s="148"/>
      <c r="BL65" s="164" t="b">
        <v>0</v>
      </c>
      <c r="BM65" s="164" t="b">
        <v>0</v>
      </c>
      <c r="BN65" s="357" t="e">
        <f t="shared" si="39"/>
        <v>#DIV/0!</v>
      </c>
      <c r="BO65" s="357" t="e">
        <f t="shared" si="40"/>
        <v>#DIV/0!</v>
      </c>
      <c r="BP65" s="401">
        <f t="shared" si="41"/>
        <v>0</v>
      </c>
      <c r="BQ65" s="358"/>
      <c r="BR65" s="358"/>
      <c r="BS65" s="358"/>
      <c r="BT65" s="358"/>
      <c r="BU65" s="1196">
        <v>46196</v>
      </c>
      <c r="BV65" s="358"/>
      <c r="BW65" s="164" t="b">
        <v>0</v>
      </c>
      <c r="BX65" s="164" t="b">
        <v>0</v>
      </c>
      <c r="BY65" s="438" t="e">
        <f t="shared" si="42"/>
        <v>#DIV/0!</v>
      </c>
      <c r="BZ65" s="438" t="e">
        <f t="shared" si="43"/>
        <v>#DIV/0!</v>
      </c>
      <c r="CA65" s="401">
        <f t="shared" si="44"/>
        <v>0</v>
      </c>
      <c r="CB65" s="358"/>
      <c r="CC65" s="358"/>
      <c r="CD65" s="358"/>
      <c r="CE65" s="358"/>
      <c r="CF65" s="404"/>
      <c r="CG65" s="358"/>
      <c r="CH65" s="164" t="b">
        <v>0</v>
      </c>
      <c r="CI65" s="164" t="b">
        <v>0</v>
      </c>
      <c r="CJ65" s="438" t="e">
        <f t="shared" si="45"/>
        <v>#DIV/0!</v>
      </c>
      <c r="CK65" s="438" t="e">
        <f t="shared" si="46"/>
        <v>#DIV/0!</v>
      </c>
      <c r="CL65" s="401">
        <f t="shared" si="47"/>
        <v>0</v>
      </c>
      <c r="CM65" s="358"/>
      <c r="CN65" s="358"/>
      <c r="CO65" s="358"/>
      <c r="CP65" s="358"/>
      <c r="CQ65" s="404"/>
      <c r="CR65" s="358"/>
      <c r="CS65" s="164" t="b">
        <v>0</v>
      </c>
      <c r="CT65" s="164" t="b">
        <v>0</v>
      </c>
      <c r="CU65" s="358" t="e">
        <f t="shared" si="48"/>
        <v>#DIV/0!</v>
      </c>
      <c r="CV65" s="358" t="e">
        <f t="shared" si="49"/>
        <v>#DIV/0!</v>
      </c>
      <c r="CW65" s="401">
        <f t="shared" si="50"/>
        <v>0</v>
      </c>
      <c r="CX65" s="358"/>
      <c r="CY65" s="358"/>
      <c r="CZ65" s="358"/>
      <c r="DA65" s="358"/>
      <c r="DB65" s="404"/>
      <c r="DC65" s="358"/>
      <c r="DD65" s="164" t="b">
        <v>0</v>
      </c>
      <c r="DE65" s="164" t="b">
        <v>0</v>
      </c>
      <c r="DF65" s="438" t="e">
        <f t="shared" si="51"/>
        <v>#DIV/0!</v>
      </c>
      <c r="DG65" s="438" t="e">
        <f t="shared" si="52"/>
        <v>#DIV/0!</v>
      </c>
      <c r="DH65" s="401">
        <f t="shared" si="53"/>
        <v>0</v>
      </c>
      <c r="DI65" s="358"/>
      <c r="DJ65" s="358"/>
      <c r="DK65" s="358"/>
      <c r="DL65" s="358"/>
      <c r="DM65" s="358"/>
      <c r="DN65" s="404"/>
      <c r="DO65" s="358"/>
      <c r="DP65" s="164" t="b">
        <v>0</v>
      </c>
      <c r="DQ65" s="164" t="b">
        <v>0</v>
      </c>
      <c r="DR65" s="438" t="e">
        <f t="shared" si="54"/>
        <v>#DIV/0!</v>
      </c>
      <c r="DS65" s="883">
        <f t="shared" si="55"/>
        <v>0</v>
      </c>
      <c r="DT65" s="358"/>
      <c r="DU65" s="358"/>
      <c r="DV65" s="358"/>
      <c r="DW65" s="358"/>
      <c r="DX65" s="358"/>
      <c r="DY65" s="404"/>
      <c r="DZ65" s="358"/>
      <c r="EA65" s="164" t="b">
        <v>0</v>
      </c>
      <c r="EB65" s="164" t="b">
        <v>0</v>
      </c>
      <c r="EC65" s="438" t="e">
        <f t="shared" si="56"/>
        <v>#DIV/0!</v>
      </c>
      <c r="ED65" s="883">
        <f t="shared" si="57"/>
        <v>0</v>
      </c>
      <c r="EE65" s="358"/>
      <c r="EF65" s="358"/>
      <c r="EG65" s="358"/>
      <c r="EH65" s="358"/>
      <c r="EI65" s="358"/>
      <c r="EJ65" s="404"/>
      <c r="EK65" s="358"/>
      <c r="EL65" s="164" t="b">
        <v>0</v>
      </c>
      <c r="EM65" s="164" t="b">
        <v>0</v>
      </c>
      <c r="EN65" s="438" t="e">
        <f t="shared" si="58"/>
        <v>#DIV/0!</v>
      </c>
      <c r="EO65" s="883">
        <f t="shared" si="59"/>
        <v>0</v>
      </c>
      <c r="EP65" s="358"/>
      <c r="EQ65" s="358"/>
      <c r="ER65" s="358"/>
      <c r="ES65" s="358"/>
      <c r="ET65" s="358"/>
      <c r="EU65" s="404"/>
      <c r="EV65" s="358"/>
      <c r="EW65" s="164" t="b">
        <v>0</v>
      </c>
      <c r="EX65" s="164" t="b">
        <v>0</v>
      </c>
      <c r="EY65" s="438" t="e">
        <f t="shared" si="60"/>
        <v>#DIV/0!</v>
      </c>
      <c r="EZ65" s="438" t="e">
        <f t="shared" si="61"/>
        <v>#DIV/0!</v>
      </c>
    </row>
    <row r="66" spans="3:156" ht="15" customHeight="1">
      <c r="C66" s="195" t="s">
        <v>1316</v>
      </c>
      <c r="D66" s="154">
        <v>1450022</v>
      </c>
      <c r="E66" s="154">
        <v>88</v>
      </c>
      <c r="F66" s="154" t="s">
        <v>1317</v>
      </c>
      <c r="G66" s="154" t="s">
        <v>1318</v>
      </c>
      <c r="H66" s="154" t="s">
        <v>901</v>
      </c>
      <c r="I66" s="154" t="s">
        <v>1319</v>
      </c>
      <c r="J66" s="154" t="s">
        <v>1320</v>
      </c>
      <c r="K66" s="255" t="s">
        <v>1317</v>
      </c>
      <c r="L66" s="255" t="s">
        <v>1321</v>
      </c>
      <c r="M66" s="154"/>
      <c r="N66" s="154"/>
      <c r="O66" s="193">
        <v>27</v>
      </c>
      <c r="P66" s="176"/>
      <c r="Q66" s="348">
        <v>54945.81</v>
      </c>
      <c r="R66" s="348"/>
      <c r="S66" s="176"/>
      <c r="T66" s="203">
        <f t="shared" si="31"/>
        <v>54945.81</v>
      </c>
      <c r="U66" s="378">
        <v>4309</v>
      </c>
      <c r="V66" s="186">
        <v>46032</v>
      </c>
      <c r="W66" s="413" t="s">
        <v>1322</v>
      </c>
      <c r="X66" s="475">
        <f t="shared" si="0"/>
        <v>59888.22</v>
      </c>
      <c r="Y66" s="170"/>
      <c r="Z66" s="170"/>
      <c r="AA66" s="170">
        <v>59888.22</v>
      </c>
      <c r="AB66" s="171">
        <v>4693</v>
      </c>
      <c r="AC66" s="172">
        <v>46063</v>
      </c>
      <c r="AD66" s="171" t="s">
        <v>1323</v>
      </c>
      <c r="AE66" s="177" t="b">
        <v>1</v>
      </c>
      <c r="AF66" s="177" t="b">
        <v>1</v>
      </c>
      <c r="AG66" s="410">
        <f t="shared" si="33"/>
        <v>8.9115804130888834E-2</v>
      </c>
      <c r="AH66" s="392">
        <f>(X66-Q66)/Q66</f>
        <v>8.9950625898498976E-2</v>
      </c>
      <c r="AI66" s="371">
        <f t="shared" si="30"/>
        <v>63620.78</v>
      </c>
      <c r="AJ66" s="368">
        <v>0</v>
      </c>
      <c r="AK66" s="368"/>
      <c r="AL66" s="368">
        <v>63620.78</v>
      </c>
      <c r="AM66" s="171">
        <v>4983</v>
      </c>
      <c r="AN66" s="172">
        <v>46091</v>
      </c>
      <c r="AO66" s="453" t="s">
        <v>1324</v>
      </c>
      <c r="AP66" s="177" t="b">
        <v>1</v>
      </c>
      <c r="AQ66" s="177" t="b">
        <v>1</v>
      </c>
      <c r="AR66" s="439">
        <f t="shared" si="34"/>
        <v>6.1794161517153209E-2</v>
      </c>
      <c r="AS66" s="439">
        <f t="shared" si="35"/>
        <v>6.2325445638557929E-2</v>
      </c>
      <c r="AT66" s="203">
        <v>47596.53</v>
      </c>
      <c r="AU66" s="203">
        <v>0</v>
      </c>
      <c r="AV66" s="203">
        <v>0</v>
      </c>
      <c r="AW66" s="203">
        <v>47596.53</v>
      </c>
      <c r="AX66" s="171">
        <v>3738</v>
      </c>
      <c r="AY66" s="172">
        <v>46122</v>
      </c>
      <c r="AZ66" s="171" t="s">
        <v>1325</v>
      </c>
      <c r="BA66" s="177" t="b">
        <v>1</v>
      </c>
      <c r="BB66" s="177" t="b">
        <v>1</v>
      </c>
      <c r="BC66" s="439">
        <f t="shared" si="36"/>
        <v>-0.2498494882600843</v>
      </c>
      <c r="BD66" s="439">
        <f t="shared" si="37"/>
        <v>-0.25187132254587258</v>
      </c>
      <c r="BE66" s="368">
        <f t="shared" si="38"/>
        <v>0</v>
      </c>
      <c r="BF66" s="368"/>
      <c r="BG66" s="368"/>
      <c r="BH66" s="368"/>
      <c r="BI66" s="171"/>
      <c r="BJ66" s="1197">
        <v>46152</v>
      </c>
      <c r="BK66" s="171"/>
      <c r="BL66" s="177" t="b">
        <v>0</v>
      </c>
      <c r="BM66" s="177" t="b">
        <v>0</v>
      </c>
      <c r="BN66" s="154">
        <f t="shared" si="39"/>
        <v>-1</v>
      </c>
      <c r="BO66" s="154">
        <f t="shared" si="40"/>
        <v>-1</v>
      </c>
      <c r="BP66" s="348">
        <f t="shared" si="41"/>
        <v>0</v>
      </c>
      <c r="BQ66" s="176"/>
      <c r="BR66" s="176"/>
      <c r="BS66" s="176"/>
      <c r="BT66" s="176"/>
      <c r="BU66" s="1197">
        <v>46183</v>
      </c>
      <c r="BV66" s="176"/>
      <c r="BW66" s="177" t="b">
        <v>0</v>
      </c>
      <c r="BX66" s="177" t="b">
        <v>0</v>
      </c>
      <c r="BY66" s="439" t="e">
        <f t="shared" si="42"/>
        <v>#DIV/0!</v>
      </c>
      <c r="BZ66" s="439" t="e">
        <f t="shared" si="43"/>
        <v>#DIV/0!</v>
      </c>
      <c r="CA66" s="348">
        <f t="shared" si="44"/>
        <v>0</v>
      </c>
      <c r="CB66" s="176"/>
      <c r="CC66" s="176"/>
      <c r="CD66" s="176"/>
      <c r="CE66" s="176"/>
      <c r="CF66" s="186"/>
      <c r="CG66" s="176"/>
      <c r="CH66" s="177" t="b">
        <v>0</v>
      </c>
      <c r="CI66" s="177" t="b">
        <v>0</v>
      </c>
      <c r="CJ66" s="439" t="e">
        <f t="shared" si="45"/>
        <v>#DIV/0!</v>
      </c>
      <c r="CK66" s="439" t="e">
        <f t="shared" si="46"/>
        <v>#DIV/0!</v>
      </c>
      <c r="CL66" s="348">
        <f t="shared" si="47"/>
        <v>0</v>
      </c>
      <c r="CM66" s="176"/>
      <c r="CN66" s="176"/>
      <c r="CO66" s="176"/>
      <c r="CP66" s="176"/>
      <c r="CQ66" s="186"/>
      <c r="CR66" s="176"/>
      <c r="CS66" s="177" t="b">
        <v>0</v>
      </c>
      <c r="CT66" s="177" t="b">
        <v>0</v>
      </c>
      <c r="CU66" s="176" t="e">
        <f t="shared" si="48"/>
        <v>#DIV/0!</v>
      </c>
      <c r="CV66" s="176" t="e">
        <f t="shared" si="49"/>
        <v>#DIV/0!</v>
      </c>
      <c r="CW66" s="348">
        <f t="shared" si="50"/>
        <v>0</v>
      </c>
      <c r="CX66" s="176"/>
      <c r="CY66" s="176"/>
      <c r="CZ66" s="176"/>
      <c r="DA66" s="176"/>
      <c r="DB66" s="186"/>
      <c r="DC66" s="176"/>
      <c r="DD66" s="177" t="b">
        <v>0</v>
      </c>
      <c r="DE66" s="177" t="b">
        <v>0</v>
      </c>
      <c r="DF66" s="439" t="e">
        <f t="shared" si="51"/>
        <v>#DIV/0!</v>
      </c>
      <c r="DG66" s="439" t="e">
        <f t="shared" si="52"/>
        <v>#DIV/0!</v>
      </c>
      <c r="DH66" s="348">
        <f t="shared" si="53"/>
        <v>0</v>
      </c>
      <c r="DI66" s="176"/>
      <c r="DJ66" s="176"/>
      <c r="DK66" s="176"/>
      <c r="DL66" s="176"/>
      <c r="DM66" s="176"/>
      <c r="DN66" s="186"/>
      <c r="DO66" s="176"/>
      <c r="DP66" s="177" t="b">
        <v>0</v>
      </c>
      <c r="DQ66" s="177" t="b">
        <v>0</v>
      </c>
      <c r="DR66" s="439" t="e">
        <f t="shared" si="54"/>
        <v>#DIV/0!</v>
      </c>
      <c r="DS66" s="884">
        <f t="shared" si="55"/>
        <v>0</v>
      </c>
      <c r="DT66" s="176"/>
      <c r="DU66" s="176"/>
      <c r="DV66" s="176"/>
      <c r="DW66" s="176"/>
      <c r="DX66" s="176"/>
      <c r="DY66" s="186"/>
      <c r="DZ66" s="176"/>
      <c r="EA66" s="177" t="b">
        <v>0</v>
      </c>
      <c r="EB66" s="177" t="b">
        <v>0</v>
      </c>
      <c r="EC66" s="439" t="e">
        <f t="shared" si="56"/>
        <v>#DIV/0!</v>
      </c>
      <c r="ED66" s="884">
        <f t="shared" si="57"/>
        <v>0</v>
      </c>
      <c r="EE66" s="176"/>
      <c r="EF66" s="176"/>
      <c r="EG66" s="176"/>
      <c r="EH66" s="176"/>
      <c r="EI66" s="176"/>
      <c r="EJ66" s="186"/>
      <c r="EK66" s="176"/>
      <c r="EL66" s="177" t="b">
        <v>0</v>
      </c>
      <c r="EM66" s="177" t="b">
        <v>0</v>
      </c>
      <c r="EN66" s="439" t="e">
        <f t="shared" si="58"/>
        <v>#DIV/0!</v>
      </c>
      <c r="EO66" s="884">
        <f t="shared" si="59"/>
        <v>0</v>
      </c>
      <c r="EP66" s="176"/>
      <c r="EQ66" s="176"/>
      <c r="ER66" s="176"/>
      <c r="ES66" s="176"/>
      <c r="ET66" s="176"/>
      <c r="EU66" s="186"/>
      <c r="EV66" s="176"/>
      <c r="EW66" s="177" t="b">
        <v>0</v>
      </c>
      <c r="EX66" s="177" t="b">
        <v>0</v>
      </c>
      <c r="EY66" s="439" t="e">
        <f t="shared" si="60"/>
        <v>#DIV/0!</v>
      </c>
      <c r="EZ66" s="439" t="e">
        <f t="shared" si="61"/>
        <v>#DIV/0!</v>
      </c>
    </row>
    <row r="67" spans="3:156" ht="15" customHeight="1">
      <c r="C67" s="400" t="s">
        <v>1326</v>
      </c>
      <c r="D67" s="357">
        <v>1450022</v>
      </c>
      <c r="E67" s="357">
        <v>71</v>
      </c>
      <c r="F67" s="357" t="s">
        <v>1327</v>
      </c>
      <c r="G67" s="357" t="s">
        <v>1328</v>
      </c>
      <c r="H67" s="357" t="s">
        <v>901</v>
      </c>
      <c r="I67" s="357" t="s">
        <v>1329</v>
      </c>
      <c r="J67" s="357" t="s">
        <v>1330</v>
      </c>
      <c r="K67" s="426" t="s">
        <v>1327</v>
      </c>
      <c r="L67" s="426" t="s">
        <v>1331</v>
      </c>
      <c r="M67" s="357"/>
      <c r="N67" s="357"/>
      <c r="O67" s="359">
        <v>31</v>
      </c>
      <c r="P67" s="357"/>
      <c r="Q67" s="401">
        <v>149057.70000000001</v>
      </c>
      <c r="R67" s="401"/>
      <c r="S67" s="358"/>
      <c r="T67" s="402">
        <f t="shared" si="31"/>
        <v>149057.70000000001</v>
      </c>
      <c r="U67" s="403">
        <v>4821</v>
      </c>
      <c r="V67" s="404">
        <v>46037</v>
      </c>
      <c r="W67" s="386" t="s">
        <v>1332</v>
      </c>
      <c r="X67" s="144">
        <f t="shared" si="0"/>
        <v>140505.68</v>
      </c>
      <c r="Y67" s="406"/>
      <c r="Z67" s="406"/>
      <c r="AA67" s="406">
        <v>140505.68</v>
      </c>
      <c r="AB67" s="148">
        <v>4546</v>
      </c>
      <c r="AC67" s="407">
        <v>46069</v>
      </c>
      <c r="AD67" s="148" t="s">
        <v>1333</v>
      </c>
      <c r="AE67" s="164" t="b">
        <v>1</v>
      </c>
      <c r="AF67" s="164" t="b">
        <v>1</v>
      </c>
      <c r="AG67" s="408">
        <f t="shared" si="33"/>
        <v>-5.7042107446587845E-2</v>
      </c>
      <c r="AH67" s="409">
        <f>(X67-Q67)/Q67</f>
        <v>-5.737388944012968E-2</v>
      </c>
      <c r="AI67" s="371">
        <f t="shared" si="30"/>
        <v>140132.51</v>
      </c>
      <c r="AJ67" s="364"/>
      <c r="AK67" s="364"/>
      <c r="AL67" s="364">
        <v>140132.51</v>
      </c>
      <c r="AM67" s="148">
        <v>4534</v>
      </c>
      <c r="AN67" s="407">
        <v>46097</v>
      </c>
      <c r="AO67" s="148" t="s">
        <v>1334</v>
      </c>
      <c r="AP67" s="164" t="b">
        <v>1</v>
      </c>
      <c r="AQ67" s="164" t="b">
        <v>1</v>
      </c>
      <c r="AR67" s="438">
        <f t="shared" si="34"/>
        <v>-2.6396832380114386E-3</v>
      </c>
      <c r="AS67" s="438">
        <f t="shared" si="35"/>
        <v>-2.6559068644056503E-3</v>
      </c>
      <c r="AT67" s="402">
        <v>206717.24</v>
      </c>
      <c r="AU67" s="402">
        <v>0</v>
      </c>
      <c r="AV67" s="402">
        <v>187.34</v>
      </c>
      <c r="AW67" s="402">
        <v>206529.9</v>
      </c>
      <c r="AX67" s="148">
        <v>6305</v>
      </c>
      <c r="AY67" s="407">
        <v>46127</v>
      </c>
      <c r="AZ67" s="148" t="s">
        <v>1335</v>
      </c>
      <c r="BA67" s="164" t="b">
        <v>1</v>
      </c>
      <c r="BB67" s="164" t="b">
        <v>1</v>
      </c>
      <c r="BC67" s="438">
        <f t="shared" si="36"/>
        <v>0.39060432289369212</v>
      </c>
      <c r="BD67" s="438">
        <f t="shared" si="37"/>
        <v>0.47381860212166316</v>
      </c>
      <c r="BE67" s="364">
        <f t="shared" si="38"/>
        <v>0</v>
      </c>
      <c r="BF67" s="364"/>
      <c r="BG67" s="364"/>
      <c r="BH67" s="364"/>
      <c r="BI67" s="148"/>
      <c r="BJ67" s="1196">
        <v>46157</v>
      </c>
      <c r="BK67" s="148"/>
      <c r="BL67" s="164" t="b">
        <v>0</v>
      </c>
      <c r="BM67" s="164" t="b">
        <v>0</v>
      </c>
      <c r="BN67" s="357">
        <f t="shared" si="39"/>
        <v>-1</v>
      </c>
      <c r="BO67" s="357">
        <f t="shared" si="40"/>
        <v>-1</v>
      </c>
      <c r="BP67" s="401">
        <f t="shared" si="41"/>
        <v>0</v>
      </c>
      <c r="BQ67" s="358"/>
      <c r="BR67" s="358"/>
      <c r="BS67" s="358"/>
      <c r="BT67" s="358"/>
      <c r="BU67" s="1196">
        <v>46188</v>
      </c>
      <c r="BV67" s="358"/>
      <c r="BW67" s="164" t="b">
        <v>0</v>
      </c>
      <c r="BX67" s="164" t="b">
        <v>0</v>
      </c>
      <c r="BY67" s="438" t="e">
        <f t="shared" si="42"/>
        <v>#DIV/0!</v>
      </c>
      <c r="BZ67" s="438" t="e">
        <f t="shared" si="43"/>
        <v>#DIV/0!</v>
      </c>
      <c r="CA67" s="401">
        <f t="shared" si="44"/>
        <v>0</v>
      </c>
      <c r="CB67" s="358"/>
      <c r="CC67" s="358"/>
      <c r="CD67" s="358"/>
      <c r="CE67" s="358"/>
      <c r="CF67" s="404"/>
      <c r="CG67" s="358"/>
      <c r="CH67" s="164" t="b">
        <v>0</v>
      </c>
      <c r="CI67" s="164" t="b">
        <v>0</v>
      </c>
      <c r="CJ67" s="438" t="e">
        <f t="shared" si="45"/>
        <v>#DIV/0!</v>
      </c>
      <c r="CK67" s="438" t="e">
        <f t="shared" si="46"/>
        <v>#DIV/0!</v>
      </c>
      <c r="CL67" s="401">
        <f t="shared" si="47"/>
        <v>0</v>
      </c>
      <c r="CM67" s="358"/>
      <c r="CN67" s="358"/>
      <c r="CO67" s="358"/>
      <c r="CP67" s="358"/>
      <c r="CQ67" s="404"/>
      <c r="CR67" s="358"/>
      <c r="CS67" s="164" t="b">
        <v>0</v>
      </c>
      <c r="CT67" s="164" t="b">
        <v>0</v>
      </c>
      <c r="CU67" s="358" t="e">
        <f t="shared" si="48"/>
        <v>#DIV/0!</v>
      </c>
      <c r="CV67" s="358" t="e">
        <f t="shared" si="49"/>
        <v>#DIV/0!</v>
      </c>
      <c r="CW67" s="401">
        <f t="shared" si="50"/>
        <v>0</v>
      </c>
      <c r="CX67" s="358"/>
      <c r="CY67" s="358"/>
      <c r="CZ67" s="358"/>
      <c r="DA67" s="358"/>
      <c r="DB67" s="404"/>
      <c r="DC67" s="358"/>
      <c r="DD67" s="164" t="b">
        <v>0</v>
      </c>
      <c r="DE67" s="164" t="b">
        <v>0</v>
      </c>
      <c r="DF67" s="438" t="e">
        <f t="shared" si="51"/>
        <v>#DIV/0!</v>
      </c>
      <c r="DG67" s="438" t="e">
        <f t="shared" si="52"/>
        <v>#DIV/0!</v>
      </c>
      <c r="DH67" s="401">
        <f t="shared" si="53"/>
        <v>0</v>
      </c>
      <c r="DI67" s="358"/>
      <c r="DJ67" s="358"/>
      <c r="DK67" s="358"/>
      <c r="DL67" s="358"/>
      <c r="DM67" s="358"/>
      <c r="DN67" s="404"/>
      <c r="DO67" s="358"/>
      <c r="DP67" s="164" t="b">
        <v>0</v>
      </c>
      <c r="DQ67" s="164" t="b">
        <v>0</v>
      </c>
      <c r="DR67" s="438" t="e">
        <f t="shared" si="54"/>
        <v>#DIV/0!</v>
      </c>
      <c r="DS67" s="883">
        <f t="shared" si="55"/>
        <v>0</v>
      </c>
      <c r="DT67" s="358"/>
      <c r="DU67" s="358"/>
      <c r="DV67" s="358"/>
      <c r="DW67" s="358"/>
      <c r="DX67" s="358"/>
      <c r="DY67" s="404"/>
      <c r="DZ67" s="358"/>
      <c r="EA67" s="164" t="b">
        <v>0</v>
      </c>
      <c r="EB67" s="164" t="b">
        <v>0</v>
      </c>
      <c r="EC67" s="438" t="e">
        <f t="shared" si="56"/>
        <v>#DIV/0!</v>
      </c>
      <c r="ED67" s="883">
        <f t="shared" si="57"/>
        <v>0</v>
      </c>
      <c r="EE67" s="358"/>
      <c r="EF67" s="358"/>
      <c r="EG67" s="358"/>
      <c r="EH67" s="358"/>
      <c r="EI67" s="358"/>
      <c r="EJ67" s="404"/>
      <c r="EK67" s="358"/>
      <c r="EL67" s="164" t="b">
        <v>0</v>
      </c>
      <c r="EM67" s="164" t="b">
        <v>0</v>
      </c>
      <c r="EN67" s="438" t="e">
        <f t="shared" si="58"/>
        <v>#DIV/0!</v>
      </c>
      <c r="EO67" s="883">
        <f t="shared" si="59"/>
        <v>0</v>
      </c>
      <c r="EP67" s="358"/>
      <c r="EQ67" s="358"/>
      <c r="ER67" s="358"/>
      <c r="ES67" s="358"/>
      <c r="ET67" s="358"/>
      <c r="EU67" s="404"/>
      <c r="EV67" s="358"/>
      <c r="EW67" s="164" t="b">
        <v>0</v>
      </c>
      <c r="EX67" s="164" t="b">
        <v>0</v>
      </c>
      <c r="EY67" s="438" t="e">
        <f t="shared" si="60"/>
        <v>#DIV/0!</v>
      </c>
      <c r="EZ67" s="438" t="e">
        <f t="shared" si="61"/>
        <v>#DIV/0!</v>
      </c>
    </row>
    <row r="68" spans="3:156" ht="15" customHeight="1">
      <c r="C68" s="197" t="s">
        <v>1336</v>
      </c>
      <c r="D68" s="154">
        <v>1450022</v>
      </c>
      <c r="E68" s="154">
        <v>222</v>
      </c>
      <c r="F68" s="154" t="s">
        <v>1337</v>
      </c>
      <c r="G68" s="154" t="s">
        <v>1338</v>
      </c>
      <c r="H68" s="154" t="s">
        <v>901</v>
      </c>
      <c r="I68" s="154" t="s">
        <v>1339</v>
      </c>
      <c r="J68" s="154" t="s">
        <v>1340</v>
      </c>
      <c r="K68" s="255" t="s">
        <v>1337</v>
      </c>
      <c r="L68" s="255" t="s">
        <v>1341</v>
      </c>
      <c r="M68" s="154"/>
      <c r="N68" s="154"/>
      <c r="O68" s="193">
        <v>47</v>
      </c>
      <c r="P68" s="154"/>
      <c r="Q68" s="348">
        <v>22305.599999999999</v>
      </c>
      <c r="R68" s="348"/>
      <c r="S68" s="176"/>
      <c r="T68" s="203">
        <f t="shared" si="31"/>
        <v>22305.599999999999</v>
      </c>
      <c r="U68" s="378">
        <v>1587</v>
      </c>
      <c r="V68" s="186">
        <v>46050</v>
      </c>
      <c r="W68" s="383" t="s">
        <v>1342</v>
      </c>
      <c r="X68" s="475">
        <f t="shared" si="0"/>
        <v>31255.02</v>
      </c>
      <c r="Y68" s="170"/>
      <c r="Z68" s="170"/>
      <c r="AA68" s="170">
        <v>31255.02</v>
      </c>
      <c r="AB68" s="171">
        <v>2201</v>
      </c>
      <c r="AC68" s="172">
        <v>46081</v>
      </c>
      <c r="AD68" s="171" t="s">
        <v>1343</v>
      </c>
      <c r="AE68" s="177" t="b">
        <v>1</v>
      </c>
      <c r="AF68" s="177" t="b">
        <v>1</v>
      </c>
      <c r="AG68" s="410">
        <f t="shared" si="33"/>
        <v>0.38689350976685571</v>
      </c>
      <c r="AH68" s="392">
        <f>(X68-Q68)/Q68</f>
        <v>0.40121852808263408</v>
      </c>
      <c r="AI68" s="371">
        <v>26390.080000000002</v>
      </c>
      <c r="AJ68" s="368">
        <v>0</v>
      </c>
      <c r="AK68" s="368">
        <v>0</v>
      </c>
      <c r="AL68" s="368">
        <v>26390.080000000002</v>
      </c>
      <c r="AM68" s="171">
        <v>1746</v>
      </c>
      <c r="AN68" s="172">
        <v>46109</v>
      </c>
      <c r="AO68" s="154" t="s">
        <v>1344</v>
      </c>
      <c r="AP68" s="177" t="b">
        <v>1</v>
      </c>
      <c r="AQ68" s="177" t="b">
        <v>1</v>
      </c>
      <c r="AR68" s="439">
        <f t="shared" si="34"/>
        <v>-0.20672421626533394</v>
      </c>
      <c r="AS68" s="439">
        <f t="shared" si="35"/>
        <v>-0.155653075889889</v>
      </c>
      <c r="AT68" s="203">
        <f t="shared" si="62"/>
        <v>0</v>
      </c>
      <c r="AU68" s="203"/>
      <c r="AV68" s="203"/>
      <c r="AW68" s="203"/>
      <c r="AX68" s="171"/>
      <c r="AY68" s="925">
        <v>46140</v>
      </c>
      <c r="AZ68" s="171"/>
      <c r="BA68" s="177" t="b">
        <v>0</v>
      </c>
      <c r="BB68" s="177" t="b">
        <v>0</v>
      </c>
      <c r="BC68" s="439">
        <f t="shared" si="36"/>
        <v>-1</v>
      </c>
      <c r="BD68" s="439">
        <f t="shared" si="37"/>
        <v>-1</v>
      </c>
      <c r="BE68" s="368">
        <f t="shared" si="38"/>
        <v>0</v>
      </c>
      <c r="BF68" s="368"/>
      <c r="BG68" s="368"/>
      <c r="BH68" s="368"/>
      <c r="BI68" s="171"/>
      <c r="BJ68" s="1197">
        <v>46170</v>
      </c>
      <c r="BK68" s="171"/>
      <c r="BL68" s="177" t="b">
        <v>0</v>
      </c>
      <c r="BM68" s="177" t="b">
        <v>0</v>
      </c>
      <c r="BN68" s="154" t="e">
        <f t="shared" si="39"/>
        <v>#DIV/0!</v>
      </c>
      <c r="BO68" s="154" t="e">
        <f t="shared" si="40"/>
        <v>#DIV/0!</v>
      </c>
      <c r="BP68" s="348">
        <f t="shared" si="41"/>
        <v>0</v>
      </c>
      <c r="BQ68" s="176"/>
      <c r="BR68" s="176"/>
      <c r="BS68" s="176"/>
      <c r="BT68" s="176"/>
      <c r="BU68" s="1197">
        <v>46201</v>
      </c>
      <c r="BV68" s="176"/>
      <c r="BW68" s="177" t="b">
        <v>0</v>
      </c>
      <c r="BX68" s="177" t="b">
        <v>0</v>
      </c>
      <c r="BY68" s="439" t="e">
        <f t="shared" si="42"/>
        <v>#DIV/0!</v>
      </c>
      <c r="BZ68" s="439" t="e">
        <f t="shared" si="43"/>
        <v>#DIV/0!</v>
      </c>
      <c r="CA68" s="348">
        <f t="shared" si="44"/>
        <v>0</v>
      </c>
      <c r="CB68" s="176"/>
      <c r="CC68" s="176"/>
      <c r="CD68" s="176"/>
      <c r="CE68" s="176"/>
      <c r="CF68" s="186"/>
      <c r="CG68" s="176"/>
      <c r="CH68" s="177" t="b">
        <v>0</v>
      </c>
      <c r="CI68" s="177" t="b">
        <v>0</v>
      </c>
      <c r="CJ68" s="439" t="e">
        <f t="shared" si="45"/>
        <v>#DIV/0!</v>
      </c>
      <c r="CK68" s="439" t="e">
        <f t="shared" si="46"/>
        <v>#DIV/0!</v>
      </c>
      <c r="CL68" s="348">
        <f t="shared" si="47"/>
        <v>0</v>
      </c>
      <c r="CM68" s="176"/>
      <c r="CN68" s="176"/>
      <c r="CO68" s="176"/>
      <c r="CP68" s="176"/>
      <c r="CQ68" s="186"/>
      <c r="CR68" s="176"/>
      <c r="CS68" s="177" t="b">
        <v>0</v>
      </c>
      <c r="CT68" s="177" t="b">
        <v>0</v>
      </c>
      <c r="CU68" s="176" t="e">
        <f t="shared" si="48"/>
        <v>#DIV/0!</v>
      </c>
      <c r="CV68" s="176" t="e">
        <f t="shared" si="49"/>
        <v>#DIV/0!</v>
      </c>
      <c r="CW68" s="348">
        <f t="shared" si="50"/>
        <v>0</v>
      </c>
      <c r="CX68" s="176"/>
      <c r="CY68" s="176"/>
      <c r="CZ68" s="176"/>
      <c r="DA68" s="176"/>
      <c r="DB68" s="186"/>
      <c r="DC68" s="176"/>
      <c r="DD68" s="177" t="b">
        <v>0</v>
      </c>
      <c r="DE68" s="177" t="b">
        <v>0</v>
      </c>
      <c r="DF68" s="439" t="e">
        <f t="shared" si="51"/>
        <v>#DIV/0!</v>
      </c>
      <c r="DG68" s="439" t="e">
        <f t="shared" si="52"/>
        <v>#DIV/0!</v>
      </c>
      <c r="DH68" s="348">
        <f t="shared" si="53"/>
        <v>0</v>
      </c>
      <c r="DI68" s="176"/>
      <c r="DJ68" s="176"/>
      <c r="DK68" s="176"/>
      <c r="DL68" s="176"/>
      <c r="DM68" s="176"/>
      <c r="DN68" s="186"/>
      <c r="DO68" s="176"/>
      <c r="DP68" s="177" t="b">
        <v>0</v>
      </c>
      <c r="DQ68" s="177" t="b">
        <v>0</v>
      </c>
      <c r="DR68" s="439" t="e">
        <f t="shared" si="54"/>
        <v>#DIV/0!</v>
      </c>
      <c r="DS68" s="884">
        <f t="shared" si="55"/>
        <v>0</v>
      </c>
      <c r="DT68" s="176"/>
      <c r="DU68" s="176"/>
      <c r="DV68" s="176"/>
      <c r="DW68" s="176"/>
      <c r="DX68" s="176"/>
      <c r="DY68" s="186"/>
      <c r="DZ68" s="176"/>
      <c r="EA68" s="177" t="b">
        <v>0</v>
      </c>
      <c r="EB68" s="177" t="b">
        <v>0</v>
      </c>
      <c r="EC68" s="439" t="e">
        <f t="shared" si="56"/>
        <v>#DIV/0!</v>
      </c>
      <c r="ED68" s="884">
        <f t="shared" si="57"/>
        <v>0</v>
      </c>
      <c r="EE68" s="176"/>
      <c r="EF68" s="176"/>
      <c r="EG68" s="176"/>
      <c r="EH68" s="176"/>
      <c r="EI68" s="176"/>
      <c r="EJ68" s="186"/>
      <c r="EK68" s="176"/>
      <c r="EL68" s="177" t="b">
        <v>0</v>
      </c>
      <c r="EM68" s="177" t="b">
        <v>0</v>
      </c>
      <c r="EN68" s="439" t="e">
        <f t="shared" si="58"/>
        <v>#DIV/0!</v>
      </c>
      <c r="EO68" s="884">
        <f t="shared" si="59"/>
        <v>0</v>
      </c>
      <c r="EP68" s="176"/>
      <c r="EQ68" s="176"/>
      <c r="ER68" s="176"/>
      <c r="ES68" s="176"/>
      <c r="ET68" s="176"/>
      <c r="EU68" s="186"/>
      <c r="EV68" s="176"/>
      <c r="EW68" s="177" t="b">
        <v>0</v>
      </c>
      <c r="EX68" s="177" t="b">
        <v>0</v>
      </c>
      <c r="EY68" s="439" t="e">
        <f t="shared" si="60"/>
        <v>#DIV/0!</v>
      </c>
      <c r="EZ68" s="439" t="e">
        <f t="shared" si="61"/>
        <v>#DIV/0!</v>
      </c>
    </row>
    <row r="69" spans="3:156" ht="15" customHeight="1">
      <c r="C69" s="197" t="s">
        <v>1336</v>
      </c>
      <c r="D69" s="154">
        <v>1450022</v>
      </c>
      <c r="E69" s="154">
        <v>222</v>
      </c>
      <c r="F69" s="154" t="s">
        <v>1345</v>
      </c>
      <c r="G69" s="154" t="s">
        <v>1346</v>
      </c>
      <c r="H69" s="154" t="s">
        <v>901</v>
      </c>
      <c r="I69" s="154" t="s">
        <v>1339</v>
      </c>
      <c r="J69" s="154" t="s">
        <v>1340</v>
      </c>
      <c r="K69" s="255" t="s">
        <v>1345</v>
      </c>
      <c r="L69" s="255" t="s">
        <v>1347</v>
      </c>
      <c r="M69" s="154"/>
      <c r="N69" s="154"/>
      <c r="O69" s="193">
        <v>47</v>
      </c>
      <c r="P69" s="154"/>
      <c r="Q69" s="348">
        <v>1277.8</v>
      </c>
      <c r="R69" s="348"/>
      <c r="S69" s="176"/>
      <c r="T69" s="203">
        <f t="shared" si="31"/>
        <v>1277.8</v>
      </c>
      <c r="U69" s="378">
        <v>139</v>
      </c>
      <c r="V69" s="186">
        <v>46050</v>
      </c>
      <c r="W69" s="383" t="s">
        <v>1342</v>
      </c>
      <c r="X69" s="475">
        <f t="shared" ref="X69:X80" si="63">SUM(AA69, ABS(Y69))</f>
        <v>1493.79</v>
      </c>
      <c r="Y69" s="170"/>
      <c r="Z69" s="170"/>
      <c r="AA69" s="170">
        <v>1493.79</v>
      </c>
      <c r="AB69" s="171">
        <v>158</v>
      </c>
      <c r="AC69" s="172">
        <v>46081</v>
      </c>
      <c r="AD69" s="171" t="s">
        <v>1343</v>
      </c>
      <c r="AE69" s="177" t="b">
        <v>1</v>
      </c>
      <c r="AF69" s="177" t="b">
        <v>1</v>
      </c>
      <c r="AG69" s="410">
        <f t="shared" ref="AG69:AG81" si="64">(AB69-U69)/U69</f>
        <v>0.1366906474820144</v>
      </c>
      <c r="AH69" s="392">
        <f>(X69-Q69)/Q69</f>
        <v>0.16903271247456567</v>
      </c>
      <c r="AI69" s="455">
        <v>1298.57</v>
      </c>
      <c r="AJ69" s="368">
        <v>0</v>
      </c>
      <c r="AK69" s="368"/>
      <c r="AL69" s="368">
        <v>1298.57</v>
      </c>
      <c r="AM69" s="171">
        <v>134</v>
      </c>
      <c r="AN69" s="172">
        <v>46109</v>
      </c>
      <c r="AO69" s="154" t="s">
        <v>1344</v>
      </c>
      <c r="AP69" s="177" t="b">
        <v>1</v>
      </c>
      <c r="AQ69" s="177" t="b">
        <v>1</v>
      </c>
      <c r="AR69" s="439">
        <f t="shared" ref="AR69:AR83" si="65">(AM69-AB69)/AB69</f>
        <v>-0.15189873417721519</v>
      </c>
      <c r="AS69" s="439">
        <f t="shared" ref="AS69:AS83" si="66">(AI69-X69)/X69</f>
        <v>-0.13068771380180616</v>
      </c>
      <c r="AT69" s="203">
        <f t="shared" ref="AT69:AT83" si="67">SUM(AW69, ABS(AU69))</f>
        <v>0</v>
      </c>
      <c r="AU69" s="203"/>
      <c r="AV69" s="203"/>
      <c r="AW69" s="203"/>
      <c r="AX69" s="171"/>
      <c r="AY69" s="925">
        <v>46140</v>
      </c>
      <c r="AZ69" s="171"/>
      <c r="BA69" s="177" t="b">
        <v>0</v>
      </c>
      <c r="BB69" s="177" t="b">
        <v>0</v>
      </c>
      <c r="BC69" s="439">
        <f t="shared" ref="BC69:BC81" si="68">(AX69-AM69)/AM69</f>
        <v>-1</v>
      </c>
      <c r="BD69" s="439">
        <f t="shared" ref="BD69:BD81" si="69">(AW69-AL69)/AL69</f>
        <v>-1</v>
      </c>
      <c r="BE69" s="368">
        <f t="shared" ref="BE69:BE83" si="70">SUM(BH69, ABS(BF69))</f>
        <v>0</v>
      </c>
      <c r="BF69" s="368"/>
      <c r="BG69" s="368"/>
      <c r="BH69" s="368"/>
      <c r="BI69" s="171"/>
      <c r="BJ69" s="1197">
        <v>46170</v>
      </c>
      <c r="BK69" s="171"/>
      <c r="BL69" s="177" t="b">
        <v>0</v>
      </c>
      <c r="BM69" s="177" t="b">
        <v>0</v>
      </c>
      <c r="BN69" s="154" t="e">
        <f t="shared" ref="BN69:BN81" si="71">(BI69-AX69)/AX69</f>
        <v>#DIV/0!</v>
      </c>
      <c r="BO69" s="154" t="e">
        <f t="shared" ref="BO69:BO81" si="72">(BH69-AW69)/AW69</f>
        <v>#DIV/0!</v>
      </c>
      <c r="BP69" s="348">
        <f t="shared" ref="BP69:BP83" si="73">SUM(BS69, ABS(BQ69))</f>
        <v>0</v>
      </c>
      <c r="BQ69" s="176"/>
      <c r="BR69" s="176"/>
      <c r="BS69" s="176"/>
      <c r="BT69" s="176"/>
      <c r="BU69" s="1197">
        <v>46201</v>
      </c>
      <c r="BV69" s="176"/>
      <c r="BW69" s="177" t="b">
        <v>0</v>
      </c>
      <c r="BX69" s="177" t="b">
        <v>0</v>
      </c>
      <c r="BY69" s="439" t="e">
        <f t="shared" ref="BY69:BY81" si="74">(BT69-BI69)/BI69</f>
        <v>#DIV/0!</v>
      </c>
      <c r="BZ69" s="439" t="e">
        <f t="shared" ref="BZ69:BZ81" si="75">(BS69-BH69)/BH69</f>
        <v>#DIV/0!</v>
      </c>
      <c r="CA69" s="348">
        <f t="shared" ref="CA69:CA83" si="76">SUM(CD69, ABS(CB69))</f>
        <v>0</v>
      </c>
      <c r="CB69" s="176"/>
      <c r="CC69" s="176"/>
      <c r="CD69" s="176"/>
      <c r="CE69" s="176"/>
      <c r="CF69" s="186"/>
      <c r="CG69" s="176"/>
      <c r="CH69" s="177" t="b">
        <v>0</v>
      </c>
      <c r="CI69" s="177" t="b">
        <v>0</v>
      </c>
      <c r="CJ69" s="439" t="e">
        <f t="shared" ref="CJ69:CJ81" si="77">(CE69-BT69)/BT69</f>
        <v>#DIV/0!</v>
      </c>
      <c r="CK69" s="439" t="e">
        <f t="shared" ref="CK69:CK81" si="78">(CD69-BS69)/BS69</f>
        <v>#DIV/0!</v>
      </c>
      <c r="CL69" s="348">
        <f t="shared" ref="CL69:CL83" si="79">SUM(CO69, ABS(CM69))</f>
        <v>0</v>
      </c>
      <c r="CM69" s="176"/>
      <c r="CN69" s="176"/>
      <c r="CO69" s="176"/>
      <c r="CP69" s="176"/>
      <c r="CQ69" s="186"/>
      <c r="CR69" s="176"/>
      <c r="CS69" s="177" t="b">
        <v>0</v>
      </c>
      <c r="CT69" s="177" t="b">
        <v>0</v>
      </c>
      <c r="CU69" s="176" t="e">
        <f t="shared" ref="CU69:CU81" si="80">(CP69-CE69)/CE69</f>
        <v>#DIV/0!</v>
      </c>
      <c r="CV69" s="176" t="e">
        <f t="shared" ref="CV69:CV81" si="81">(CO69-CD69)/CD69</f>
        <v>#DIV/0!</v>
      </c>
      <c r="CW69" s="348">
        <f t="shared" ref="CW69:CW83" si="82">SUM(CZ69, ABS(CX69))</f>
        <v>0</v>
      </c>
      <c r="CX69" s="176"/>
      <c r="CY69" s="176"/>
      <c r="CZ69" s="176"/>
      <c r="DA69" s="176"/>
      <c r="DB69" s="186"/>
      <c r="DC69" s="176"/>
      <c r="DD69" s="177" t="b">
        <v>0</v>
      </c>
      <c r="DE69" s="177" t="b">
        <v>0</v>
      </c>
      <c r="DF69" s="439" t="e">
        <f t="shared" ref="DF69:DF81" si="83">(DA69-CP69)/CP69</f>
        <v>#DIV/0!</v>
      </c>
      <c r="DG69" s="439" t="e">
        <f t="shared" ref="DG69:DG81" si="84">(CZ69-CO69)/CO69</f>
        <v>#DIV/0!</v>
      </c>
      <c r="DH69" s="348">
        <f t="shared" ref="DH69:DH83" si="85">SUM(DK69, ABS(DI69))</f>
        <v>0</v>
      </c>
      <c r="DI69" s="176"/>
      <c r="DJ69" s="176"/>
      <c r="DK69" s="176"/>
      <c r="DL69" s="176"/>
      <c r="DM69" s="176"/>
      <c r="DN69" s="186"/>
      <c r="DO69" s="176"/>
      <c r="DP69" s="177" t="b">
        <v>0</v>
      </c>
      <c r="DQ69" s="177" t="b">
        <v>0</v>
      </c>
      <c r="DR69" s="439" t="e">
        <f t="shared" ref="DR69:DR81" si="86">(DM69-DA69)/DA69</f>
        <v>#DIV/0!</v>
      </c>
      <c r="DS69" s="884">
        <f t="shared" ref="DS69:DS83" si="87">SUM(DV69, ABS(DT69))</f>
        <v>0</v>
      </c>
      <c r="DT69" s="176"/>
      <c r="DU69" s="176"/>
      <c r="DV69" s="176"/>
      <c r="DW69" s="176"/>
      <c r="DX69" s="176"/>
      <c r="DY69" s="186"/>
      <c r="DZ69" s="176"/>
      <c r="EA69" s="177" t="b">
        <v>0</v>
      </c>
      <c r="EB69" s="177" t="b">
        <v>0</v>
      </c>
      <c r="EC69" s="439" t="e">
        <f t="shared" ref="EC69:EC81" si="88">(DX69-DM69)/DM69</f>
        <v>#DIV/0!</v>
      </c>
      <c r="ED69" s="884">
        <f t="shared" ref="ED69:ED83" si="89">SUM(EG69, ABS(EE69))</f>
        <v>0</v>
      </c>
      <c r="EE69" s="176"/>
      <c r="EF69" s="176"/>
      <c r="EG69" s="176"/>
      <c r="EH69" s="176"/>
      <c r="EI69" s="176"/>
      <c r="EJ69" s="186"/>
      <c r="EK69" s="176"/>
      <c r="EL69" s="177" t="b">
        <v>0</v>
      </c>
      <c r="EM69" s="177" t="b">
        <v>0</v>
      </c>
      <c r="EN69" s="439" t="e">
        <f t="shared" ref="EN69:EN81" si="90">(EI69-DX69)/DX69</f>
        <v>#DIV/0!</v>
      </c>
      <c r="EO69" s="884">
        <f t="shared" ref="EO69:EO83" si="91">SUM(ER69, ABS(EP69))</f>
        <v>0</v>
      </c>
      <c r="EP69" s="176"/>
      <c r="EQ69" s="176"/>
      <c r="ER69" s="176"/>
      <c r="ES69" s="176"/>
      <c r="ET69" s="176"/>
      <c r="EU69" s="186"/>
      <c r="EV69" s="176"/>
      <c r="EW69" s="177" t="b">
        <v>0</v>
      </c>
      <c r="EX69" s="177" t="b">
        <v>0</v>
      </c>
      <c r="EY69" s="439" t="e">
        <f t="shared" ref="EY69:EY81" si="92">(ET69-EI69)/EI69</f>
        <v>#DIV/0!</v>
      </c>
      <c r="EZ69" s="439" t="e">
        <f t="shared" ref="EZ69:EZ81" si="93">(ES69-EH69)/EH69</f>
        <v>#DIV/0!</v>
      </c>
    </row>
    <row r="70" spans="3:156" ht="15" customHeight="1">
      <c r="C70" s="400" t="s">
        <v>1348</v>
      </c>
      <c r="D70" s="357">
        <v>1450022</v>
      </c>
      <c r="E70" s="357">
        <v>225</v>
      </c>
      <c r="F70" s="357">
        <v>63328</v>
      </c>
      <c r="G70" s="357" t="s">
        <v>1349</v>
      </c>
      <c r="H70" s="357" t="s">
        <v>1104</v>
      </c>
      <c r="I70" s="357" t="s">
        <v>1350</v>
      </c>
      <c r="J70" s="357" t="s">
        <v>1351</v>
      </c>
      <c r="K70" s="426">
        <v>63328</v>
      </c>
      <c r="L70" s="426" t="s">
        <v>1349</v>
      </c>
      <c r="M70" s="357"/>
      <c r="N70" s="357"/>
      <c r="O70" s="359">
        <v>32</v>
      </c>
      <c r="P70" s="358"/>
      <c r="Q70" s="401">
        <v>13816.42</v>
      </c>
      <c r="R70" s="401"/>
      <c r="S70" s="358"/>
      <c r="T70" s="402">
        <f t="shared" si="31"/>
        <v>13816.42</v>
      </c>
      <c r="U70" s="403">
        <v>1132</v>
      </c>
      <c r="V70" s="404">
        <v>46037</v>
      </c>
      <c r="W70" s="386" t="s">
        <v>1352</v>
      </c>
      <c r="X70" s="144">
        <f t="shared" si="63"/>
        <v>14539.84</v>
      </c>
      <c r="Y70" s="406"/>
      <c r="Z70" s="406"/>
      <c r="AA70" s="406">
        <v>14539.84</v>
      </c>
      <c r="AB70" s="148">
        <v>1188</v>
      </c>
      <c r="AC70" s="407">
        <v>46069</v>
      </c>
      <c r="AD70" s="148" t="s">
        <v>1353</v>
      </c>
      <c r="AE70" s="164" t="b">
        <v>1</v>
      </c>
      <c r="AF70" s="164" t="b">
        <v>1</v>
      </c>
      <c r="AG70" s="408">
        <f t="shared" si="64"/>
        <v>4.9469964664310952E-2</v>
      </c>
      <c r="AH70" s="409">
        <f>(X70-Q70)/Q70</f>
        <v>5.2359438986365504E-2</v>
      </c>
      <c r="AI70" s="1096">
        <f t="shared" ref="AI70:AI83" si="94">SUM(AL70, ABS(AJ70))</f>
        <v>12369.59</v>
      </c>
      <c r="AJ70" s="364"/>
      <c r="AK70" s="364">
        <v>0</v>
      </c>
      <c r="AL70" s="364">
        <v>12369.59</v>
      </c>
      <c r="AM70" s="148">
        <v>1020</v>
      </c>
      <c r="AN70" s="407">
        <v>46097</v>
      </c>
      <c r="AO70" s="148" t="s">
        <v>1354</v>
      </c>
      <c r="AP70" s="164" t="b">
        <v>1</v>
      </c>
      <c r="AQ70" s="164" t="b">
        <v>1</v>
      </c>
      <c r="AR70" s="438">
        <f t="shared" si="65"/>
        <v>-0.14141414141414141</v>
      </c>
      <c r="AS70" s="438">
        <f t="shared" si="66"/>
        <v>-0.14926230274886107</v>
      </c>
      <c r="AT70" s="402">
        <v>13893.93</v>
      </c>
      <c r="AU70" s="402">
        <v>0</v>
      </c>
      <c r="AV70" s="402">
        <v>0</v>
      </c>
      <c r="AW70" s="402">
        <v>13893.93</v>
      </c>
      <c r="AX70" s="148"/>
      <c r="AY70" s="407">
        <v>46127</v>
      </c>
      <c r="AZ70" s="148" t="s">
        <v>1355</v>
      </c>
      <c r="BA70" s="164" t="b">
        <v>1</v>
      </c>
      <c r="BB70" s="164" t="b">
        <v>1</v>
      </c>
      <c r="BC70" s="438">
        <f t="shared" si="68"/>
        <v>-1</v>
      </c>
      <c r="BD70" s="438">
        <f t="shared" si="69"/>
        <v>0.12323286382167882</v>
      </c>
      <c r="BE70" s="364">
        <f t="shared" si="70"/>
        <v>0</v>
      </c>
      <c r="BF70" s="364"/>
      <c r="BG70" s="364"/>
      <c r="BH70" s="364"/>
      <c r="BI70" s="148"/>
      <c r="BJ70" s="1196">
        <v>46157</v>
      </c>
      <c r="BK70" s="148"/>
      <c r="BL70" s="164" t="b">
        <v>0</v>
      </c>
      <c r="BM70" s="164" t="b">
        <v>0</v>
      </c>
      <c r="BN70" s="357" t="e">
        <f t="shared" si="71"/>
        <v>#DIV/0!</v>
      </c>
      <c r="BO70" s="357">
        <f t="shared" si="72"/>
        <v>-1</v>
      </c>
      <c r="BP70" s="401">
        <f t="shared" si="73"/>
        <v>0</v>
      </c>
      <c r="BQ70" s="358"/>
      <c r="BR70" s="358"/>
      <c r="BS70" s="358"/>
      <c r="BT70" s="358"/>
      <c r="BU70" s="1196">
        <v>46188</v>
      </c>
      <c r="BV70" s="358"/>
      <c r="BW70" s="164" t="b">
        <v>0</v>
      </c>
      <c r="BX70" s="164" t="b">
        <v>0</v>
      </c>
      <c r="BY70" s="438" t="e">
        <f t="shared" si="74"/>
        <v>#DIV/0!</v>
      </c>
      <c r="BZ70" s="438" t="e">
        <f t="shared" si="75"/>
        <v>#DIV/0!</v>
      </c>
      <c r="CA70" s="401">
        <f t="shared" si="76"/>
        <v>0</v>
      </c>
      <c r="CB70" s="358"/>
      <c r="CC70" s="358"/>
      <c r="CD70" s="358"/>
      <c r="CE70" s="358"/>
      <c r="CF70" s="404"/>
      <c r="CG70" s="358"/>
      <c r="CH70" s="164" t="b">
        <v>0</v>
      </c>
      <c r="CI70" s="164" t="b">
        <v>0</v>
      </c>
      <c r="CJ70" s="438" t="e">
        <f t="shared" si="77"/>
        <v>#DIV/0!</v>
      </c>
      <c r="CK70" s="438" t="e">
        <f t="shared" si="78"/>
        <v>#DIV/0!</v>
      </c>
      <c r="CL70" s="401">
        <f t="shared" si="79"/>
        <v>0</v>
      </c>
      <c r="CM70" s="358"/>
      <c r="CN70" s="358"/>
      <c r="CO70" s="358"/>
      <c r="CP70" s="358"/>
      <c r="CQ70" s="404"/>
      <c r="CR70" s="358"/>
      <c r="CS70" s="164" t="b">
        <v>0</v>
      </c>
      <c r="CT70" s="164" t="b">
        <v>0</v>
      </c>
      <c r="CU70" s="358" t="e">
        <f t="shared" si="80"/>
        <v>#DIV/0!</v>
      </c>
      <c r="CV70" s="358" t="e">
        <f t="shared" si="81"/>
        <v>#DIV/0!</v>
      </c>
      <c r="CW70" s="401">
        <f t="shared" si="82"/>
        <v>0</v>
      </c>
      <c r="CX70" s="358"/>
      <c r="CY70" s="358"/>
      <c r="CZ70" s="358"/>
      <c r="DA70" s="358"/>
      <c r="DB70" s="404"/>
      <c r="DC70" s="358"/>
      <c r="DD70" s="164" t="b">
        <v>0</v>
      </c>
      <c r="DE70" s="164" t="b">
        <v>0</v>
      </c>
      <c r="DF70" s="438" t="e">
        <f t="shared" si="83"/>
        <v>#DIV/0!</v>
      </c>
      <c r="DG70" s="438" t="e">
        <f t="shared" si="84"/>
        <v>#DIV/0!</v>
      </c>
      <c r="DH70" s="401">
        <f t="shared" si="85"/>
        <v>0</v>
      </c>
      <c r="DI70" s="358"/>
      <c r="DJ70" s="358"/>
      <c r="DK70" s="358"/>
      <c r="DL70" s="358"/>
      <c r="DM70" s="358"/>
      <c r="DN70" s="404"/>
      <c r="DO70" s="358"/>
      <c r="DP70" s="164" t="b">
        <v>0</v>
      </c>
      <c r="DQ70" s="164" t="b">
        <v>0</v>
      </c>
      <c r="DR70" s="438" t="e">
        <f t="shared" si="86"/>
        <v>#DIV/0!</v>
      </c>
      <c r="DS70" s="883">
        <f t="shared" si="87"/>
        <v>0</v>
      </c>
      <c r="DT70" s="358"/>
      <c r="DU70" s="358"/>
      <c r="DV70" s="358"/>
      <c r="DW70" s="358"/>
      <c r="DX70" s="358"/>
      <c r="DY70" s="404"/>
      <c r="DZ70" s="358"/>
      <c r="EA70" s="164" t="b">
        <v>0</v>
      </c>
      <c r="EB70" s="164" t="b">
        <v>0</v>
      </c>
      <c r="EC70" s="438" t="e">
        <f t="shared" si="88"/>
        <v>#DIV/0!</v>
      </c>
      <c r="ED70" s="883">
        <f t="shared" si="89"/>
        <v>0</v>
      </c>
      <c r="EE70" s="358"/>
      <c r="EF70" s="358"/>
      <c r="EG70" s="358"/>
      <c r="EH70" s="358"/>
      <c r="EI70" s="358"/>
      <c r="EJ70" s="404"/>
      <c r="EK70" s="358"/>
      <c r="EL70" s="164" t="b">
        <v>0</v>
      </c>
      <c r="EM70" s="164" t="b">
        <v>0</v>
      </c>
      <c r="EN70" s="438" t="e">
        <f t="shared" si="90"/>
        <v>#DIV/0!</v>
      </c>
      <c r="EO70" s="883">
        <f t="shared" si="91"/>
        <v>0</v>
      </c>
      <c r="EP70" s="358"/>
      <c r="EQ70" s="358"/>
      <c r="ER70" s="358"/>
      <c r="ES70" s="358"/>
      <c r="ET70" s="358"/>
      <c r="EU70" s="404"/>
      <c r="EV70" s="358"/>
      <c r="EW70" s="164" t="b">
        <v>0</v>
      </c>
      <c r="EX70" s="164" t="b">
        <v>0</v>
      </c>
      <c r="EY70" s="438" t="e">
        <f t="shared" si="92"/>
        <v>#DIV/0!</v>
      </c>
      <c r="EZ70" s="438" t="e">
        <f t="shared" si="93"/>
        <v>#DIV/0!</v>
      </c>
    </row>
    <row r="71" spans="3:156" ht="15" customHeight="1">
      <c r="C71" s="400" t="s">
        <v>1348</v>
      </c>
      <c r="D71" s="357">
        <v>1450022</v>
      </c>
      <c r="E71" s="357">
        <v>225</v>
      </c>
      <c r="F71" s="357">
        <v>63087</v>
      </c>
      <c r="G71" s="357" t="s">
        <v>1356</v>
      </c>
      <c r="H71" s="357" t="s">
        <v>1104</v>
      </c>
      <c r="I71" s="357" t="s">
        <v>1350</v>
      </c>
      <c r="J71" s="357" t="s">
        <v>1351</v>
      </c>
      <c r="K71" s="426">
        <v>63087</v>
      </c>
      <c r="L71" s="426" t="s">
        <v>1356</v>
      </c>
      <c r="M71" s="357"/>
      <c r="N71" s="357"/>
      <c r="O71" s="359">
        <v>32</v>
      </c>
      <c r="P71" s="358"/>
      <c r="Q71" s="401">
        <v>146.58000000000001</v>
      </c>
      <c r="R71" s="401"/>
      <c r="S71" s="358"/>
      <c r="T71" s="402">
        <f t="shared" si="31"/>
        <v>146.58000000000001</v>
      </c>
      <c r="U71" s="403">
        <v>0</v>
      </c>
      <c r="V71" s="404">
        <v>46037</v>
      </c>
      <c r="W71" s="386" t="s">
        <v>1352</v>
      </c>
      <c r="X71" s="144">
        <f t="shared" si="63"/>
        <v>146.58000000000001</v>
      </c>
      <c r="Y71" s="406"/>
      <c r="Z71" s="406"/>
      <c r="AA71" s="406">
        <v>146.58000000000001</v>
      </c>
      <c r="AB71" s="148">
        <v>0</v>
      </c>
      <c r="AC71" s="407">
        <v>46069</v>
      </c>
      <c r="AD71" s="148" t="s">
        <v>1353</v>
      </c>
      <c r="AE71" s="164" t="b">
        <v>1</v>
      </c>
      <c r="AF71" s="164" t="b">
        <v>1</v>
      </c>
      <c r="AG71" s="408">
        <v>0</v>
      </c>
      <c r="AH71" s="409">
        <f>(X71-Q71)/Q71</f>
        <v>0</v>
      </c>
      <c r="AI71" s="371">
        <f t="shared" si="94"/>
        <v>146.58000000000001</v>
      </c>
      <c r="AJ71" s="364"/>
      <c r="AK71" s="364">
        <v>0</v>
      </c>
      <c r="AL71" s="364">
        <v>146.58000000000001</v>
      </c>
      <c r="AM71" s="148">
        <v>0</v>
      </c>
      <c r="AN71" s="407">
        <v>46097</v>
      </c>
      <c r="AO71" s="148" t="s">
        <v>1354</v>
      </c>
      <c r="AP71" s="164" t="b">
        <v>1</v>
      </c>
      <c r="AQ71" s="164" t="b">
        <v>1</v>
      </c>
      <c r="AR71" s="438">
        <v>0</v>
      </c>
      <c r="AS71" s="438">
        <f t="shared" si="66"/>
        <v>0</v>
      </c>
      <c r="AT71" s="402">
        <v>146.58000000000001</v>
      </c>
      <c r="AU71" s="402">
        <v>0</v>
      </c>
      <c r="AV71" s="402">
        <v>0</v>
      </c>
      <c r="AW71" s="402">
        <v>146.58000000000001</v>
      </c>
      <c r="AX71" s="148"/>
      <c r="AY71" s="407">
        <v>46127</v>
      </c>
      <c r="AZ71" s="148" t="s">
        <v>1355</v>
      </c>
      <c r="BA71" s="164" t="b">
        <v>1</v>
      </c>
      <c r="BB71" s="164" t="b">
        <v>1</v>
      </c>
      <c r="BC71" s="438" t="e">
        <f t="shared" si="68"/>
        <v>#DIV/0!</v>
      </c>
      <c r="BD71" s="438">
        <f t="shared" si="69"/>
        <v>0</v>
      </c>
      <c r="BE71" s="364">
        <f t="shared" si="70"/>
        <v>0</v>
      </c>
      <c r="BF71" s="364"/>
      <c r="BG71" s="364"/>
      <c r="BH71" s="364"/>
      <c r="BI71" s="148"/>
      <c r="BJ71" s="1196">
        <v>46157</v>
      </c>
      <c r="BK71" s="148"/>
      <c r="BL71" s="164" t="b">
        <v>0</v>
      </c>
      <c r="BM71" s="164" t="b">
        <v>0</v>
      </c>
      <c r="BN71" s="357" t="e">
        <f t="shared" si="71"/>
        <v>#DIV/0!</v>
      </c>
      <c r="BO71" s="357">
        <f t="shared" si="72"/>
        <v>-1</v>
      </c>
      <c r="BP71" s="401">
        <f t="shared" si="73"/>
        <v>0</v>
      </c>
      <c r="BQ71" s="358"/>
      <c r="BR71" s="358"/>
      <c r="BS71" s="358"/>
      <c r="BT71" s="358"/>
      <c r="BU71" s="1196">
        <v>46188</v>
      </c>
      <c r="BV71" s="358"/>
      <c r="BW71" s="164" t="b">
        <v>0</v>
      </c>
      <c r="BX71" s="164" t="b">
        <v>0</v>
      </c>
      <c r="BY71" s="438" t="e">
        <f t="shared" si="74"/>
        <v>#DIV/0!</v>
      </c>
      <c r="BZ71" s="438" t="e">
        <f t="shared" si="75"/>
        <v>#DIV/0!</v>
      </c>
      <c r="CA71" s="401">
        <f t="shared" si="76"/>
        <v>0</v>
      </c>
      <c r="CB71" s="358"/>
      <c r="CC71" s="358"/>
      <c r="CD71" s="358"/>
      <c r="CE71" s="358"/>
      <c r="CF71" s="404"/>
      <c r="CG71" s="358"/>
      <c r="CH71" s="164" t="b">
        <v>0</v>
      </c>
      <c r="CI71" s="164" t="b">
        <v>0</v>
      </c>
      <c r="CJ71" s="438" t="e">
        <f t="shared" si="77"/>
        <v>#DIV/0!</v>
      </c>
      <c r="CK71" s="438" t="e">
        <f t="shared" si="78"/>
        <v>#DIV/0!</v>
      </c>
      <c r="CL71" s="401">
        <f t="shared" si="79"/>
        <v>0</v>
      </c>
      <c r="CM71" s="358"/>
      <c r="CN71" s="358"/>
      <c r="CO71" s="358"/>
      <c r="CP71" s="358"/>
      <c r="CQ71" s="404"/>
      <c r="CR71" s="358"/>
      <c r="CS71" s="164" t="b">
        <v>0</v>
      </c>
      <c r="CT71" s="164" t="b">
        <v>0</v>
      </c>
      <c r="CU71" s="358" t="e">
        <f t="shared" si="80"/>
        <v>#DIV/0!</v>
      </c>
      <c r="CV71" s="358" t="e">
        <f t="shared" si="81"/>
        <v>#DIV/0!</v>
      </c>
      <c r="CW71" s="401">
        <f t="shared" si="82"/>
        <v>0</v>
      </c>
      <c r="CX71" s="358"/>
      <c r="CY71" s="358"/>
      <c r="CZ71" s="358"/>
      <c r="DA71" s="358"/>
      <c r="DB71" s="404"/>
      <c r="DC71" s="358"/>
      <c r="DD71" s="164" t="b">
        <v>0</v>
      </c>
      <c r="DE71" s="164" t="b">
        <v>0</v>
      </c>
      <c r="DF71" s="438" t="e">
        <f t="shared" si="83"/>
        <v>#DIV/0!</v>
      </c>
      <c r="DG71" s="438" t="e">
        <f t="shared" si="84"/>
        <v>#DIV/0!</v>
      </c>
      <c r="DH71" s="401">
        <f t="shared" si="85"/>
        <v>0</v>
      </c>
      <c r="DI71" s="358"/>
      <c r="DJ71" s="358"/>
      <c r="DK71" s="358"/>
      <c r="DL71" s="358"/>
      <c r="DM71" s="358"/>
      <c r="DN71" s="404"/>
      <c r="DO71" s="358"/>
      <c r="DP71" s="164" t="b">
        <v>0</v>
      </c>
      <c r="DQ71" s="164" t="b">
        <v>0</v>
      </c>
      <c r="DR71" s="438" t="e">
        <f t="shared" si="86"/>
        <v>#DIV/0!</v>
      </c>
      <c r="DS71" s="883">
        <f t="shared" si="87"/>
        <v>0</v>
      </c>
      <c r="DT71" s="358"/>
      <c r="DU71" s="358"/>
      <c r="DV71" s="358"/>
      <c r="DW71" s="358"/>
      <c r="DX71" s="358"/>
      <c r="DY71" s="404"/>
      <c r="DZ71" s="358"/>
      <c r="EA71" s="164" t="b">
        <v>0</v>
      </c>
      <c r="EB71" s="164" t="b">
        <v>0</v>
      </c>
      <c r="EC71" s="438" t="e">
        <f t="shared" si="88"/>
        <v>#DIV/0!</v>
      </c>
      <c r="ED71" s="883">
        <f t="shared" si="89"/>
        <v>0</v>
      </c>
      <c r="EE71" s="358"/>
      <c r="EF71" s="358"/>
      <c r="EG71" s="358"/>
      <c r="EH71" s="358"/>
      <c r="EI71" s="358"/>
      <c r="EJ71" s="404"/>
      <c r="EK71" s="358"/>
      <c r="EL71" s="164" t="b">
        <v>0</v>
      </c>
      <c r="EM71" s="164" t="b">
        <v>0</v>
      </c>
      <c r="EN71" s="438" t="e">
        <f t="shared" si="90"/>
        <v>#DIV/0!</v>
      </c>
      <c r="EO71" s="883">
        <f t="shared" si="91"/>
        <v>0</v>
      </c>
      <c r="EP71" s="358"/>
      <c r="EQ71" s="358"/>
      <c r="ER71" s="358"/>
      <c r="ES71" s="358"/>
      <c r="ET71" s="358"/>
      <c r="EU71" s="404"/>
      <c r="EV71" s="358"/>
      <c r="EW71" s="164" t="b">
        <v>0</v>
      </c>
      <c r="EX71" s="164" t="b">
        <v>0</v>
      </c>
      <c r="EY71" s="438" t="e">
        <f t="shared" si="92"/>
        <v>#DIV/0!</v>
      </c>
      <c r="EZ71" s="438" t="e">
        <f t="shared" si="93"/>
        <v>#DIV/0!</v>
      </c>
    </row>
    <row r="72" spans="3:156" ht="15" customHeight="1">
      <c r="C72" s="195" t="s">
        <v>1357</v>
      </c>
      <c r="D72" s="154">
        <v>1450022</v>
      </c>
      <c r="E72" s="154">
        <v>83</v>
      </c>
      <c r="F72" s="154" t="s">
        <v>1358</v>
      </c>
      <c r="G72" s="154" t="s">
        <v>1359</v>
      </c>
      <c r="H72" s="154" t="s">
        <v>901</v>
      </c>
      <c r="I72" s="154" t="s">
        <v>850</v>
      </c>
      <c r="J72" s="154" t="s">
        <v>851</v>
      </c>
      <c r="K72" s="255" t="s">
        <v>1358</v>
      </c>
      <c r="L72" s="255" t="s">
        <v>1360</v>
      </c>
      <c r="M72" s="154"/>
      <c r="N72" s="154"/>
      <c r="O72" s="193">
        <v>41</v>
      </c>
      <c r="P72" s="176"/>
      <c r="Q72" s="348">
        <v>30304.42</v>
      </c>
      <c r="R72" s="348"/>
      <c r="S72" s="176"/>
      <c r="T72" s="203">
        <f t="shared" si="31"/>
        <v>30304.42</v>
      </c>
      <c r="U72" s="378">
        <v>2777</v>
      </c>
      <c r="V72" s="186">
        <v>46042</v>
      </c>
      <c r="W72" s="411" t="s">
        <v>1361</v>
      </c>
      <c r="X72" s="475">
        <f t="shared" si="63"/>
        <v>31584.55</v>
      </c>
      <c r="Y72" s="170"/>
      <c r="Z72" s="170"/>
      <c r="AA72" s="170">
        <v>31584.55</v>
      </c>
      <c r="AB72" s="171">
        <v>2893</v>
      </c>
      <c r="AC72" s="172">
        <v>46073</v>
      </c>
      <c r="AD72" s="171" t="s">
        <v>1362</v>
      </c>
      <c r="AE72" s="177" t="b">
        <v>1</v>
      </c>
      <c r="AF72" s="177" t="b">
        <v>1</v>
      </c>
      <c r="AG72" s="410">
        <f t="shared" si="64"/>
        <v>4.1771696074900971E-2</v>
      </c>
      <c r="AH72" s="392">
        <f>(X72-Q72)/Q72</f>
        <v>4.22423527657022E-2</v>
      </c>
      <c r="AI72" s="455">
        <v>32621.9</v>
      </c>
      <c r="AJ72" s="368">
        <v>0</v>
      </c>
      <c r="AK72" s="368">
        <v>0</v>
      </c>
      <c r="AL72" s="368">
        <v>32621.9</v>
      </c>
      <c r="AM72" s="171">
        <v>2987</v>
      </c>
      <c r="AN72" s="172">
        <v>46101</v>
      </c>
      <c r="AO72" s="171" t="s">
        <v>1363</v>
      </c>
      <c r="AP72" s="177" t="b">
        <v>1</v>
      </c>
      <c r="AQ72" s="177" t="b">
        <v>1</v>
      </c>
      <c r="AR72" s="439">
        <f t="shared" si="65"/>
        <v>3.2492222606291046E-2</v>
      </c>
      <c r="AS72" s="439">
        <f t="shared" si="66"/>
        <v>3.2843589666466742E-2</v>
      </c>
      <c r="AT72" s="203">
        <v>33358.93</v>
      </c>
      <c r="AU72" s="203">
        <v>0</v>
      </c>
      <c r="AV72" s="203"/>
      <c r="AW72" s="203">
        <v>33358.93</v>
      </c>
      <c r="AX72" s="171">
        <v>2886</v>
      </c>
      <c r="AY72" s="172">
        <v>46132</v>
      </c>
      <c r="AZ72" s="171" t="s">
        <v>1364</v>
      </c>
      <c r="BA72" s="177" t="b">
        <v>1</v>
      </c>
      <c r="BB72" s="177" t="b">
        <v>1</v>
      </c>
      <c r="BC72" s="439">
        <f t="shared" si="68"/>
        <v>-3.3813190492132578E-2</v>
      </c>
      <c r="BD72" s="439">
        <f t="shared" si="69"/>
        <v>2.2593104632164247E-2</v>
      </c>
      <c r="BE72" s="368">
        <f t="shared" si="70"/>
        <v>0</v>
      </c>
      <c r="BF72" s="368"/>
      <c r="BG72" s="368"/>
      <c r="BH72" s="368"/>
      <c r="BI72" s="171"/>
      <c r="BJ72" s="1197">
        <v>46162</v>
      </c>
      <c r="BK72" s="171"/>
      <c r="BL72" s="177" t="b">
        <v>0</v>
      </c>
      <c r="BM72" s="177" t="b">
        <v>0</v>
      </c>
      <c r="BN72" s="154">
        <f t="shared" si="71"/>
        <v>-1</v>
      </c>
      <c r="BO72" s="154">
        <f t="shared" si="72"/>
        <v>-1</v>
      </c>
      <c r="BP72" s="348">
        <f t="shared" si="73"/>
        <v>0</v>
      </c>
      <c r="BQ72" s="176"/>
      <c r="BR72" s="176"/>
      <c r="BS72" s="176"/>
      <c r="BT72" s="176"/>
      <c r="BU72" s="1197">
        <v>46193</v>
      </c>
      <c r="BV72" s="176"/>
      <c r="BW72" s="177" t="b">
        <v>0</v>
      </c>
      <c r="BX72" s="177" t="b">
        <v>0</v>
      </c>
      <c r="BY72" s="439" t="e">
        <f t="shared" si="74"/>
        <v>#DIV/0!</v>
      </c>
      <c r="BZ72" s="439" t="e">
        <f t="shared" si="75"/>
        <v>#DIV/0!</v>
      </c>
      <c r="CA72" s="348">
        <f t="shared" si="76"/>
        <v>0</v>
      </c>
      <c r="CB72" s="176"/>
      <c r="CC72" s="176"/>
      <c r="CD72" s="176"/>
      <c r="CE72" s="176"/>
      <c r="CF72" s="186"/>
      <c r="CG72" s="176"/>
      <c r="CH72" s="177" t="b">
        <v>0</v>
      </c>
      <c r="CI72" s="177" t="b">
        <v>0</v>
      </c>
      <c r="CJ72" s="439" t="e">
        <f t="shared" si="77"/>
        <v>#DIV/0!</v>
      </c>
      <c r="CK72" s="439" t="e">
        <f t="shared" si="78"/>
        <v>#DIV/0!</v>
      </c>
      <c r="CL72" s="348">
        <f t="shared" si="79"/>
        <v>0</v>
      </c>
      <c r="CM72" s="176"/>
      <c r="CN72" s="176"/>
      <c r="CO72" s="176"/>
      <c r="CP72" s="176"/>
      <c r="CQ72" s="186"/>
      <c r="CR72" s="176"/>
      <c r="CS72" s="177" t="b">
        <v>0</v>
      </c>
      <c r="CT72" s="177" t="b">
        <v>0</v>
      </c>
      <c r="CU72" s="176" t="e">
        <f t="shared" si="80"/>
        <v>#DIV/0!</v>
      </c>
      <c r="CV72" s="176" t="e">
        <f t="shared" si="81"/>
        <v>#DIV/0!</v>
      </c>
      <c r="CW72" s="348">
        <f t="shared" si="82"/>
        <v>0</v>
      </c>
      <c r="CX72" s="176"/>
      <c r="CY72" s="176"/>
      <c r="CZ72" s="176"/>
      <c r="DA72" s="176"/>
      <c r="DB72" s="186"/>
      <c r="DC72" s="176"/>
      <c r="DD72" s="177" t="b">
        <v>0</v>
      </c>
      <c r="DE72" s="177" t="b">
        <v>0</v>
      </c>
      <c r="DF72" s="439" t="e">
        <f t="shared" si="83"/>
        <v>#DIV/0!</v>
      </c>
      <c r="DG72" s="439" t="e">
        <f t="shared" si="84"/>
        <v>#DIV/0!</v>
      </c>
      <c r="DH72" s="348">
        <f t="shared" si="85"/>
        <v>0</v>
      </c>
      <c r="DI72" s="176"/>
      <c r="DJ72" s="176"/>
      <c r="DK72" s="176"/>
      <c r="DL72" s="176"/>
      <c r="DM72" s="176"/>
      <c r="DN72" s="186"/>
      <c r="DO72" s="176"/>
      <c r="DP72" s="177" t="b">
        <v>0</v>
      </c>
      <c r="DQ72" s="177" t="b">
        <v>0</v>
      </c>
      <c r="DR72" s="439" t="e">
        <f t="shared" si="86"/>
        <v>#DIV/0!</v>
      </c>
      <c r="DS72" s="884">
        <f t="shared" si="87"/>
        <v>0</v>
      </c>
      <c r="DT72" s="176"/>
      <c r="DU72" s="176"/>
      <c r="DV72" s="176"/>
      <c r="DW72" s="176"/>
      <c r="DX72" s="176"/>
      <c r="DY72" s="186"/>
      <c r="DZ72" s="176"/>
      <c r="EA72" s="177" t="b">
        <v>0</v>
      </c>
      <c r="EB72" s="177" t="b">
        <v>0</v>
      </c>
      <c r="EC72" s="439" t="e">
        <f t="shared" si="88"/>
        <v>#DIV/0!</v>
      </c>
      <c r="ED72" s="884">
        <f t="shared" si="89"/>
        <v>0</v>
      </c>
      <c r="EE72" s="176"/>
      <c r="EF72" s="176"/>
      <c r="EG72" s="176"/>
      <c r="EH72" s="176"/>
      <c r="EI72" s="176"/>
      <c r="EJ72" s="186"/>
      <c r="EK72" s="176"/>
      <c r="EL72" s="177" t="b">
        <v>0</v>
      </c>
      <c r="EM72" s="177" t="b">
        <v>0</v>
      </c>
      <c r="EN72" s="439" t="e">
        <f t="shared" si="90"/>
        <v>#DIV/0!</v>
      </c>
      <c r="EO72" s="884">
        <f t="shared" si="91"/>
        <v>0</v>
      </c>
      <c r="EP72" s="176"/>
      <c r="EQ72" s="176"/>
      <c r="ER72" s="176"/>
      <c r="ES72" s="176"/>
      <c r="ET72" s="176"/>
      <c r="EU72" s="186"/>
      <c r="EV72" s="176"/>
      <c r="EW72" s="177" t="b">
        <v>0</v>
      </c>
      <c r="EX72" s="177" t="b">
        <v>0</v>
      </c>
      <c r="EY72" s="439" t="e">
        <f t="shared" si="92"/>
        <v>#DIV/0!</v>
      </c>
      <c r="EZ72" s="439" t="e">
        <f t="shared" si="93"/>
        <v>#DIV/0!</v>
      </c>
    </row>
    <row r="73" spans="3:156" ht="15" customHeight="1">
      <c r="C73" s="195" t="s">
        <v>1357</v>
      </c>
      <c r="D73" s="154">
        <v>1450022</v>
      </c>
      <c r="E73" s="154">
        <v>83</v>
      </c>
      <c r="F73" s="154" t="s">
        <v>1365</v>
      </c>
      <c r="G73" s="154" t="s">
        <v>1366</v>
      </c>
      <c r="H73" s="154" t="s">
        <v>901</v>
      </c>
      <c r="I73" s="154" t="s">
        <v>850</v>
      </c>
      <c r="J73" s="154" t="s">
        <v>851</v>
      </c>
      <c r="K73" s="255" t="s">
        <v>1365</v>
      </c>
      <c r="L73" s="255" t="s">
        <v>1367</v>
      </c>
      <c r="M73" s="154"/>
      <c r="N73" s="154"/>
      <c r="O73" s="434">
        <v>41</v>
      </c>
      <c r="P73" s="176"/>
      <c r="Q73" s="348">
        <v>1118.0899999999999</v>
      </c>
      <c r="R73" s="348"/>
      <c r="S73" s="176"/>
      <c r="T73" s="203">
        <f t="shared" si="31"/>
        <v>1118.0899999999999</v>
      </c>
      <c r="U73" s="378">
        <v>129</v>
      </c>
      <c r="V73" s="186">
        <v>46042</v>
      </c>
      <c r="W73" s="411" t="s">
        <v>1361</v>
      </c>
      <c r="X73" s="475">
        <f t="shared" si="63"/>
        <v>1865.63</v>
      </c>
      <c r="Y73" s="170"/>
      <c r="Z73" s="170"/>
      <c r="AA73" s="170">
        <v>1865.63</v>
      </c>
      <c r="AB73" s="171">
        <v>200</v>
      </c>
      <c r="AC73" s="172">
        <v>46073</v>
      </c>
      <c r="AD73" s="171" t="s">
        <v>1362</v>
      </c>
      <c r="AE73" s="177" t="b">
        <v>1</v>
      </c>
      <c r="AF73" s="177" t="b">
        <v>1</v>
      </c>
      <c r="AG73" s="410">
        <f t="shared" si="64"/>
        <v>0.55038759689922478</v>
      </c>
      <c r="AH73" s="392">
        <f>(X73-Q73)/Q73</f>
        <v>0.66858660751817856</v>
      </c>
      <c r="AI73" s="455">
        <v>1812.98</v>
      </c>
      <c r="AJ73" s="368">
        <v>0</v>
      </c>
      <c r="AK73" s="368"/>
      <c r="AL73" s="368">
        <v>1812.98</v>
      </c>
      <c r="AM73" s="171">
        <v>195</v>
      </c>
      <c r="AN73" s="172">
        <v>46101</v>
      </c>
      <c r="AO73" s="171" t="s">
        <v>1363</v>
      </c>
      <c r="AP73" s="177" t="b">
        <v>1</v>
      </c>
      <c r="AQ73" s="177" t="b">
        <v>1</v>
      </c>
      <c r="AR73" s="439">
        <f t="shared" si="65"/>
        <v>-2.5000000000000001E-2</v>
      </c>
      <c r="AS73" s="439">
        <f t="shared" si="66"/>
        <v>-2.8221029893387269E-2</v>
      </c>
      <c r="AT73" s="203">
        <v>118.94</v>
      </c>
      <c r="AU73" s="203">
        <v>0</v>
      </c>
      <c r="AV73" s="203">
        <v>0</v>
      </c>
      <c r="AW73" s="203">
        <v>118.94</v>
      </c>
      <c r="AX73" s="171">
        <v>20</v>
      </c>
      <c r="AY73" s="172">
        <v>46132</v>
      </c>
      <c r="AZ73" s="171" t="s">
        <v>1364</v>
      </c>
      <c r="BA73" s="177" t="b">
        <v>1</v>
      </c>
      <c r="BB73" s="177" t="b">
        <v>1</v>
      </c>
      <c r="BC73" s="439">
        <f t="shared" si="68"/>
        <v>-0.89743589743589747</v>
      </c>
      <c r="BD73" s="439">
        <f t="shared" si="69"/>
        <v>-0.934395304967512</v>
      </c>
      <c r="BE73" s="368">
        <f t="shared" si="70"/>
        <v>0</v>
      </c>
      <c r="BF73" s="368"/>
      <c r="BG73" s="368"/>
      <c r="BH73" s="368"/>
      <c r="BI73" s="171"/>
      <c r="BJ73" s="1197">
        <v>46162</v>
      </c>
      <c r="BK73" s="171"/>
      <c r="BL73" s="177" t="b">
        <v>0</v>
      </c>
      <c r="BM73" s="177" t="b">
        <v>0</v>
      </c>
      <c r="BN73" s="154">
        <f t="shared" si="71"/>
        <v>-1</v>
      </c>
      <c r="BO73" s="154">
        <f t="shared" si="72"/>
        <v>-1</v>
      </c>
      <c r="BP73" s="348">
        <f t="shared" si="73"/>
        <v>0</v>
      </c>
      <c r="BQ73" s="176"/>
      <c r="BR73" s="176"/>
      <c r="BS73" s="176"/>
      <c r="BT73" s="176"/>
      <c r="BU73" s="1197">
        <v>46193</v>
      </c>
      <c r="BV73" s="176"/>
      <c r="BW73" s="177" t="b">
        <v>0</v>
      </c>
      <c r="BX73" s="177" t="b">
        <v>0</v>
      </c>
      <c r="BY73" s="439" t="e">
        <f t="shared" si="74"/>
        <v>#DIV/0!</v>
      </c>
      <c r="BZ73" s="439" t="e">
        <f t="shared" si="75"/>
        <v>#DIV/0!</v>
      </c>
      <c r="CA73" s="348">
        <f t="shared" si="76"/>
        <v>0</v>
      </c>
      <c r="CB73" s="176"/>
      <c r="CC73" s="176"/>
      <c r="CD73" s="176"/>
      <c r="CE73" s="176"/>
      <c r="CF73" s="186"/>
      <c r="CG73" s="176"/>
      <c r="CH73" s="177" t="b">
        <v>0</v>
      </c>
      <c r="CI73" s="177" t="b">
        <v>0</v>
      </c>
      <c r="CJ73" s="439" t="e">
        <f t="shared" si="77"/>
        <v>#DIV/0!</v>
      </c>
      <c r="CK73" s="439" t="e">
        <f t="shared" si="78"/>
        <v>#DIV/0!</v>
      </c>
      <c r="CL73" s="348">
        <f t="shared" si="79"/>
        <v>0</v>
      </c>
      <c r="CM73" s="176"/>
      <c r="CN73" s="176"/>
      <c r="CO73" s="176"/>
      <c r="CP73" s="176"/>
      <c r="CQ73" s="186"/>
      <c r="CR73" s="176"/>
      <c r="CS73" s="177" t="b">
        <v>0</v>
      </c>
      <c r="CT73" s="177" t="b">
        <v>0</v>
      </c>
      <c r="CU73" s="176" t="e">
        <f t="shared" si="80"/>
        <v>#DIV/0!</v>
      </c>
      <c r="CV73" s="176" t="e">
        <f t="shared" si="81"/>
        <v>#DIV/0!</v>
      </c>
      <c r="CW73" s="348">
        <f t="shared" si="82"/>
        <v>0</v>
      </c>
      <c r="CX73" s="176"/>
      <c r="CY73" s="176"/>
      <c r="CZ73" s="176"/>
      <c r="DA73" s="176"/>
      <c r="DB73" s="186"/>
      <c r="DC73" s="176"/>
      <c r="DD73" s="177" t="b">
        <v>0</v>
      </c>
      <c r="DE73" s="177" t="b">
        <v>0</v>
      </c>
      <c r="DF73" s="439" t="e">
        <f t="shared" si="83"/>
        <v>#DIV/0!</v>
      </c>
      <c r="DG73" s="439" t="e">
        <f t="shared" si="84"/>
        <v>#DIV/0!</v>
      </c>
      <c r="DH73" s="348">
        <f t="shared" si="85"/>
        <v>0</v>
      </c>
      <c r="DI73" s="176"/>
      <c r="DJ73" s="176"/>
      <c r="DK73" s="176"/>
      <c r="DL73" s="176"/>
      <c r="DM73" s="176"/>
      <c r="DN73" s="186"/>
      <c r="DO73" s="176"/>
      <c r="DP73" s="177" t="b">
        <v>0</v>
      </c>
      <c r="DQ73" s="177" t="b">
        <v>0</v>
      </c>
      <c r="DR73" s="439" t="e">
        <f t="shared" si="86"/>
        <v>#DIV/0!</v>
      </c>
      <c r="DS73" s="884">
        <f t="shared" si="87"/>
        <v>0</v>
      </c>
      <c r="DT73" s="176"/>
      <c r="DU73" s="176"/>
      <c r="DV73" s="176"/>
      <c r="DW73" s="176"/>
      <c r="DX73" s="176"/>
      <c r="DY73" s="186"/>
      <c r="DZ73" s="176"/>
      <c r="EA73" s="177" t="b">
        <v>0</v>
      </c>
      <c r="EB73" s="177" t="b">
        <v>0</v>
      </c>
      <c r="EC73" s="439" t="e">
        <f t="shared" si="88"/>
        <v>#DIV/0!</v>
      </c>
      <c r="ED73" s="884">
        <f t="shared" si="89"/>
        <v>0</v>
      </c>
      <c r="EE73" s="176"/>
      <c r="EF73" s="176"/>
      <c r="EG73" s="176"/>
      <c r="EH73" s="176"/>
      <c r="EI73" s="176"/>
      <c r="EJ73" s="186"/>
      <c r="EK73" s="176"/>
      <c r="EL73" s="177" t="b">
        <v>0</v>
      </c>
      <c r="EM73" s="177" t="b">
        <v>0</v>
      </c>
      <c r="EN73" s="439" t="e">
        <f t="shared" si="90"/>
        <v>#DIV/0!</v>
      </c>
      <c r="EO73" s="884">
        <f t="shared" si="91"/>
        <v>0</v>
      </c>
      <c r="EP73" s="176"/>
      <c r="EQ73" s="176"/>
      <c r="ER73" s="176"/>
      <c r="ES73" s="176"/>
      <c r="ET73" s="176"/>
      <c r="EU73" s="186"/>
      <c r="EV73" s="176"/>
      <c r="EW73" s="177" t="b">
        <v>0</v>
      </c>
      <c r="EX73" s="177" t="b">
        <v>0</v>
      </c>
      <c r="EY73" s="439" t="e">
        <f t="shared" si="92"/>
        <v>#DIV/0!</v>
      </c>
      <c r="EZ73" s="439" t="e">
        <f t="shared" si="93"/>
        <v>#DIV/0!</v>
      </c>
    </row>
    <row r="74" spans="3:156" ht="15" customHeight="1">
      <c r="C74" s="400" t="s">
        <v>1368</v>
      </c>
      <c r="D74" s="357">
        <v>1450022</v>
      </c>
      <c r="E74" s="357">
        <v>56</v>
      </c>
      <c r="F74" s="357" t="s">
        <v>1369</v>
      </c>
      <c r="G74" s="357" t="s">
        <v>1370</v>
      </c>
      <c r="H74" s="357" t="s">
        <v>901</v>
      </c>
      <c r="I74" s="357" t="s">
        <v>1371</v>
      </c>
      <c r="J74" s="357" t="s">
        <v>1372</v>
      </c>
      <c r="K74" s="426" t="s">
        <v>1369</v>
      </c>
      <c r="L74" s="426" t="s">
        <v>1373</v>
      </c>
      <c r="M74" s="357"/>
      <c r="N74" s="357"/>
      <c r="O74" s="429">
        <v>136</v>
      </c>
      <c r="P74" s="357"/>
      <c r="Q74" s="401">
        <v>43322.18</v>
      </c>
      <c r="R74" s="401"/>
      <c r="S74" s="358"/>
      <c r="T74" s="402">
        <f t="shared" si="31"/>
        <v>43322.18</v>
      </c>
      <c r="U74" s="403">
        <v>2422</v>
      </c>
      <c r="V74" s="404">
        <v>46063</v>
      </c>
      <c r="W74" s="385" t="s">
        <v>1374</v>
      </c>
      <c r="X74" s="144">
        <f t="shared" si="63"/>
        <v>46717.11</v>
      </c>
      <c r="Y74" s="406">
        <v>0</v>
      </c>
      <c r="Z74" s="406">
        <v>0</v>
      </c>
      <c r="AA74" s="406">
        <v>46717.11</v>
      </c>
      <c r="AB74" s="148">
        <v>2607</v>
      </c>
      <c r="AC74" s="407">
        <v>46091</v>
      </c>
      <c r="AD74" s="148" t="s">
        <v>1375</v>
      </c>
      <c r="AE74" s="164" t="b">
        <v>1</v>
      </c>
      <c r="AF74" s="164" t="b">
        <v>1</v>
      </c>
      <c r="AG74" s="408">
        <f t="shared" si="64"/>
        <v>7.6383154417836496E-2</v>
      </c>
      <c r="AH74" s="409">
        <f>(X74-Q74)/Q74</f>
        <v>7.836470833185219E-2</v>
      </c>
      <c r="AI74" s="458">
        <v>42111.02</v>
      </c>
      <c r="AJ74" s="364">
        <v>0</v>
      </c>
      <c r="AK74" s="364">
        <v>0</v>
      </c>
      <c r="AL74" s="364">
        <v>42111.02</v>
      </c>
      <c r="AM74" s="148">
        <v>2356</v>
      </c>
      <c r="AN74" s="407">
        <v>46122</v>
      </c>
      <c r="AO74" s="148" t="s">
        <v>1376</v>
      </c>
      <c r="AP74" s="164" t="b">
        <v>1</v>
      </c>
      <c r="AQ74" s="164" t="b">
        <v>1</v>
      </c>
      <c r="AR74" s="438">
        <f t="shared" si="65"/>
        <v>-9.6279248177982349E-2</v>
      </c>
      <c r="AS74" s="438">
        <f t="shared" si="66"/>
        <v>-9.8595354036240757E-2</v>
      </c>
      <c r="AT74" s="402">
        <f t="shared" si="67"/>
        <v>0</v>
      </c>
      <c r="AU74" s="402"/>
      <c r="AV74" s="402"/>
      <c r="AW74" s="402"/>
      <c r="AX74" s="148"/>
      <c r="AY74" s="407">
        <v>46152</v>
      </c>
      <c r="AZ74" s="148"/>
      <c r="BA74" s="164" t="b">
        <v>0</v>
      </c>
      <c r="BB74" s="164" t="b">
        <v>0</v>
      </c>
      <c r="BC74" s="438">
        <f t="shared" si="68"/>
        <v>-1</v>
      </c>
      <c r="BD74" s="438">
        <f t="shared" si="69"/>
        <v>-1</v>
      </c>
      <c r="BE74" s="364">
        <f t="shared" si="70"/>
        <v>0</v>
      </c>
      <c r="BF74" s="364"/>
      <c r="BG74" s="364"/>
      <c r="BH74" s="364"/>
      <c r="BI74" s="148"/>
      <c r="BJ74" s="1196">
        <v>46183</v>
      </c>
      <c r="BK74" s="148"/>
      <c r="BL74" s="164" t="b">
        <v>0</v>
      </c>
      <c r="BM74" s="164" t="b">
        <v>0</v>
      </c>
      <c r="BN74" s="357" t="e">
        <f t="shared" si="71"/>
        <v>#DIV/0!</v>
      </c>
      <c r="BO74" s="357" t="e">
        <f t="shared" si="72"/>
        <v>#DIV/0!</v>
      </c>
      <c r="BP74" s="401">
        <f t="shared" si="73"/>
        <v>0</v>
      </c>
      <c r="BQ74" s="358"/>
      <c r="BR74" s="358"/>
      <c r="BS74" s="358"/>
      <c r="BT74" s="358"/>
      <c r="BU74" s="1196">
        <v>46213</v>
      </c>
      <c r="BV74" s="358"/>
      <c r="BW74" s="164" t="b">
        <v>0</v>
      </c>
      <c r="BX74" s="164" t="b">
        <v>0</v>
      </c>
      <c r="BY74" s="438" t="e">
        <f t="shared" si="74"/>
        <v>#DIV/0!</v>
      </c>
      <c r="BZ74" s="438" t="e">
        <f t="shared" si="75"/>
        <v>#DIV/0!</v>
      </c>
      <c r="CA74" s="401">
        <f t="shared" si="76"/>
        <v>0</v>
      </c>
      <c r="CB74" s="358"/>
      <c r="CC74" s="358"/>
      <c r="CD74" s="358"/>
      <c r="CE74" s="358"/>
      <c r="CF74" s="404"/>
      <c r="CG74" s="358"/>
      <c r="CH74" s="164" t="b">
        <v>0</v>
      </c>
      <c r="CI74" s="164" t="b">
        <v>0</v>
      </c>
      <c r="CJ74" s="438" t="e">
        <f t="shared" si="77"/>
        <v>#DIV/0!</v>
      </c>
      <c r="CK74" s="438" t="e">
        <f t="shared" si="78"/>
        <v>#DIV/0!</v>
      </c>
      <c r="CL74" s="401">
        <f t="shared" si="79"/>
        <v>0</v>
      </c>
      <c r="CM74" s="358"/>
      <c r="CN74" s="358"/>
      <c r="CO74" s="358"/>
      <c r="CP74" s="358"/>
      <c r="CQ74" s="404"/>
      <c r="CR74" s="358"/>
      <c r="CS74" s="164" t="b">
        <v>0</v>
      </c>
      <c r="CT74" s="164" t="b">
        <v>0</v>
      </c>
      <c r="CU74" s="358" t="e">
        <f t="shared" si="80"/>
        <v>#DIV/0!</v>
      </c>
      <c r="CV74" s="358" t="e">
        <f t="shared" si="81"/>
        <v>#DIV/0!</v>
      </c>
      <c r="CW74" s="401">
        <f t="shared" si="82"/>
        <v>0</v>
      </c>
      <c r="CX74" s="358"/>
      <c r="CY74" s="358"/>
      <c r="CZ74" s="358"/>
      <c r="DA74" s="358"/>
      <c r="DB74" s="404"/>
      <c r="DC74" s="358"/>
      <c r="DD74" s="164" t="b">
        <v>0</v>
      </c>
      <c r="DE74" s="164" t="b">
        <v>0</v>
      </c>
      <c r="DF74" s="438" t="e">
        <f t="shared" si="83"/>
        <v>#DIV/0!</v>
      </c>
      <c r="DG74" s="438" t="e">
        <f t="shared" si="84"/>
        <v>#DIV/0!</v>
      </c>
      <c r="DH74" s="401">
        <f t="shared" si="85"/>
        <v>0</v>
      </c>
      <c r="DI74" s="358"/>
      <c r="DJ74" s="358"/>
      <c r="DK74" s="358"/>
      <c r="DL74" s="358"/>
      <c r="DM74" s="358"/>
      <c r="DN74" s="404"/>
      <c r="DO74" s="358"/>
      <c r="DP74" s="164" t="b">
        <v>0</v>
      </c>
      <c r="DQ74" s="164" t="b">
        <v>0</v>
      </c>
      <c r="DR74" s="438" t="e">
        <f t="shared" si="86"/>
        <v>#DIV/0!</v>
      </c>
      <c r="DS74" s="883">
        <f t="shared" si="87"/>
        <v>0</v>
      </c>
      <c r="DT74" s="358"/>
      <c r="DU74" s="358"/>
      <c r="DV74" s="358"/>
      <c r="DW74" s="358"/>
      <c r="DX74" s="358"/>
      <c r="DY74" s="404"/>
      <c r="DZ74" s="358"/>
      <c r="EA74" s="164" t="b">
        <v>0</v>
      </c>
      <c r="EB74" s="164" t="b">
        <v>0</v>
      </c>
      <c r="EC74" s="438" t="e">
        <f t="shared" si="88"/>
        <v>#DIV/0!</v>
      </c>
      <c r="ED74" s="883">
        <f t="shared" si="89"/>
        <v>0</v>
      </c>
      <c r="EE74" s="358"/>
      <c r="EF74" s="358"/>
      <c r="EG74" s="358"/>
      <c r="EH74" s="358"/>
      <c r="EI74" s="358"/>
      <c r="EJ74" s="404"/>
      <c r="EK74" s="358"/>
      <c r="EL74" s="164" t="b">
        <v>0</v>
      </c>
      <c r="EM74" s="164" t="b">
        <v>0</v>
      </c>
      <c r="EN74" s="438" t="e">
        <f t="shared" si="90"/>
        <v>#DIV/0!</v>
      </c>
      <c r="EO74" s="883">
        <f t="shared" si="91"/>
        <v>0</v>
      </c>
      <c r="EP74" s="358"/>
      <c r="EQ74" s="358"/>
      <c r="ER74" s="358"/>
      <c r="ES74" s="358"/>
      <c r="ET74" s="358"/>
      <c r="EU74" s="404"/>
      <c r="EV74" s="358"/>
      <c r="EW74" s="164" t="b">
        <v>0</v>
      </c>
      <c r="EX74" s="164" t="b">
        <v>0</v>
      </c>
      <c r="EY74" s="438" t="e">
        <f t="shared" si="92"/>
        <v>#DIV/0!</v>
      </c>
      <c r="EZ74" s="438" t="e">
        <f t="shared" si="93"/>
        <v>#DIV/0!</v>
      </c>
    </row>
    <row r="75" spans="3:156" ht="15" customHeight="1">
      <c r="C75" s="195" t="s">
        <v>1377</v>
      </c>
      <c r="D75" s="154">
        <v>1450022</v>
      </c>
      <c r="E75" s="154">
        <v>43</v>
      </c>
      <c r="F75" s="154" t="s">
        <v>1378</v>
      </c>
      <c r="G75" s="154" t="s">
        <v>1379</v>
      </c>
      <c r="H75" s="154" t="s">
        <v>938</v>
      </c>
      <c r="I75" s="154" t="s">
        <v>939</v>
      </c>
      <c r="J75" s="154" t="s">
        <v>940</v>
      </c>
      <c r="K75" s="255" t="s">
        <v>1378</v>
      </c>
      <c r="L75" s="255" t="s">
        <v>1380</v>
      </c>
      <c r="M75" s="154"/>
      <c r="N75" s="154"/>
      <c r="O75" s="434">
        <v>137</v>
      </c>
      <c r="P75" s="176"/>
      <c r="Q75" s="348">
        <v>79401.03</v>
      </c>
      <c r="R75" s="348"/>
      <c r="S75" s="176"/>
      <c r="T75" s="203">
        <f t="shared" ref="T75:T80" si="95">(Q75-R75-S75)</f>
        <v>79401.03</v>
      </c>
      <c r="U75" s="414">
        <v>5499</v>
      </c>
      <c r="V75" s="415">
        <v>46063</v>
      </c>
      <c r="W75" s="383" t="s">
        <v>1381</v>
      </c>
      <c r="X75" s="475">
        <f t="shared" si="63"/>
        <v>72322.98</v>
      </c>
      <c r="Y75" s="170">
        <v>0</v>
      </c>
      <c r="Z75" s="170">
        <v>0</v>
      </c>
      <c r="AA75" s="170">
        <v>72322.98</v>
      </c>
      <c r="AB75" s="171">
        <v>5011</v>
      </c>
      <c r="AC75" s="172">
        <v>46091</v>
      </c>
      <c r="AD75" s="171" t="s">
        <v>1382</v>
      </c>
      <c r="AE75" s="177" t="b">
        <v>1</v>
      </c>
      <c r="AF75" s="177" t="b">
        <v>1</v>
      </c>
      <c r="AG75" s="410">
        <f t="shared" si="64"/>
        <v>-8.8743407892344056E-2</v>
      </c>
      <c r="AH75" s="392">
        <f>(X75-Q75)/Q75</f>
        <v>-8.9143050159424919E-2</v>
      </c>
      <c r="AI75" s="455">
        <v>70901.2</v>
      </c>
      <c r="AJ75" s="368">
        <v>0</v>
      </c>
      <c r="AK75" s="368"/>
      <c r="AL75" s="368">
        <v>70901.2</v>
      </c>
      <c r="AM75" s="171">
        <v>4913</v>
      </c>
      <c r="AN75" s="172">
        <v>46122</v>
      </c>
      <c r="AO75" s="171" t="s">
        <v>1383</v>
      </c>
      <c r="AP75" s="177" t="b">
        <v>1</v>
      </c>
      <c r="AQ75" s="177" t="b">
        <v>1</v>
      </c>
      <c r="AR75" s="392">
        <f t="shared" si="65"/>
        <v>-1.9556974655757335E-2</v>
      </c>
      <c r="AS75" s="392">
        <f t="shared" si="66"/>
        <v>-1.9658758530137984E-2</v>
      </c>
      <c r="AT75" s="368">
        <f t="shared" si="67"/>
        <v>0</v>
      </c>
      <c r="AU75" s="368"/>
      <c r="AV75" s="368"/>
      <c r="AW75" s="368"/>
      <c r="AX75" s="171"/>
      <c r="AY75" s="172">
        <v>46152</v>
      </c>
      <c r="AZ75" s="171"/>
      <c r="BA75" s="177" t="b">
        <v>0</v>
      </c>
      <c r="BB75" s="177" t="b">
        <v>0</v>
      </c>
      <c r="BC75" s="392">
        <f t="shared" si="68"/>
        <v>-1</v>
      </c>
      <c r="BD75" s="392">
        <f t="shared" si="69"/>
        <v>-1</v>
      </c>
      <c r="BE75" s="368">
        <f t="shared" si="70"/>
        <v>0</v>
      </c>
      <c r="BF75" s="368"/>
      <c r="BG75" s="368"/>
      <c r="BH75" s="368"/>
      <c r="BI75" s="171"/>
      <c r="BJ75" s="172">
        <v>46183</v>
      </c>
      <c r="BK75" s="171"/>
      <c r="BL75" s="177" t="b">
        <v>0</v>
      </c>
      <c r="BM75" s="177" t="b">
        <v>0</v>
      </c>
      <c r="BN75" s="171" t="e">
        <f t="shared" si="71"/>
        <v>#DIV/0!</v>
      </c>
      <c r="BO75" s="171" t="e">
        <f t="shared" si="72"/>
        <v>#DIV/0!</v>
      </c>
      <c r="BP75" s="170">
        <f t="shared" si="73"/>
        <v>0</v>
      </c>
      <c r="BQ75" s="171"/>
      <c r="BR75" s="171"/>
      <c r="BS75" s="171"/>
      <c r="BT75" s="171"/>
      <c r="BU75" s="172">
        <v>46213</v>
      </c>
      <c r="BV75" s="171"/>
      <c r="BW75" s="177" t="b">
        <v>0</v>
      </c>
      <c r="BX75" s="177" t="b">
        <v>0</v>
      </c>
      <c r="BY75" s="392" t="e">
        <f t="shared" si="74"/>
        <v>#DIV/0!</v>
      </c>
      <c r="BZ75" s="392" t="e">
        <f t="shared" si="75"/>
        <v>#DIV/0!</v>
      </c>
      <c r="CA75" s="170">
        <f t="shared" si="76"/>
        <v>0</v>
      </c>
      <c r="CB75" s="171"/>
      <c r="CC75" s="171"/>
      <c r="CD75" s="171"/>
      <c r="CE75" s="171"/>
      <c r="CF75" s="172"/>
      <c r="CG75" s="171"/>
      <c r="CH75" s="177" t="b">
        <v>0</v>
      </c>
      <c r="CI75" s="177" t="b">
        <v>0</v>
      </c>
      <c r="CJ75" s="392" t="e">
        <f t="shared" si="77"/>
        <v>#DIV/0!</v>
      </c>
      <c r="CK75" s="392" t="e">
        <f t="shared" si="78"/>
        <v>#DIV/0!</v>
      </c>
      <c r="CL75" s="170">
        <f t="shared" si="79"/>
        <v>0</v>
      </c>
      <c r="CM75" s="171"/>
      <c r="CN75" s="171"/>
      <c r="CO75" s="171"/>
      <c r="CP75" s="171"/>
      <c r="CQ75" s="172"/>
      <c r="CR75" s="171"/>
      <c r="CS75" s="177" t="b">
        <v>0</v>
      </c>
      <c r="CT75" s="177" t="b">
        <v>0</v>
      </c>
      <c r="CU75" s="171" t="e">
        <f t="shared" si="80"/>
        <v>#DIV/0!</v>
      </c>
      <c r="CV75" s="171" t="e">
        <f t="shared" si="81"/>
        <v>#DIV/0!</v>
      </c>
      <c r="CW75" s="170">
        <f t="shared" si="82"/>
        <v>0</v>
      </c>
      <c r="CX75" s="171"/>
      <c r="CY75" s="171"/>
      <c r="CZ75" s="171"/>
      <c r="DA75" s="171"/>
      <c r="DB75" s="172"/>
      <c r="DC75" s="171"/>
      <c r="DD75" s="177" t="b">
        <v>0</v>
      </c>
      <c r="DE75" s="177" t="b">
        <v>0</v>
      </c>
      <c r="DF75" s="392" t="e">
        <f t="shared" si="83"/>
        <v>#DIV/0!</v>
      </c>
      <c r="DG75" s="392" t="e">
        <f t="shared" si="84"/>
        <v>#DIV/0!</v>
      </c>
      <c r="DH75" s="170">
        <f t="shared" si="85"/>
        <v>0</v>
      </c>
      <c r="DI75" s="171"/>
      <c r="DJ75" s="171"/>
      <c r="DK75" s="171"/>
      <c r="DL75" s="171"/>
      <c r="DM75" s="171"/>
      <c r="DN75" s="172"/>
      <c r="DO75" s="171"/>
      <c r="DP75" s="177" t="b">
        <v>0</v>
      </c>
      <c r="DQ75" s="177" t="b">
        <v>0</v>
      </c>
      <c r="DR75" s="392" t="e">
        <f t="shared" si="86"/>
        <v>#DIV/0!</v>
      </c>
      <c r="DS75" s="170">
        <f t="shared" si="87"/>
        <v>0</v>
      </c>
      <c r="DT75" s="171"/>
      <c r="DU75" s="171"/>
      <c r="DV75" s="171"/>
      <c r="DW75" s="171"/>
      <c r="DX75" s="171"/>
      <c r="DY75" s="172"/>
      <c r="DZ75" s="171"/>
      <c r="EA75" s="177" t="b">
        <v>0</v>
      </c>
      <c r="EB75" s="177" t="b">
        <v>0</v>
      </c>
      <c r="EC75" s="392" t="e">
        <f t="shared" si="88"/>
        <v>#DIV/0!</v>
      </c>
      <c r="ED75" s="170">
        <f t="shared" si="89"/>
        <v>0</v>
      </c>
      <c r="EE75" s="171"/>
      <c r="EF75" s="171"/>
      <c r="EG75" s="171"/>
      <c r="EH75" s="171"/>
      <c r="EI75" s="171"/>
      <c r="EJ75" s="172"/>
      <c r="EK75" s="171"/>
      <c r="EL75" s="177" t="b">
        <v>0</v>
      </c>
      <c r="EM75" s="177" t="b">
        <v>0</v>
      </c>
      <c r="EN75" s="392" t="e">
        <f t="shared" si="90"/>
        <v>#DIV/0!</v>
      </c>
      <c r="EO75" s="170">
        <f t="shared" si="91"/>
        <v>0</v>
      </c>
      <c r="EP75" s="171"/>
      <c r="EQ75" s="171"/>
      <c r="ER75" s="171"/>
      <c r="ES75" s="171"/>
      <c r="ET75" s="171"/>
      <c r="EU75" s="172"/>
      <c r="EV75" s="171"/>
      <c r="EW75" s="177" t="b">
        <v>0</v>
      </c>
      <c r="EX75" s="177" t="b">
        <v>0</v>
      </c>
      <c r="EY75" s="392" t="e">
        <f t="shared" si="92"/>
        <v>#DIV/0!</v>
      </c>
      <c r="EZ75" s="392" t="e">
        <f t="shared" si="93"/>
        <v>#DIV/0!</v>
      </c>
    </row>
    <row r="76" spans="3:156" ht="15" customHeight="1">
      <c r="C76" s="195" t="s">
        <v>1384</v>
      </c>
      <c r="D76" s="154">
        <v>1450022</v>
      </c>
      <c r="E76" s="154">
        <v>43</v>
      </c>
      <c r="F76" s="154" t="s">
        <v>1385</v>
      </c>
      <c r="G76" s="154" t="s">
        <v>1386</v>
      </c>
      <c r="H76" s="154" t="s">
        <v>938</v>
      </c>
      <c r="I76" s="154" t="s">
        <v>939</v>
      </c>
      <c r="J76" s="154" t="s">
        <v>940</v>
      </c>
      <c r="K76" s="255" t="s">
        <v>1385</v>
      </c>
      <c r="L76" s="255" t="s">
        <v>1387</v>
      </c>
      <c r="M76" s="154"/>
      <c r="N76" s="154"/>
      <c r="O76" s="434">
        <v>137</v>
      </c>
      <c r="P76" s="176"/>
      <c r="Q76" s="348">
        <v>9426.6200000000008</v>
      </c>
      <c r="R76" s="348"/>
      <c r="S76" s="176"/>
      <c r="T76" s="203">
        <f t="shared" si="95"/>
        <v>9426.6200000000008</v>
      </c>
      <c r="U76" s="414">
        <v>677</v>
      </c>
      <c r="V76" s="415">
        <v>46063</v>
      </c>
      <c r="W76" s="383" t="s">
        <v>1381</v>
      </c>
      <c r="X76" s="475">
        <f t="shared" si="63"/>
        <v>7366.48</v>
      </c>
      <c r="Y76" s="170">
        <v>0</v>
      </c>
      <c r="Z76" s="170">
        <v>0</v>
      </c>
      <c r="AA76" s="170">
        <v>7366.48</v>
      </c>
      <c r="AB76" s="171">
        <v>535</v>
      </c>
      <c r="AC76" s="172">
        <v>46091</v>
      </c>
      <c r="AD76" s="171" t="s">
        <v>1382</v>
      </c>
      <c r="AE76" s="177" t="b">
        <v>1</v>
      </c>
      <c r="AF76" s="177" t="b">
        <v>1</v>
      </c>
      <c r="AG76" s="410">
        <f t="shared" si="64"/>
        <v>-0.20974889217134415</v>
      </c>
      <c r="AH76" s="392">
        <f>(X76-Q76)/Q76</f>
        <v>-0.21854492914745699</v>
      </c>
      <c r="AI76" s="455">
        <v>7642.13</v>
      </c>
      <c r="AJ76" s="368">
        <v>0</v>
      </c>
      <c r="AK76" s="368"/>
      <c r="AL76" s="368">
        <v>7642.13</v>
      </c>
      <c r="AM76" s="171">
        <v>554</v>
      </c>
      <c r="AN76" s="172">
        <v>46122</v>
      </c>
      <c r="AO76" s="171" t="s">
        <v>1383</v>
      </c>
      <c r="AP76" s="177" t="b">
        <v>1</v>
      </c>
      <c r="AQ76" s="177" t="b">
        <v>1</v>
      </c>
      <c r="AR76" s="392">
        <f t="shared" si="65"/>
        <v>3.5514018691588788E-2</v>
      </c>
      <c r="AS76" s="392">
        <f t="shared" si="66"/>
        <v>3.7419500222630152E-2</v>
      </c>
      <c r="AT76" s="368">
        <f t="shared" si="67"/>
        <v>0</v>
      </c>
      <c r="AU76" s="368"/>
      <c r="AV76" s="368"/>
      <c r="AW76" s="368"/>
      <c r="AX76" s="171"/>
      <c r="AY76" s="172">
        <v>46152</v>
      </c>
      <c r="AZ76" s="171"/>
      <c r="BA76" s="177" t="b">
        <v>0</v>
      </c>
      <c r="BB76" s="177" t="b">
        <v>0</v>
      </c>
      <c r="BC76" s="392">
        <f t="shared" si="68"/>
        <v>-1</v>
      </c>
      <c r="BD76" s="392">
        <f t="shared" si="69"/>
        <v>-1</v>
      </c>
      <c r="BE76" s="368">
        <f t="shared" si="70"/>
        <v>0</v>
      </c>
      <c r="BF76" s="368"/>
      <c r="BG76" s="368"/>
      <c r="BH76" s="368"/>
      <c r="BI76" s="171"/>
      <c r="BJ76" s="172">
        <v>46183</v>
      </c>
      <c r="BK76" s="171"/>
      <c r="BL76" s="177" t="b">
        <v>0</v>
      </c>
      <c r="BM76" s="177" t="b">
        <v>0</v>
      </c>
      <c r="BN76" s="171" t="e">
        <f t="shared" si="71"/>
        <v>#DIV/0!</v>
      </c>
      <c r="BO76" s="171" t="e">
        <f t="shared" si="72"/>
        <v>#DIV/0!</v>
      </c>
      <c r="BP76" s="170">
        <f t="shared" si="73"/>
        <v>0</v>
      </c>
      <c r="BQ76" s="171"/>
      <c r="BR76" s="171"/>
      <c r="BS76" s="171"/>
      <c r="BT76" s="171"/>
      <c r="BU76" s="172">
        <v>46213</v>
      </c>
      <c r="BV76" s="171"/>
      <c r="BW76" s="177" t="b">
        <v>0</v>
      </c>
      <c r="BX76" s="177" t="b">
        <v>0</v>
      </c>
      <c r="BY76" s="392" t="e">
        <f t="shared" si="74"/>
        <v>#DIV/0!</v>
      </c>
      <c r="BZ76" s="392" t="e">
        <f t="shared" si="75"/>
        <v>#DIV/0!</v>
      </c>
      <c r="CA76" s="170">
        <f t="shared" si="76"/>
        <v>0</v>
      </c>
      <c r="CB76" s="171"/>
      <c r="CC76" s="171"/>
      <c r="CD76" s="171"/>
      <c r="CE76" s="171"/>
      <c r="CF76" s="172"/>
      <c r="CG76" s="171"/>
      <c r="CH76" s="177" t="b">
        <v>0</v>
      </c>
      <c r="CI76" s="177" t="b">
        <v>0</v>
      </c>
      <c r="CJ76" s="392" t="e">
        <f t="shared" si="77"/>
        <v>#DIV/0!</v>
      </c>
      <c r="CK76" s="392" t="e">
        <f t="shared" si="78"/>
        <v>#DIV/0!</v>
      </c>
      <c r="CL76" s="170">
        <f t="shared" si="79"/>
        <v>0</v>
      </c>
      <c r="CM76" s="171"/>
      <c r="CN76" s="171"/>
      <c r="CO76" s="171"/>
      <c r="CP76" s="171"/>
      <c r="CQ76" s="172"/>
      <c r="CR76" s="171"/>
      <c r="CS76" s="177" t="b">
        <v>0</v>
      </c>
      <c r="CT76" s="177" t="b">
        <v>0</v>
      </c>
      <c r="CU76" s="171" t="e">
        <f t="shared" si="80"/>
        <v>#DIV/0!</v>
      </c>
      <c r="CV76" s="171" t="e">
        <f t="shared" si="81"/>
        <v>#DIV/0!</v>
      </c>
      <c r="CW76" s="170">
        <f t="shared" si="82"/>
        <v>0</v>
      </c>
      <c r="CX76" s="171"/>
      <c r="CY76" s="171"/>
      <c r="CZ76" s="171"/>
      <c r="DA76" s="171"/>
      <c r="DB76" s="172"/>
      <c r="DC76" s="171"/>
      <c r="DD76" s="177" t="b">
        <v>0</v>
      </c>
      <c r="DE76" s="177" t="b">
        <v>0</v>
      </c>
      <c r="DF76" s="392" t="e">
        <f t="shared" si="83"/>
        <v>#DIV/0!</v>
      </c>
      <c r="DG76" s="392" t="e">
        <f t="shared" si="84"/>
        <v>#DIV/0!</v>
      </c>
      <c r="DH76" s="170">
        <f t="shared" si="85"/>
        <v>0</v>
      </c>
      <c r="DI76" s="171"/>
      <c r="DJ76" s="171"/>
      <c r="DK76" s="171"/>
      <c r="DL76" s="171"/>
      <c r="DM76" s="171"/>
      <c r="DN76" s="172"/>
      <c r="DO76" s="171"/>
      <c r="DP76" s="177" t="b">
        <v>0</v>
      </c>
      <c r="DQ76" s="177" t="b">
        <v>0</v>
      </c>
      <c r="DR76" s="392" t="e">
        <f t="shared" si="86"/>
        <v>#DIV/0!</v>
      </c>
      <c r="DS76" s="170">
        <f t="shared" si="87"/>
        <v>0</v>
      </c>
      <c r="DT76" s="171"/>
      <c r="DU76" s="171"/>
      <c r="DV76" s="171"/>
      <c r="DW76" s="171"/>
      <c r="DX76" s="171"/>
      <c r="DY76" s="172"/>
      <c r="DZ76" s="171"/>
      <c r="EA76" s="177" t="b">
        <v>0</v>
      </c>
      <c r="EB76" s="177" t="b">
        <v>0</v>
      </c>
      <c r="EC76" s="392" t="e">
        <f t="shared" si="88"/>
        <v>#DIV/0!</v>
      </c>
      <c r="ED76" s="170">
        <f t="shared" si="89"/>
        <v>0</v>
      </c>
      <c r="EE76" s="171"/>
      <c r="EF76" s="171"/>
      <c r="EG76" s="171"/>
      <c r="EH76" s="171"/>
      <c r="EI76" s="171"/>
      <c r="EJ76" s="172"/>
      <c r="EK76" s="171"/>
      <c r="EL76" s="177" t="b">
        <v>0</v>
      </c>
      <c r="EM76" s="177" t="b">
        <v>0</v>
      </c>
      <c r="EN76" s="392" t="e">
        <f t="shared" si="90"/>
        <v>#DIV/0!</v>
      </c>
      <c r="EO76" s="170">
        <f t="shared" si="91"/>
        <v>0</v>
      </c>
      <c r="EP76" s="171"/>
      <c r="EQ76" s="171"/>
      <c r="ER76" s="171"/>
      <c r="ES76" s="171"/>
      <c r="ET76" s="171"/>
      <c r="EU76" s="172"/>
      <c r="EV76" s="171"/>
      <c r="EW76" s="177" t="b">
        <v>0</v>
      </c>
      <c r="EX76" s="177" t="b">
        <v>0</v>
      </c>
      <c r="EY76" s="392" t="e">
        <f t="shared" si="92"/>
        <v>#DIV/0!</v>
      </c>
      <c r="EZ76" s="392" t="e">
        <f t="shared" si="93"/>
        <v>#DIV/0!</v>
      </c>
    </row>
    <row r="77" spans="3:156" ht="15" customHeight="1">
      <c r="C77" s="195" t="s">
        <v>1384</v>
      </c>
      <c r="D77" s="154">
        <v>1450022</v>
      </c>
      <c r="E77" s="154">
        <v>43</v>
      </c>
      <c r="F77" s="154" t="s">
        <v>1388</v>
      </c>
      <c r="G77" s="154" t="s">
        <v>1389</v>
      </c>
      <c r="H77" s="154" t="s">
        <v>938</v>
      </c>
      <c r="I77" s="154" t="s">
        <v>939</v>
      </c>
      <c r="J77" s="154" t="s">
        <v>940</v>
      </c>
      <c r="K77" s="255" t="s">
        <v>1388</v>
      </c>
      <c r="L77" s="255" t="s">
        <v>1390</v>
      </c>
      <c r="M77" s="154"/>
      <c r="N77" s="154"/>
      <c r="O77" s="434">
        <v>137</v>
      </c>
      <c r="P77" s="176"/>
      <c r="Q77" s="348">
        <v>47219.96</v>
      </c>
      <c r="R77" s="348"/>
      <c r="S77" s="176"/>
      <c r="T77" s="203">
        <f t="shared" si="95"/>
        <v>47219.96</v>
      </c>
      <c r="U77" s="414">
        <v>3282</v>
      </c>
      <c r="V77" s="415">
        <v>46063</v>
      </c>
      <c r="W77" s="383" t="s">
        <v>1381</v>
      </c>
      <c r="X77" s="475">
        <f t="shared" si="63"/>
        <v>50774.42</v>
      </c>
      <c r="Y77" s="170">
        <v>0</v>
      </c>
      <c r="Z77" s="170">
        <v>0</v>
      </c>
      <c r="AA77" s="170">
        <v>50774.42</v>
      </c>
      <c r="AB77" s="171">
        <v>3527</v>
      </c>
      <c r="AC77" s="172">
        <v>46091</v>
      </c>
      <c r="AD77" s="171" t="s">
        <v>1382</v>
      </c>
      <c r="AE77" s="177" t="b">
        <v>1</v>
      </c>
      <c r="AF77" s="177" t="b">
        <v>1</v>
      </c>
      <c r="AG77" s="410">
        <f t="shared" si="64"/>
        <v>7.4649603900060937E-2</v>
      </c>
      <c r="AH77" s="392">
        <f>(X77-Q77)/Q77</f>
        <v>7.5274523739537247E-2</v>
      </c>
      <c r="AI77" s="455">
        <v>50368.19</v>
      </c>
      <c r="AJ77" s="368">
        <v>0</v>
      </c>
      <c r="AK77" s="368">
        <v>0</v>
      </c>
      <c r="AL77" s="368">
        <v>50368.19</v>
      </c>
      <c r="AM77" s="171">
        <v>3499</v>
      </c>
      <c r="AN77" s="172">
        <v>46122</v>
      </c>
      <c r="AO77" s="171" t="s">
        <v>1383</v>
      </c>
      <c r="AP77" s="177" t="b">
        <v>1</v>
      </c>
      <c r="AQ77" s="177" t="b">
        <v>1</v>
      </c>
      <c r="AR77" s="392">
        <f t="shared" si="65"/>
        <v>-7.9387581514034598E-3</v>
      </c>
      <c r="AS77" s="392">
        <f t="shared" si="66"/>
        <v>-8.0006822332977113E-3</v>
      </c>
      <c r="AT77" s="368">
        <f t="shared" si="67"/>
        <v>0</v>
      </c>
      <c r="AU77" s="368"/>
      <c r="AV77" s="368"/>
      <c r="AW77" s="368"/>
      <c r="AX77" s="171"/>
      <c r="AY77" s="172">
        <v>46152</v>
      </c>
      <c r="AZ77" s="171"/>
      <c r="BA77" s="177" t="b">
        <v>0</v>
      </c>
      <c r="BB77" s="177" t="b">
        <v>0</v>
      </c>
      <c r="BC77" s="392">
        <f t="shared" si="68"/>
        <v>-1</v>
      </c>
      <c r="BD77" s="392">
        <f t="shared" si="69"/>
        <v>-1</v>
      </c>
      <c r="BE77" s="368">
        <f t="shared" si="70"/>
        <v>0</v>
      </c>
      <c r="BF77" s="368"/>
      <c r="BG77" s="368"/>
      <c r="BH77" s="368"/>
      <c r="BI77" s="171"/>
      <c r="BJ77" s="172">
        <v>46183</v>
      </c>
      <c r="BK77" s="171"/>
      <c r="BL77" s="177" t="b">
        <v>0</v>
      </c>
      <c r="BM77" s="177" t="b">
        <v>0</v>
      </c>
      <c r="BN77" s="171" t="e">
        <f t="shared" si="71"/>
        <v>#DIV/0!</v>
      </c>
      <c r="BO77" s="171" t="e">
        <f t="shared" si="72"/>
        <v>#DIV/0!</v>
      </c>
      <c r="BP77" s="170">
        <f t="shared" si="73"/>
        <v>0</v>
      </c>
      <c r="BQ77" s="171"/>
      <c r="BR77" s="171"/>
      <c r="BS77" s="171"/>
      <c r="BT77" s="171"/>
      <c r="BU77" s="172">
        <v>46213</v>
      </c>
      <c r="BV77" s="171"/>
      <c r="BW77" s="177" t="b">
        <v>0</v>
      </c>
      <c r="BX77" s="177" t="b">
        <v>0</v>
      </c>
      <c r="BY77" s="392" t="e">
        <f t="shared" si="74"/>
        <v>#DIV/0!</v>
      </c>
      <c r="BZ77" s="392" t="e">
        <f t="shared" si="75"/>
        <v>#DIV/0!</v>
      </c>
      <c r="CA77" s="170">
        <f t="shared" si="76"/>
        <v>0</v>
      </c>
      <c r="CB77" s="171"/>
      <c r="CC77" s="171"/>
      <c r="CD77" s="171"/>
      <c r="CE77" s="171"/>
      <c r="CF77" s="172"/>
      <c r="CG77" s="171"/>
      <c r="CH77" s="177" t="b">
        <v>0</v>
      </c>
      <c r="CI77" s="177" t="b">
        <v>0</v>
      </c>
      <c r="CJ77" s="392" t="e">
        <f t="shared" si="77"/>
        <v>#DIV/0!</v>
      </c>
      <c r="CK77" s="392" t="e">
        <f t="shared" si="78"/>
        <v>#DIV/0!</v>
      </c>
      <c r="CL77" s="170">
        <f t="shared" si="79"/>
        <v>0</v>
      </c>
      <c r="CM77" s="171"/>
      <c r="CN77" s="171"/>
      <c r="CO77" s="171"/>
      <c r="CP77" s="171"/>
      <c r="CQ77" s="172"/>
      <c r="CR77" s="171"/>
      <c r="CS77" s="177" t="b">
        <v>0</v>
      </c>
      <c r="CT77" s="177" t="b">
        <v>0</v>
      </c>
      <c r="CU77" s="171" t="e">
        <f t="shared" si="80"/>
        <v>#DIV/0!</v>
      </c>
      <c r="CV77" s="171" t="e">
        <f t="shared" si="81"/>
        <v>#DIV/0!</v>
      </c>
      <c r="CW77" s="170">
        <f t="shared" si="82"/>
        <v>0</v>
      </c>
      <c r="CX77" s="171"/>
      <c r="CY77" s="171"/>
      <c r="CZ77" s="171"/>
      <c r="DA77" s="171"/>
      <c r="DB77" s="172"/>
      <c r="DC77" s="171"/>
      <c r="DD77" s="177" t="b">
        <v>0</v>
      </c>
      <c r="DE77" s="177" t="b">
        <v>0</v>
      </c>
      <c r="DF77" s="392" t="e">
        <f t="shared" si="83"/>
        <v>#DIV/0!</v>
      </c>
      <c r="DG77" s="392" t="e">
        <f t="shared" si="84"/>
        <v>#DIV/0!</v>
      </c>
      <c r="DH77" s="170">
        <f t="shared" si="85"/>
        <v>0</v>
      </c>
      <c r="DI77" s="171"/>
      <c r="DJ77" s="171"/>
      <c r="DK77" s="171"/>
      <c r="DL77" s="171"/>
      <c r="DM77" s="171"/>
      <c r="DN77" s="172"/>
      <c r="DO77" s="171"/>
      <c r="DP77" s="177" t="b">
        <v>0</v>
      </c>
      <c r="DQ77" s="177" t="b">
        <v>0</v>
      </c>
      <c r="DR77" s="392" t="e">
        <f t="shared" si="86"/>
        <v>#DIV/0!</v>
      </c>
      <c r="DS77" s="170">
        <f t="shared" si="87"/>
        <v>0</v>
      </c>
      <c r="DT77" s="171"/>
      <c r="DU77" s="171"/>
      <c r="DV77" s="171"/>
      <c r="DW77" s="171"/>
      <c r="DX77" s="171"/>
      <c r="DY77" s="172"/>
      <c r="DZ77" s="171"/>
      <c r="EA77" s="177" t="b">
        <v>0</v>
      </c>
      <c r="EB77" s="177" t="b">
        <v>0</v>
      </c>
      <c r="EC77" s="392" t="e">
        <f t="shared" si="88"/>
        <v>#DIV/0!</v>
      </c>
      <c r="ED77" s="170">
        <f t="shared" si="89"/>
        <v>0</v>
      </c>
      <c r="EE77" s="171"/>
      <c r="EF77" s="171"/>
      <c r="EG77" s="171"/>
      <c r="EH77" s="171"/>
      <c r="EI77" s="171"/>
      <c r="EJ77" s="172"/>
      <c r="EK77" s="171"/>
      <c r="EL77" s="177" t="b">
        <v>0</v>
      </c>
      <c r="EM77" s="177" t="b">
        <v>0</v>
      </c>
      <c r="EN77" s="392" t="e">
        <f t="shared" si="90"/>
        <v>#DIV/0!</v>
      </c>
      <c r="EO77" s="170">
        <f t="shared" si="91"/>
        <v>0</v>
      </c>
      <c r="EP77" s="171"/>
      <c r="EQ77" s="171"/>
      <c r="ER77" s="171"/>
      <c r="ES77" s="171"/>
      <c r="ET77" s="171"/>
      <c r="EU77" s="172"/>
      <c r="EV77" s="171"/>
      <c r="EW77" s="177" t="b">
        <v>0</v>
      </c>
      <c r="EX77" s="177" t="b">
        <v>0</v>
      </c>
      <c r="EY77" s="392" t="e">
        <f t="shared" si="92"/>
        <v>#DIV/0!</v>
      </c>
      <c r="EZ77" s="392" t="e">
        <f t="shared" si="93"/>
        <v>#DIV/0!</v>
      </c>
    </row>
    <row r="78" spans="3:156" ht="15" customHeight="1">
      <c r="C78" s="419" t="s">
        <v>1391</v>
      </c>
      <c r="D78" s="187">
        <v>1450022</v>
      </c>
      <c r="E78" s="187">
        <v>43</v>
      </c>
      <c r="F78" s="187" t="s">
        <v>1392</v>
      </c>
      <c r="G78" s="187" t="s">
        <v>1393</v>
      </c>
      <c r="H78" s="154" t="s">
        <v>938</v>
      </c>
      <c r="I78" s="187" t="s">
        <v>939</v>
      </c>
      <c r="J78" s="187" t="s">
        <v>940</v>
      </c>
      <c r="K78" s="444" t="s">
        <v>1392</v>
      </c>
      <c r="L78" s="444" t="s">
        <v>1394</v>
      </c>
      <c r="M78" s="187"/>
      <c r="N78" s="187"/>
      <c r="O78" s="434">
        <v>137</v>
      </c>
      <c r="P78" s="188"/>
      <c r="Q78" s="349">
        <v>71898.070000000007</v>
      </c>
      <c r="R78" s="349"/>
      <c r="S78" s="188"/>
      <c r="T78" s="203">
        <f t="shared" si="95"/>
        <v>71898.070000000007</v>
      </c>
      <c r="U78" s="414">
        <v>4983</v>
      </c>
      <c r="V78" s="415">
        <v>46063</v>
      </c>
      <c r="W78" s="383" t="s">
        <v>1381</v>
      </c>
      <c r="X78" s="475">
        <f t="shared" si="63"/>
        <v>74756.14</v>
      </c>
      <c r="Y78" s="416">
        <v>0</v>
      </c>
      <c r="Z78" s="170">
        <v>0</v>
      </c>
      <c r="AA78" s="170">
        <v>74756.14</v>
      </c>
      <c r="AB78" s="171">
        <v>5180</v>
      </c>
      <c r="AC78" s="172">
        <v>46091</v>
      </c>
      <c r="AD78" s="171" t="s">
        <v>1382</v>
      </c>
      <c r="AE78" s="177" t="b">
        <v>1</v>
      </c>
      <c r="AF78" s="177" t="b">
        <v>1</v>
      </c>
      <c r="AG78" s="410">
        <f t="shared" si="64"/>
        <v>3.9534417017860729E-2</v>
      </c>
      <c r="AH78" s="392">
        <f>(X78-Q78)/Q78</f>
        <v>3.9751692917487105E-2</v>
      </c>
      <c r="AI78" s="455">
        <v>73856.649999999994</v>
      </c>
      <c r="AJ78" s="368">
        <v>0</v>
      </c>
      <c r="AK78" s="368"/>
      <c r="AL78" s="368">
        <v>73856.649999999994</v>
      </c>
      <c r="AM78" s="171">
        <v>5118</v>
      </c>
      <c r="AN78" s="172">
        <v>46122</v>
      </c>
      <c r="AO78" s="171" t="s">
        <v>1383</v>
      </c>
      <c r="AP78" s="177" t="b">
        <v>1</v>
      </c>
      <c r="AQ78" s="177" t="b">
        <v>1</v>
      </c>
      <c r="AR78" s="392">
        <f t="shared" si="65"/>
        <v>-1.1969111969111969E-2</v>
      </c>
      <c r="AS78" s="392">
        <f t="shared" si="66"/>
        <v>-1.2032322696169242E-2</v>
      </c>
      <c r="AT78" s="368">
        <f t="shared" si="67"/>
        <v>0</v>
      </c>
      <c r="AU78" s="368"/>
      <c r="AV78" s="368"/>
      <c r="AW78" s="368"/>
      <c r="AX78" s="171"/>
      <c r="AY78" s="172">
        <v>46152</v>
      </c>
      <c r="AZ78" s="171"/>
      <c r="BA78" s="177" t="b">
        <v>0</v>
      </c>
      <c r="BB78" s="177" t="b">
        <v>0</v>
      </c>
      <c r="BC78" s="392">
        <f t="shared" si="68"/>
        <v>-1</v>
      </c>
      <c r="BD78" s="392">
        <f t="shared" si="69"/>
        <v>-1</v>
      </c>
      <c r="BE78" s="368">
        <f t="shared" si="70"/>
        <v>0</v>
      </c>
      <c r="BF78" s="368"/>
      <c r="BG78" s="368"/>
      <c r="BH78" s="368"/>
      <c r="BI78" s="171"/>
      <c r="BJ78" s="172">
        <v>46183</v>
      </c>
      <c r="BK78" s="171"/>
      <c r="BL78" s="177" t="b">
        <v>0</v>
      </c>
      <c r="BM78" s="177" t="b">
        <v>0</v>
      </c>
      <c r="BN78" s="171" t="e">
        <f t="shared" si="71"/>
        <v>#DIV/0!</v>
      </c>
      <c r="BO78" s="171" t="e">
        <f t="shared" si="72"/>
        <v>#DIV/0!</v>
      </c>
      <c r="BP78" s="170">
        <f t="shared" si="73"/>
        <v>0</v>
      </c>
      <c r="BQ78" s="171"/>
      <c r="BR78" s="171"/>
      <c r="BS78" s="171"/>
      <c r="BT78" s="171"/>
      <c r="BU78" s="172">
        <v>46213</v>
      </c>
      <c r="BV78" s="171"/>
      <c r="BW78" s="177" t="b">
        <v>0</v>
      </c>
      <c r="BX78" s="177" t="b">
        <v>0</v>
      </c>
      <c r="BY78" s="392" t="e">
        <f t="shared" si="74"/>
        <v>#DIV/0!</v>
      </c>
      <c r="BZ78" s="392" t="e">
        <f t="shared" si="75"/>
        <v>#DIV/0!</v>
      </c>
      <c r="CA78" s="170">
        <f t="shared" si="76"/>
        <v>0</v>
      </c>
      <c r="CB78" s="171"/>
      <c r="CC78" s="171"/>
      <c r="CD78" s="171"/>
      <c r="CE78" s="171"/>
      <c r="CF78" s="172"/>
      <c r="CG78" s="171"/>
      <c r="CH78" s="177" t="b">
        <v>0</v>
      </c>
      <c r="CI78" s="177" t="b">
        <v>0</v>
      </c>
      <c r="CJ78" s="392" t="e">
        <f t="shared" si="77"/>
        <v>#DIV/0!</v>
      </c>
      <c r="CK78" s="392" t="e">
        <f t="shared" si="78"/>
        <v>#DIV/0!</v>
      </c>
      <c r="CL78" s="170">
        <f t="shared" si="79"/>
        <v>0</v>
      </c>
      <c r="CM78" s="171"/>
      <c r="CN78" s="171"/>
      <c r="CO78" s="171"/>
      <c r="CP78" s="171"/>
      <c r="CQ78" s="172"/>
      <c r="CR78" s="171"/>
      <c r="CS78" s="177" t="b">
        <v>0</v>
      </c>
      <c r="CT78" s="177" t="b">
        <v>0</v>
      </c>
      <c r="CU78" s="171" t="e">
        <f t="shared" si="80"/>
        <v>#DIV/0!</v>
      </c>
      <c r="CV78" s="171" t="e">
        <f t="shared" si="81"/>
        <v>#DIV/0!</v>
      </c>
      <c r="CW78" s="170">
        <f t="shared" si="82"/>
        <v>0</v>
      </c>
      <c r="CX78" s="171"/>
      <c r="CY78" s="171"/>
      <c r="CZ78" s="171"/>
      <c r="DA78" s="171"/>
      <c r="DB78" s="172"/>
      <c r="DC78" s="171"/>
      <c r="DD78" s="177" t="b">
        <v>0</v>
      </c>
      <c r="DE78" s="177" t="b">
        <v>0</v>
      </c>
      <c r="DF78" s="392" t="e">
        <f t="shared" si="83"/>
        <v>#DIV/0!</v>
      </c>
      <c r="DG78" s="392" t="e">
        <f t="shared" si="84"/>
        <v>#DIV/0!</v>
      </c>
      <c r="DH78" s="170">
        <f t="shared" si="85"/>
        <v>0</v>
      </c>
      <c r="DI78" s="171"/>
      <c r="DJ78" s="171"/>
      <c r="DK78" s="171"/>
      <c r="DL78" s="171"/>
      <c r="DM78" s="171"/>
      <c r="DN78" s="172"/>
      <c r="DO78" s="171"/>
      <c r="DP78" s="177" t="b">
        <v>0</v>
      </c>
      <c r="DQ78" s="177" t="b">
        <v>0</v>
      </c>
      <c r="DR78" s="392" t="e">
        <f t="shared" si="86"/>
        <v>#DIV/0!</v>
      </c>
      <c r="DS78" s="170">
        <f t="shared" si="87"/>
        <v>0</v>
      </c>
      <c r="DT78" s="171"/>
      <c r="DU78" s="171"/>
      <c r="DV78" s="171"/>
      <c r="DW78" s="171"/>
      <c r="DX78" s="171"/>
      <c r="DY78" s="172"/>
      <c r="DZ78" s="171"/>
      <c r="EA78" s="177" t="b">
        <v>0</v>
      </c>
      <c r="EB78" s="177" t="b">
        <v>0</v>
      </c>
      <c r="EC78" s="392" t="e">
        <f t="shared" si="88"/>
        <v>#DIV/0!</v>
      </c>
      <c r="ED78" s="170">
        <f t="shared" si="89"/>
        <v>0</v>
      </c>
      <c r="EE78" s="171"/>
      <c r="EF78" s="171"/>
      <c r="EG78" s="171"/>
      <c r="EH78" s="171"/>
      <c r="EI78" s="171"/>
      <c r="EJ78" s="172"/>
      <c r="EK78" s="171"/>
      <c r="EL78" s="177" t="b">
        <v>0</v>
      </c>
      <c r="EM78" s="177" t="b">
        <v>0</v>
      </c>
      <c r="EN78" s="392" t="e">
        <f t="shared" si="90"/>
        <v>#DIV/0!</v>
      </c>
      <c r="EO78" s="170">
        <f t="shared" si="91"/>
        <v>0</v>
      </c>
      <c r="EP78" s="171"/>
      <c r="EQ78" s="171"/>
      <c r="ER78" s="171"/>
      <c r="ES78" s="171"/>
      <c r="ET78" s="171"/>
      <c r="EU78" s="172"/>
      <c r="EV78" s="171"/>
      <c r="EW78" s="177" t="b">
        <v>0</v>
      </c>
      <c r="EX78" s="177" t="b">
        <v>0</v>
      </c>
      <c r="EY78" s="392" t="e">
        <f t="shared" si="92"/>
        <v>#DIV/0!</v>
      </c>
      <c r="EZ78" s="392" t="e">
        <f t="shared" si="93"/>
        <v>#DIV/0!</v>
      </c>
    </row>
    <row r="79" spans="3:156" ht="15" customHeight="1">
      <c r="C79" s="419" t="s">
        <v>1391</v>
      </c>
      <c r="D79" s="187">
        <v>1450022</v>
      </c>
      <c r="E79" s="187">
        <v>43</v>
      </c>
      <c r="F79" s="187" t="s">
        <v>1395</v>
      </c>
      <c r="G79" s="187" t="s">
        <v>1396</v>
      </c>
      <c r="H79" s="154" t="s">
        <v>938</v>
      </c>
      <c r="I79" s="187" t="s">
        <v>939</v>
      </c>
      <c r="J79" s="187" t="s">
        <v>940</v>
      </c>
      <c r="K79" s="444" t="s">
        <v>1395</v>
      </c>
      <c r="L79" s="444" t="s">
        <v>1397</v>
      </c>
      <c r="M79" s="187"/>
      <c r="N79" s="187"/>
      <c r="O79" s="434">
        <v>137</v>
      </c>
      <c r="P79" s="188"/>
      <c r="Q79" s="349">
        <v>36236.17</v>
      </c>
      <c r="R79" s="349"/>
      <c r="S79" s="188"/>
      <c r="T79" s="203">
        <f t="shared" si="95"/>
        <v>36236.17</v>
      </c>
      <c r="U79" s="414">
        <v>5647</v>
      </c>
      <c r="V79" s="415">
        <v>46063</v>
      </c>
      <c r="W79" s="383" t="s">
        <v>1381</v>
      </c>
      <c r="X79" s="475">
        <f t="shared" si="63"/>
        <v>35868.629999999997</v>
      </c>
      <c r="Y79" s="416">
        <v>0</v>
      </c>
      <c r="Z79" s="416">
        <v>0</v>
      </c>
      <c r="AA79" s="416">
        <v>35868.629999999997</v>
      </c>
      <c r="AB79" s="189">
        <v>5590</v>
      </c>
      <c r="AC79" s="417">
        <v>46091</v>
      </c>
      <c r="AD79" s="189" t="s">
        <v>1382</v>
      </c>
      <c r="AE79" s="177" t="b">
        <v>1</v>
      </c>
      <c r="AF79" s="177" t="b">
        <v>1</v>
      </c>
      <c r="AG79" s="410">
        <f t="shared" si="64"/>
        <v>-1.0093855144324419E-2</v>
      </c>
      <c r="AH79" s="393">
        <f>(X79-Q79)/Q79</f>
        <v>-1.0142904175579287E-2</v>
      </c>
      <c r="AI79" s="455">
        <v>27763.5</v>
      </c>
      <c r="AJ79" s="372">
        <v>0</v>
      </c>
      <c r="AK79" s="372">
        <v>0</v>
      </c>
      <c r="AL79" s="372">
        <v>27763.5</v>
      </c>
      <c r="AM79" s="189">
        <v>4333</v>
      </c>
      <c r="AN79" s="172">
        <v>46122</v>
      </c>
      <c r="AO79" s="189" t="s">
        <v>1383</v>
      </c>
      <c r="AP79" s="177" t="b">
        <v>1</v>
      </c>
      <c r="AQ79" s="177" t="b">
        <v>1</v>
      </c>
      <c r="AR79" s="393">
        <f t="shared" si="65"/>
        <v>-0.22486583184257602</v>
      </c>
      <c r="AS79" s="393">
        <f t="shared" si="66"/>
        <v>-0.22596709157835126</v>
      </c>
      <c r="AT79" s="372">
        <f t="shared" si="67"/>
        <v>0</v>
      </c>
      <c r="AU79" s="372"/>
      <c r="AV79" s="372"/>
      <c r="AW79" s="372"/>
      <c r="AX79" s="189"/>
      <c r="AY79" s="417">
        <v>46152</v>
      </c>
      <c r="AZ79" s="189"/>
      <c r="BA79" s="177" t="b">
        <v>0</v>
      </c>
      <c r="BB79" s="177" t="b">
        <v>0</v>
      </c>
      <c r="BC79" s="393">
        <f t="shared" si="68"/>
        <v>-1</v>
      </c>
      <c r="BD79" s="393">
        <f t="shared" si="69"/>
        <v>-1</v>
      </c>
      <c r="BE79" s="372">
        <f t="shared" si="70"/>
        <v>0</v>
      </c>
      <c r="BF79" s="372"/>
      <c r="BG79" s="372"/>
      <c r="BH79" s="372"/>
      <c r="BI79" s="189"/>
      <c r="BJ79" s="172">
        <v>46183</v>
      </c>
      <c r="BK79" s="189"/>
      <c r="BL79" s="177" t="b">
        <v>0</v>
      </c>
      <c r="BM79" s="177" t="b">
        <v>0</v>
      </c>
      <c r="BN79" s="189" t="e">
        <f t="shared" si="71"/>
        <v>#DIV/0!</v>
      </c>
      <c r="BO79" s="189" t="e">
        <f t="shared" si="72"/>
        <v>#DIV/0!</v>
      </c>
      <c r="BP79" s="416">
        <f t="shared" si="73"/>
        <v>0</v>
      </c>
      <c r="BQ79" s="189"/>
      <c r="BR79" s="189"/>
      <c r="BS79" s="189"/>
      <c r="BT79" s="189"/>
      <c r="BU79" s="172">
        <v>46213</v>
      </c>
      <c r="BV79" s="189"/>
      <c r="BW79" s="177" t="b">
        <v>0</v>
      </c>
      <c r="BX79" s="177" t="b">
        <v>0</v>
      </c>
      <c r="BY79" s="393" t="e">
        <f t="shared" si="74"/>
        <v>#DIV/0!</v>
      </c>
      <c r="BZ79" s="393" t="e">
        <f t="shared" si="75"/>
        <v>#DIV/0!</v>
      </c>
      <c r="CA79" s="416">
        <f t="shared" si="76"/>
        <v>0</v>
      </c>
      <c r="CB79" s="189"/>
      <c r="CC79" s="189"/>
      <c r="CD79" s="189"/>
      <c r="CE79" s="189"/>
      <c r="CF79" s="417"/>
      <c r="CG79" s="189"/>
      <c r="CH79" s="177" t="b">
        <v>0</v>
      </c>
      <c r="CI79" s="177" t="b">
        <v>0</v>
      </c>
      <c r="CJ79" s="393" t="e">
        <f t="shared" si="77"/>
        <v>#DIV/0!</v>
      </c>
      <c r="CK79" s="393" t="e">
        <f t="shared" si="78"/>
        <v>#DIV/0!</v>
      </c>
      <c r="CL79" s="416">
        <f t="shared" si="79"/>
        <v>0</v>
      </c>
      <c r="CM79" s="189"/>
      <c r="CN79" s="189"/>
      <c r="CO79" s="189"/>
      <c r="CP79" s="189"/>
      <c r="CQ79" s="417"/>
      <c r="CR79" s="189"/>
      <c r="CS79" s="177" t="b">
        <v>0</v>
      </c>
      <c r="CT79" s="177" t="b">
        <v>0</v>
      </c>
      <c r="CU79" s="189" t="e">
        <f t="shared" si="80"/>
        <v>#DIV/0!</v>
      </c>
      <c r="CV79" s="189" t="e">
        <f t="shared" si="81"/>
        <v>#DIV/0!</v>
      </c>
      <c r="CW79" s="416">
        <f t="shared" si="82"/>
        <v>0</v>
      </c>
      <c r="CX79" s="189"/>
      <c r="CY79" s="189"/>
      <c r="CZ79" s="189"/>
      <c r="DA79" s="189"/>
      <c r="DB79" s="417"/>
      <c r="DC79" s="189"/>
      <c r="DD79" s="177" t="b">
        <v>0</v>
      </c>
      <c r="DE79" s="177" t="b">
        <v>0</v>
      </c>
      <c r="DF79" s="393" t="e">
        <f t="shared" si="83"/>
        <v>#DIV/0!</v>
      </c>
      <c r="DG79" s="393" t="e">
        <f t="shared" si="84"/>
        <v>#DIV/0!</v>
      </c>
      <c r="DH79" s="416">
        <f t="shared" si="85"/>
        <v>0</v>
      </c>
      <c r="DI79" s="189"/>
      <c r="DJ79" s="189"/>
      <c r="DK79" s="189"/>
      <c r="DL79" s="189"/>
      <c r="DM79" s="189"/>
      <c r="DN79" s="417"/>
      <c r="DO79" s="189"/>
      <c r="DP79" s="177" t="b">
        <v>0</v>
      </c>
      <c r="DQ79" s="177" t="b">
        <v>0</v>
      </c>
      <c r="DR79" s="393" t="e">
        <f t="shared" si="86"/>
        <v>#DIV/0!</v>
      </c>
      <c r="DS79" s="416">
        <f t="shared" si="87"/>
        <v>0</v>
      </c>
      <c r="DT79" s="189"/>
      <c r="DU79" s="189"/>
      <c r="DV79" s="189"/>
      <c r="DW79" s="189"/>
      <c r="DX79" s="189"/>
      <c r="DY79" s="417"/>
      <c r="DZ79" s="189"/>
      <c r="EA79" s="177" t="b">
        <v>0</v>
      </c>
      <c r="EB79" s="177" t="b">
        <v>0</v>
      </c>
      <c r="EC79" s="393" t="e">
        <f t="shared" si="88"/>
        <v>#DIV/0!</v>
      </c>
      <c r="ED79" s="416">
        <f t="shared" si="89"/>
        <v>0</v>
      </c>
      <c r="EE79" s="189"/>
      <c r="EF79" s="189"/>
      <c r="EG79" s="189"/>
      <c r="EH79" s="189"/>
      <c r="EI79" s="189"/>
      <c r="EJ79" s="417"/>
      <c r="EK79" s="189"/>
      <c r="EL79" s="177" t="b">
        <v>0</v>
      </c>
      <c r="EM79" s="177" t="b">
        <v>0</v>
      </c>
      <c r="EN79" s="393" t="e">
        <f t="shared" si="90"/>
        <v>#DIV/0!</v>
      </c>
      <c r="EO79" s="416">
        <f t="shared" si="91"/>
        <v>0</v>
      </c>
      <c r="EP79" s="189"/>
      <c r="EQ79" s="189"/>
      <c r="ER79" s="189"/>
      <c r="ES79" s="189"/>
      <c r="ET79" s="189"/>
      <c r="EU79" s="417"/>
      <c r="EV79" s="189"/>
      <c r="EW79" s="177" t="b">
        <v>0</v>
      </c>
      <c r="EX79" s="177" t="b">
        <v>0</v>
      </c>
      <c r="EY79" s="393" t="e">
        <f t="shared" si="92"/>
        <v>#DIV/0!</v>
      </c>
      <c r="EZ79" s="393" t="e">
        <f t="shared" si="93"/>
        <v>#DIV/0!</v>
      </c>
    </row>
    <row r="80" spans="3:156" ht="15" customHeight="1">
      <c r="C80" s="419" t="s">
        <v>1398</v>
      </c>
      <c r="D80" s="187">
        <v>1450022</v>
      </c>
      <c r="E80" s="187">
        <v>43</v>
      </c>
      <c r="F80" s="187" t="s">
        <v>1399</v>
      </c>
      <c r="G80" s="187" t="s">
        <v>1400</v>
      </c>
      <c r="H80" s="154" t="s">
        <v>938</v>
      </c>
      <c r="I80" s="187" t="s">
        <v>939</v>
      </c>
      <c r="J80" s="187" t="s">
        <v>940</v>
      </c>
      <c r="K80" s="444" t="s">
        <v>1399</v>
      </c>
      <c r="L80" s="444" t="s">
        <v>1401</v>
      </c>
      <c r="M80" s="187"/>
      <c r="N80" s="187"/>
      <c r="O80" s="434">
        <v>137</v>
      </c>
      <c r="P80" s="188"/>
      <c r="Q80" s="349">
        <v>953.95</v>
      </c>
      <c r="R80" s="349"/>
      <c r="S80" s="188"/>
      <c r="T80" s="203">
        <f t="shared" si="95"/>
        <v>953.95</v>
      </c>
      <c r="U80" s="414">
        <v>93</v>
      </c>
      <c r="V80" s="415">
        <v>46063</v>
      </c>
      <c r="W80" s="383" t="s">
        <v>1381</v>
      </c>
      <c r="X80" s="475">
        <f t="shared" si="63"/>
        <v>1084.52</v>
      </c>
      <c r="Y80" s="416">
        <v>0</v>
      </c>
      <c r="Z80" s="416">
        <v>0</v>
      </c>
      <c r="AA80" s="416">
        <v>1084.52</v>
      </c>
      <c r="AB80" s="189">
        <v>102</v>
      </c>
      <c r="AC80" s="417">
        <v>46091</v>
      </c>
      <c r="AD80" s="189" t="s">
        <v>1382</v>
      </c>
      <c r="AE80" s="177" t="b">
        <v>1</v>
      </c>
      <c r="AF80" s="177" t="b">
        <v>1</v>
      </c>
      <c r="AG80" s="410">
        <f t="shared" si="64"/>
        <v>9.6774193548387094E-2</v>
      </c>
      <c r="AH80" s="393">
        <f>(X80-Q80)/Q80</f>
        <v>0.13687300172965033</v>
      </c>
      <c r="AI80" s="455">
        <v>968.45</v>
      </c>
      <c r="AJ80" s="372">
        <v>0</v>
      </c>
      <c r="AK80" s="372"/>
      <c r="AL80" s="372">
        <v>968.45</v>
      </c>
      <c r="AM80" s="189">
        <v>94</v>
      </c>
      <c r="AN80" s="172">
        <v>46122</v>
      </c>
      <c r="AO80" s="189" t="s">
        <v>1383</v>
      </c>
      <c r="AP80" s="177" t="b">
        <v>1</v>
      </c>
      <c r="AQ80" s="177" t="b">
        <v>1</v>
      </c>
      <c r="AR80" s="393">
        <f t="shared" si="65"/>
        <v>-7.8431372549019607E-2</v>
      </c>
      <c r="AS80" s="393">
        <f t="shared" si="66"/>
        <v>-0.10702430568362034</v>
      </c>
      <c r="AT80" s="372">
        <f t="shared" si="67"/>
        <v>0</v>
      </c>
      <c r="AU80" s="372"/>
      <c r="AV80" s="372"/>
      <c r="AW80" s="372"/>
      <c r="AX80" s="189"/>
      <c r="AY80" s="417">
        <v>46152</v>
      </c>
      <c r="AZ80" s="189"/>
      <c r="BA80" s="177" t="b">
        <v>0</v>
      </c>
      <c r="BB80" s="177" t="b">
        <v>0</v>
      </c>
      <c r="BC80" s="393">
        <f t="shared" si="68"/>
        <v>-1</v>
      </c>
      <c r="BD80" s="393">
        <f t="shared" si="69"/>
        <v>-1</v>
      </c>
      <c r="BE80" s="372">
        <f t="shared" si="70"/>
        <v>0</v>
      </c>
      <c r="BF80" s="372"/>
      <c r="BG80" s="372"/>
      <c r="BH80" s="372"/>
      <c r="BI80" s="189"/>
      <c r="BJ80" s="172">
        <v>46183</v>
      </c>
      <c r="BK80" s="189"/>
      <c r="BL80" s="177" t="b">
        <v>0</v>
      </c>
      <c r="BM80" s="177" t="b">
        <v>0</v>
      </c>
      <c r="BN80" s="189" t="e">
        <f t="shared" si="71"/>
        <v>#DIV/0!</v>
      </c>
      <c r="BO80" s="189" t="e">
        <f t="shared" si="72"/>
        <v>#DIV/0!</v>
      </c>
      <c r="BP80" s="416">
        <f t="shared" si="73"/>
        <v>0</v>
      </c>
      <c r="BQ80" s="189"/>
      <c r="BR80" s="189"/>
      <c r="BS80" s="189"/>
      <c r="BT80" s="189"/>
      <c r="BU80" s="172">
        <v>46213</v>
      </c>
      <c r="BV80" s="189"/>
      <c r="BW80" s="177" t="b">
        <v>0</v>
      </c>
      <c r="BX80" s="177" t="b">
        <v>0</v>
      </c>
      <c r="BY80" s="393" t="e">
        <f t="shared" si="74"/>
        <v>#DIV/0!</v>
      </c>
      <c r="BZ80" s="393" t="e">
        <f t="shared" si="75"/>
        <v>#DIV/0!</v>
      </c>
      <c r="CA80" s="416">
        <f t="shared" si="76"/>
        <v>0</v>
      </c>
      <c r="CB80" s="189"/>
      <c r="CC80" s="189"/>
      <c r="CD80" s="189"/>
      <c r="CE80" s="189"/>
      <c r="CF80" s="417"/>
      <c r="CG80" s="189"/>
      <c r="CH80" s="177" t="b">
        <v>0</v>
      </c>
      <c r="CI80" s="177" t="b">
        <v>0</v>
      </c>
      <c r="CJ80" s="393" t="e">
        <f t="shared" si="77"/>
        <v>#DIV/0!</v>
      </c>
      <c r="CK80" s="393" t="e">
        <f t="shared" si="78"/>
        <v>#DIV/0!</v>
      </c>
      <c r="CL80" s="416">
        <f t="shared" si="79"/>
        <v>0</v>
      </c>
      <c r="CM80" s="189"/>
      <c r="CN80" s="189"/>
      <c r="CO80" s="189"/>
      <c r="CP80" s="189"/>
      <c r="CQ80" s="417"/>
      <c r="CR80" s="189"/>
      <c r="CS80" s="177" t="b">
        <v>0</v>
      </c>
      <c r="CT80" s="177" t="b">
        <v>0</v>
      </c>
      <c r="CU80" s="189" t="e">
        <f t="shared" si="80"/>
        <v>#DIV/0!</v>
      </c>
      <c r="CV80" s="189" t="e">
        <f t="shared" si="81"/>
        <v>#DIV/0!</v>
      </c>
      <c r="CW80" s="416">
        <f t="shared" si="82"/>
        <v>0</v>
      </c>
      <c r="CX80" s="189"/>
      <c r="CY80" s="189"/>
      <c r="CZ80" s="189"/>
      <c r="DA80" s="189"/>
      <c r="DB80" s="417"/>
      <c r="DC80" s="189"/>
      <c r="DD80" s="177" t="b">
        <v>0</v>
      </c>
      <c r="DE80" s="177" t="b">
        <v>0</v>
      </c>
      <c r="DF80" s="393" t="e">
        <f t="shared" si="83"/>
        <v>#DIV/0!</v>
      </c>
      <c r="DG80" s="393" t="e">
        <f t="shared" si="84"/>
        <v>#DIV/0!</v>
      </c>
      <c r="DH80" s="416">
        <f t="shared" si="85"/>
        <v>0</v>
      </c>
      <c r="DI80" s="189"/>
      <c r="DJ80" s="189"/>
      <c r="DK80" s="189"/>
      <c r="DL80" s="189"/>
      <c r="DM80" s="189"/>
      <c r="DN80" s="417"/>
      <c r="DO80" s="189"/>
      <c r="DP80" s="177" t="b">
        <v>0</v>
      </c>
      <c r="DQ80" s="177" t="b">
        <v>0</v>
      </c>
      <c r="DR80" s="393" t="e">
        <f t="shared" si="86"/>
        <v>#DIV/0!</v>
      </c>
      <c r="DS80" s="416">
        <f t="shared" si="87"/>
        <v>0</v>
      </c>
      <c r="DT80" s="189"/>
      <c r="DU80" s="189"/>
      <c r="DV80" s="189"/>
      <c r="DW80" s="189"/>
      <c r="DX80" s="189"/>
      <c r="DY80" s="417"/>
      <c r="DZ80" s="189"/>
      <c r="EA80" s="177" t="b">
        <v>0</v>
      </c>
      <c r="EB80" s="177" t="b">
        <v>0</v>
      </c>
      <c r="EC80" s="393" t="e">
        <f t="shared" si="88"/>
        <v>#DIV/0!</v>
      </c>
      <c r="ED80" s="416">
        <f t="shared" si="89"/>
        <v>0</v>
      </c>
      <c r="EE80" s="189"/>
      <c r="EF80" s="189"/>
      <c r="EG80" s="189"/>
      <c r="EH80" s="189"/>
      <c r="EI80" s="189"/>
      <c r="EJ80" s="417"/>
      <c r="EK80" s="189"/>
      <c r="EL80" s="177" t="b">
        <v>0</v>
      </c>
      <c r="EM80" s="177" t="b">
        <v>0</v>
      </c>
      <c r="EN80" s="393" t="e">
        <f t="shared" si="90"/>
        <v>#DIV/0!</v>
      </c>
      <c r="EO80" s="416">
        <f t="shared" si="91"/>
        <v>0</v>
      </c>
      <c r="EP80" s="189"/>
      <c r="EQ80" s="189"/>
      <c r="ER80" s="189"/>
      <c r="ES80" s="189"/>
      <c r="ET80" s="189"/>
      <c r="EU80" s="417"/>
      <c r="EV80" s="189"/>
      <c r="EW80" s="177" t="b">
        <v>0</v>
      </c>
      <c r="EX80" s="177" t="b">
        <v>0</v>
      </c>
      <c r="EY80" s="393" t="e">
        <f t="shared" si="92"/>
        <v>#DIV/0!</v>
      </c>
      <c r="EZ80" s="393" t="e">
        <f t="shared" si="93"/>
        <v>#DIV/0!</v>
      </c>
    </row>
    <row r="81" spans="3:156" ht="15" customHeight="1">
      <c r="C81" s="429" t="s">
        <v>1402</v>
      </c>
      <c r="D81" s="357">
        <v>1450005</v>
      </c>
      <c r="E81" s="357">
        <v>1003</v>
      </c>
      <c r="F81" s="357" t="s">
        <v>1403</v>
      </c>
      <c r="G81" s="357" t="s">
        <v>1404</v>
      </c>
      <c r="H81" s="431" t="s">
        <v>938</v>
      </c>
      <c r="I81" s="357" t="s">
        <v>939</v>
      </c>
      <c r="J81" s="357" t="s">
        <v>940</v>
      </c>
      <c r="K81" s="173" t="s">
        <v>1403</v>
      </c>
      <c r="L81" s="1120" t="s">
        <v>1405</v>
      </c>
      <c r="M81" s="357"/>
      <c r="N81" s="357"/>
      <c r="O81" s="361">
        <v>175</v>
      </c>
      <c r="P81" s="433">
        <v>318</v>
      </c>
      <c r="Q81" s="401">
        <v>55</v>
      </c>
      <c r="R81" s="401"/>
      <c r="S81" s="358"/>
      <c r="T81" s="402">
        <f>(-Q81-R81-S81)</f>
        <v>-55</v>
      </c>
      <c r="U81" s="403">
        <v>10</v>
      </c>
      <c r="V81" s="404">
        <v>46042</v>
      </c>
      <c r="W81" s="385" t="s">
        <v>1406</v>
      </c>
      <c r="X81" s="144">
        <f>SUM(AA81, ABS(Y81))</f>
        <v>94</v>
      </c>
      <c r="Y81" s="406"/>
      <c r="Z81" s="406"/>
      <c r="AA81" s="406">
        <v>94</v>
      </c>
      <c r="AB81" s="148">
        <v>19</v>
      </c>
      <c r="AC81" s="407">
        <v>46073</v>
      </c>
      <c r="AD81" s="148" t="s">
        <v>1407</v>
      </c>
      <c r="AE81" s="428" t="b">
        <v>1</v>
      </c>
      <c r="AF81" s="428" t="b">
        <v>1</v>
      </c>
      <c r="AG81" s="409">
        <f t="shared" si="64"/>
        <v>0.9</v>
      </c>
      <c r="AH81" s="409">
        <f>(X81-Q81)/Q81</f>
        <v>0.70909090909090911</v>
      </c>
      <c r="AI81" s="1096">
        <f t="shared" si="94"/>
        <v>55.6</v>
      </c>
      <c r="AJ81" s="427">
        <v>0</v>
      </c>
      <c r="AK81" s="364">
        <v>4.49</v>
      </c>
      <c r="AL81" s="364">
        <v>55.6</v>
      </c>
      <c r="AM81" s="148">
        <v>7</v>
      </c>
      <c r="AN81" s="407">
        <v>46101</v>
      </c>
      <c r="AO81" s="148" t="s">
        <v>1408</v>
      </c>
      <c r="AP81" s="164" t="b">
        <v>1</v>
      </c>
      <c r="AQ81" s="164" t="b">
        <v>1</v>
      </c>
      <c r="AR81" s="438">
        <f t="shared" si="65"/>
        <v>-0.63157894736842102</v>
      </c>
      <c r="AS81" s="438">
        <f t="shared" si="66"/>
        <v>-0.40851063829787232</v>
      </c>
      <c r="AT81" s="402">
        <f t="shared" si="67"/>
        <v>0</v>
      </c>
      <c r="AU81" s="938"/>
      <c r="AV81" s="402"/>
      <c r="AW81" s="402"/>
      <c r="AX81" s="148"/>
      <c r="AY81" s="926">
        <v>46132</v>
      </c>
      <c r="AZ81" s="148"/>
      <c r="BA81" s="164" t="b">
        <v>0</v>
      </c>
      <c r="BB81" s="164" t="b">
        <v>0</v>
      </c>
      <c r="BC81" s="438">
        <f t="shared" si="68"/>
        <v>-1</v>
      </c>
      <c r="BD81" s="438">
        <f t="shared" si="69"/>
        <v>-1</v>
      </c>
      <c r="BE81" s="364">
        <f t="shared" si="70"/>
        <v>0</v>
      </c>
      <c r="BF81" s="427"/>
      <c r="BG81" s="364"/>
      <c r="BH81" s="364"/>
      <c r="BI81" s="148"/>
      <c r="BJ81" s="1196">
        <v>46162</v>
      </c>
      <c r="BK81" s="148"/>
      <c r="BL81" s="164" t="b">
        <v>0</v>
      </c>
      <c r="BM81" s="164" t="b">
        <v>0</v>
      </c>
      <c r="BN81" s="357" t="e">
        <f t="shared" si="71"/>
        <v>#DIV/0!</v>
      </c>
      <c r="BO81" s="357" t="e">
        <f t="shared" si="72"/>
        <v>#DIV/0!</v>
      </c>
      <c r="BP81" s="401">
        <f t="shared" si="73"/>
        <v>0</v>
      </c>
      <c r="BQ81" s="360"/>
      <c r="BR81" s="358"/>
      <c r="BS81" s="358"/>
      <c r="BT81" s="358"/>
      <c r="BU81" s="1196">
        <v>46193</v>
      </c>
      <c r="BV81" s="358"/>
      <c r="BW81" s="164" t="b">
        <v>0</v>
      </c>
      <c r="BX81" s="164" t="b">
        <v>0</v>
      </c>
      <c r="BY81" s="438" t="e">
        <f t="shared" si="74"/>
        <v>#DIV/0!</v>
      </c>
      <c r="BZ81" s="438" t="e">
        <f t="shared" si="75"/>
        <v>#DIV/0!</v>
      </c>
      <c r="CA81" s="401">
        <f t="shared" si="76"/>
        <v>0</v>
      </c>
      <c r="CB81" s="360"/>
      <c r="CC81" s="358"/>
      <c r="CD81" s="358"/>
      <c r="CE81" s="358"/>
      <c r="CF81" s="404"/>
      <c r="CG81" s="358"/>
      <c r="CH81" s="164" t="b">
        <v>0</v>
      </c>
      <c r="CI81" s="164" t="b">
        <v>0</v>
      </c>
      <c r="CJ81" s="438" t="e">
        <f t="shared" si="77"/>
        <v>#DIV/0!</v>
      </c>
      <c r="CK81" s="438" t="e">
        <f t="shared" si="78"/>
        <v>#DIV/0!</v>
      </c>
      <c r="CL81" s="401">
        <f t="shared" si="79"/>
        <v>0</v>
      </c>
      <c r="CM81" s="360"/>
      <c r="CN81" s="358"/>
      <c r="CO81" s="358"/>
      <c r="CP81" s="358"/>
      <c r="CQ81" s="404"/>
      <c r="CR81" s="358"/>
      <c r="CS81" s="164" t="b">
        <v>0</v>
      </c>
      <c r="CT81" s="164" t="b">
        <v>0</v>
      </c>
      <c r="CU81" s="358" t="e">
        <f t="shared" si="80"/>
        <v>#DIV/0!</v>
      </c>
      <c r="CV81" s="358" t="e">
        <f t="shared" si="81"/>
        <v>#DIV/0!</v>
      </c>
      <c r="CW81" s="401">
        <f t="shared" si="82"/>
        <v>0</v>
      </c>
      <c r="CX81" s="360"/>
      <c r="CY81" s="358"/>
      <c r="CZ81" s="358"/>
      <c r="DA81" s="358"/>
      <c r="DB81" s="404"/>
      <c r="DC81" s="358"/>
      <c r="DD81" s="164" t="b">
        <v>0</v>
      </c>
      <c r="DE81" s="164" t="b">
        <v>0</v>
      </c>
      <c r="DF81" s="438" t="e">
        <f t="shared" si="83"/>
        <v>#DIV/0!</v>
      </c>
      <c r="DG81" s="438" t="e">
        <f t="shared" si="84"/>
        <v>#DIV/0!</v>
      </c>
      <c r="DH81" s="401">
        <f t="shared" si="85"/>
        <v>0</v>
      </c>
      <c r="DI81" s="358"/>
      <c r="DJ81" s="360"/>
      <c r="DK81" s="358"/>
      <c r="DL81" s="358"/>
      <c r="DM81" s="358"/>
      <c r="DN81" s="404"/>
      <c r="DO81" s="358"/>
      <c r="DP81" s="164" t="b">
        <v>0</v>
      </c>
      <c r="DQ81" s="164" t="b">
        <v>0</v>
      </c>
      <c r="DR81" s="438" t="e">
        <f t="shared" si="86"/>
        <v>#DIV/0!</v>
      </c>
      <c r="DS81" s="883">
        <f t="shared" si="87"/>
        <v>0</v>
      </c>
      <c r="DT81" s="358"/>
      <c r="DU81" s="360"/>
      <c r="DV81" s="358"/>
      <c r="DW81" s="358"/>
      <c r="DX81" s="358"/>
      <c r="DY81" s="404"/>
      <c r="DZ81" s="358"/>
      <c r="EA81" s="164" t="b">
        <v>0</v>
      </c>
      <c r="EB81" s="164" t="b">
        <v>0</v>
      </c>
      <c r="EC81" s="438" t="e">
        <f t="shared" si="88"/>
        <v>#DIV/0!</v>
      </c>
      <c r="ED81" s="883">
        <f t="shared" si="89"/>
        <v>0</v>
      </c>
      <c r="EE81" s="358"/>
      <c r="EF81" s="360"/>
      <c r="EG81" s="358"/>
      <c r="EH81" s="358"/>
      <c r="EI81" s="358"/>
      <c r="EJ81" s="404"/>
      <c r="EK81" s="358"/>
      <c r="EL81" s="164" t="b">
        <v>0</v>
      </c>
      <c r="EM81" s="164" t="b">
        <v>0</v>
      </c>
      <c r="EN81" s="438" t="e">
        <f t="shared" si="90"/>
        <v>#DIV/0!</v>
      </c>
      <c r="EO81" s="883">
        <f t="shared" si="91"/>
        <v>0</v>
      </c>
      <c r="EP81" s="358"/>
      <c r="EQ81" s="360"/>
      <c r="ER81" s="358"/>
      <c r="ES81" s="358"/>
      <c r="ET81" s="358"/>
      <c r="EU81" s="404"/>
      <c r="EV81" s="358"/>
      <c r="EW81" s="164" t="b">
        <v>0</v>
      </c>
      <c r="EX81" s="164" t="b">
        <v>0</v>
      </c>
      <c r="EY81" s="438" t="e">
        <f t="shared" si="92"/>
        <v>#DIV/0!</v>
      </c>
      <c r="EZ81" s="438" t="e">
        <f t="shared" si="93"/>
        <v>#DIV/0!</v>
      </c>
    </row>
    <row r="82" spans="3:156" ht="15" customHeight="1">
      <c r="C82" s="908" t="s">
        <v>1409</v>
      </c>
      <c r="D82" s="909">
        <v>1450026</v>
      </c>
      <c r="E82" s="909">
        <v>87</v>
      </c>
      <c r="F82" s="910" t="s">
        <v>1410</v>
      </c>
      <c r="G82" s="909"/>
      <c r="H82" s="891" t="s">
        <v>1411</v>
      </c>
      <c r="I82" s="891" t="s">
        <v>1412</v>
      </c>
      <c r="J82" s="911" t="s">
        <v>170</v>
      </c>
      <c r="K82" s="912" t="s">
        <v>1410</v>
      </c>
      <c r="L82" s="912" t="s">
        <v>1413</v>
      </c>
      <c r="M82" s="913"/>
      <c r="N82" s="914">
        <v>140</v>
      </c>
      <c r="O82" s="915">
        <v>107</v>
      </c>
      <c r="P82" s="886"/>
      <c r="Q82" s="886"/>
      <c r="R82" s="886"/>
      <c r="S82" s="887"/>
      <c r="T82" s="887"/>
      <c r="U82" s="887"/>
      <c r="V82" s="887"/>
      <c r="W82" s="887"/>
      <c r="X82" s="888">
        <f t="shared" ref="X82:X83" si="96">SUM(AA82, ABS(Y82))</f>
        <v>22791.27</v>
      </c>
      <c r="Y82" s="888"/>
      <c r="Z82" s="888"/>
      <c r="AA82" s="888">
        <v>22791.27</v>
      </c>
      <c r="AB82" s="889">
        <v>1416</v>
      </c>
      <c r="AC82" s="890">
        <v>46091</v>
      </c>
      <c r="AD82" s="891" t="s">
        <v>1414</v>
      </c>
      <c r="AE82" s="892" t="b">
        <v>1</v>
      </c>
      <c r="AF82" s="892" t="b">
        <v>1</v>
      </c>
      <c r="AG82" s="893" t="e">
        <f>(Z82-S82)/S82</f>
        <v>#DIV/0!</v>
      </c>
      <c r="AH82" s="893" t="e">
        <f>(X82-Q82)/Q82</f>
        <v>#DIV/0!</v>
      </c>
      <c r="AI82" s="923">
        <f t="shared" si="94"/>
        <v>25414.32</v>
      </c>
      <c r="AJ82" s="924">
        <v>1219.8900000000001</v>
      </c>
      <c r="AK82" s="894"/>
      <c r="AL82" s="894">
        <v>24194.43</v>
      </c>
      <c r="AM82" s="895">
        <v>1432</v>
      </c>
      <c r="AN82" s="890">
        <v>46122</v>
      </c>
      <c r="AO82" s="894" t="s">
        <v>1415</v>
      </c>
      <c r="AP82" s="892" t="b">
        <v>1</v>
      </c>
      <c r="AQ82" s="892" t="b">
        <v>1</v>
      </c>
      <c r="AR82" s="893">
        <f t="shared" si="65"/>
        <v>1.1299435028248588E-2</v>
      </c>
      <c r="AS82" s="893">
        <f t="shared" si="66"/>
        <v>0.115090120032802</v>
      </c>
      <c r="AT82" s="894">
        <f t="shared" si="67"/>
        <v>0</v>
      </c>
      <c r="AU82" s="886"/>
      <c r="AV82" s="886"/>
      <c r="AW82" s="886"/>
      <c r="AX82" s="891"/>
      <c r="AY82" s="890">
        <v>46152</v>
      </c>
      <c r="AZ82" s="891"/>
      <c r="BA82" s="892" t="b">
        <v>0</v>
      </c>
      <c r="BB82" s="892" t="b">
        <v>0</v>
      </c>
      <c r="BC82" s="887"/>
      <c r="BD82" s="887"/>
      <c r="BE82" s="894">
        <f t="shared" si="70"/>
        <v>0</v>
      </c>
      <c r="BF82" s="894"/>
      <c r="BG82" s="894"/>
      <c r="BH82" s="894"/>
      <c r="BI82" s="891"/>
      <c r="BJ82" s="1200">
        <v>46183</v>
      </c>
      <c r="BK82" s="891"/>
      <c r="BL82" s="892" t="b">
        <v>0</v>
      </c>
      <c r="BM82" s="892" t="b">
        <v>0</v>
      </c>
      <c r="BN82" s="887"/>
      <c r="BO82" s="887"/>
      <c r="BP82" s="888">
        <f t="shared" si="73"/>
        <v>0</v>
      </c>
      <c r="BQ82" s="886"/>
      <c r="BR82" s="886"/>
      <c r="BS82" s="886"/>
      <c r="BT82" s="887"/>
      <c r="BU82" s="1200">
        <v>46213</v>
      </c>
      <c r="BV82" s="887"/>
      <c r="BW82" s="892" t="b">
        <v>0</v>
      </c>
      <c r="BX82" s="892" t="b">
        <v>0</v>
      </c>
      <c r="BY82" s="887"/>
      <c r="BZ82" s="887"/>
      <c r="CA82" s="888">
        <f t="shared" si="76"/>
        <v>0</v>
      </c>
      <c r="CB82" s="886"/>
      <c r="CC82" s="886"/>
      <c r="CD82" s="886"/>
      <c r="CE82" s="887"/>
      <c r="CF82" s="1190"/>
      <c r="CG82" s="887"/>
      <c r="CH82" s="892" t="b">
        <v>0</v>
      </c>
      <c r="CI82" s="892" t="b">
        <v>0</v>
      </c>
      <c r="CJ82" s="887"/>
      <c r="CK82" s="887"/>
      <c r="CL82" s="888">
        <f t="shared" si="79"/>
        <v>0</v>
      </c>
      <c r="CM82" s="886"/>
      <c r="CN82" s="886"/>
      <c r="CO82" s="886"/>
      <c r="CP82" s="887"/>
      <c r="CQ82" s="1190"/>
      <c r="CR82" s="887"/>
      <c r="CS82" s="892" t="b">
        <v>0</v>
      </c>
      <c r="CT82" s="892" t="b">
        <v>0</v>
      </c>
      <c r="CU82" s="887"/>
      <c r="CV82" s="887"/>
      <c r="CW82" s="888">
        <f t="shared" si="82"/>
        <v>0</v>
      </c>
      <c r="CX82" s="886"/>
      <c r="CY82" s="886"/>
      <c r="CZ82" s="886"/>
      <c r="DA82" s="887"/>
      <c r="DB82" s="1190"/>
      <c r="DC82" s="887"/>
      <c r="DD82" s="892" t="b">
        <v>0</v>
      </c>
      <c r="DE82" s="892" t="b">
        <v>0</v>
      </c>
      <c r="DF82" s="888">
        <f t="shared" ref="DF82:DF83" si="97">SUM(DI82, ABS(DG82))</f>
        <v>28179.24</v>
      </c>
      <c r="DG82" s="896">
        <v>11865.995000000001</v>
      </c>
      <c r="DH82" s="888">
        <v>14089.62</v>
      </c>
      <c r="DI82" s="888">
        <v>16313.245000000001</v>
      </c>
      <c r="DJ82" s="891">
        <v>18536.87</v>
      </c>
      <c r="DK82" s="890">
        <v>46091</v>
      </c>
      <c r="DL82" s="891" t="s">
        <v>670</v>
      </c>
      <c r="DM82" s="892" t="b">
        <v>1</v>
      </c>
      <c r="DN82" s="1193" t="b">
        <v>1</v>
      </c>
      <c r="DO82" s="893" t="e">
        <f>(DH82-DA82)/DA82</f>
        <v>#DIV/0!</v>
      </c>
      <c r="DP82" s="893" t="e">
        <f t="shared" ref="DP82:DP83" si="98">(DG82-CZ82)/CZ82</f>
        <v>#DIV/0!</v>
      </c>
      <c r="DQ82" s="888">
        <f t="shared" ref="DQ82:DQ83" si="99">SUM(DT82, ABS(DR82))</f>
        <v>91845.093333333396</v>
      </c>
      <c r="DR82" s="894">
        <v>33175.726666666698</v>
      </c>
      <c r="DS82" s="894">
        <v>45922.546666666698</v>
      </c>
      <c r="DT82" s="894">
        <v>58669.366666666698</v>
      </c>
      <c r="DU82" s="895">
        <v>842</v>
      </c>
      <c r="DV82" s="890"/>
      <c r="DW82" s="895"/>
      <c r="DX82" s="892" t="b">
        <v>0</v>
      </c>
      <c r="DY82" s="1193" t="b">
        <v>0</v>
      </c>
      <c r="DZ82" s="893">
        <f t="shared" ref="DZ82:DZ83" si="100">(DU82-DJ82)/DJ82</f>
        <v>-0.95457701327138833</v>
      </c>
      <c r="EA82" s="893">
        <f t="shared" ref="EA82:EA83" si="101">SUM(ED82, ABS(EB82))</f>
        <v>0</v>
      </c>
      <c r="EB82" s="888">
        <f t="shared" ref="EB82:EB83" si="102">SUM(EE82, ABS(EC82))</f>
        <v>0</v>
      </c>
      <c r="EC82" s="886"/>
      <c r="ED82" s="886"/>
      <c r="EE82" s="886"/>
      <c r="EF82" s="887"/>
      <c r="EG82" s="887"/>
      <c r="EH82" s="887"/>
      <c r="EI82" s="892" t="b">
        <v>0</v>
      </c>
      <c r="EJ82" s="1193" t="b">
        <v>0</v>
      </c>
      <c r="EK82" s="887"/>
      <c r="EL82" s="887"/>
      <c r="EM82" s="888">
        <f t="shared" ref="EM82:EM83" si="103">SUM(EP82, ABS(EN82))</f>
        <v>0</v>
      </c>
      <c r="EN82" s="886"/>
      <c r="EO82" s="886"/>
      <c r="EP82" s="886"/>
      <c r="EQ82" s="887"/>
      <c r="ER82" s="887"/>
      <c r="ES82" s="887"/>
      <c r="ET82" s="892" t="b">
        <v>0</v>
      </c>
      <c r="EU82" s="1193" t="b">
        <v>0</v>
      </c>
      <c r="EV82" s="887"/>
      <c r="EW82" s="887"/>
      <c r="EX82" s="888">
        <f t="shared" ref="EX82:EX83" si="104">SUM(FA82, ABS(EY82))</f>
        <v>0</v>
      </c>
      <c r="EY82" s="886"/>
      <c r="EZ82" s="886"/>
    </row>
    <row r="83" spans="3:156" ht="15" customHeight="1">
      <c r="C83" s="885" t="s">
        <v>1416</v>
      </c>
      <c r="D83" s="916">
        <v>1450027</v>
      </c>
      <c r="E83" s="916">
        <v>79</v>
      </c>
      <c r="F83" s="917" t="s">
        <v>1417</v>
      </c>
      <c r="G83" s="916"/>
      <c r="H83" s="918" t="s">
        <v>1411</v>
      </c>
      <c r="I83" s="918" t="s">
        <v>1412</v>
      </c>
      <c r="J83" s="919" t="s">
        <v>170</v>
      </c>
      <c r="K83" s="912" t="s">
        <v>1418</v>
      </c>
      <c r="L83" s="912" t="s">
        <v>1419</v>
      </c>
      <c r="M83" s="920"/>
      <c r="N83" s="921">
        <v>140</v>
      </c>
      <c r="O83" s="922">
        <v>107</v>
      </c>
      <c r="P83" s="897"/>
      <c r="Q83" s="897"/>
      <c r="R83" s="897"/>
      <c r="S83" s="898"/>
      <c r="T83" s="898"/>
      <c r="U83" s="898"/>
      <c r="V83" s="898"/>
      <c r="W83" s="898"/>
      <c r="X83" s="899">
        <f t="shared" si="96"/>
        <v>30968.17</v>
      </c>
      <c r="Y83" s="900"/>
      <c r="Z83" s="900"/>
      <c r="AA83" s="900">
        <v>30968.17</v>
      </c>
      <c r="AB83" s="901">
        <v>1910</v>
      </c>
      <c r="AC83" s="902">
        <v>46091</v>
      </c>
      <c r="AD83" s="903" t="s">
        <v>1420</v>
      </c>
      <c r="AE83" s="904" t="b">
        <v>1</v>
      </c>
      <c r="AF83" s="904" t="b">
        <v>1</v>
      </c>
      <c r="AG83" s="905" t="e">
        <f>(Z83-S83)/S83</f>
        <v>#DIV/0!</v>
      </c>
      <c r="AH83" s="906" t="e">
        <f>(X83-Q83)/Q83</f>
        <v>#DIV/0!</v>
      </c>
      <c r="AI83" s="923">
        <v>28266.9</v>
      </c>
      <c r="AJ83" s="907">
        <v>1425.22</v>
      </c>
      <c r="AK83" s="907">
        <v>0</v>
      </c>
      <c r="AL83" s="907">
        <v>28266.9</v>
      </c>
      <c r="AM83" s="903">
        <v>1760</v>
      </c>
      <c r="AN83" s="902">
        <v>46122</v>
      </c>
      <c r="AO83" s="903" t="s">
        <v>1421</v>
      </c>
      <c r="AP83" s="904" t="b">
        <v>1</v>
      </c>
      <c r="AQ83" s="904" t="b">
        <v>1</v>
      </c>
      <c r="AR83" s="906">
        <f t="shared" si="65"/>
        <v>-7.8534031413612565E-2</v>
      </c>
      <c r="AS83" s="905">
        <f t="shared" si="66"/>
        <v>-8.7227304680902909E-2</v>
      </c>
      <c r="AT83" s="937">
        <f t="shared" si="67"/>
        <v>0</v>
      </c>
      <c r="AU83" s="897"/>
      <c r="AV83" s="897"/>
      <c r="AW83" s="897"/>
      <c r="AX83" s="903"/>
      <c r="AY83" s="902">
        <v>46152</v>
      </c>
      <c r="AZ83" s="903"/>
      <c r="BA83" s="904" t="b">
        <v>0</v>
      </c>
      <c r="BB83" s="904" t="b">
        <v>0</v>
      </c>
      <c r="BC83" s="898"/>
      <c r="BD83" s="898"/>
      <c r="BE83" s="937">
        <f t="shared" si="70"/>
        <v>0</v>
      </c>
      <c r="BF83" s="907"/>
      <c r="BG83" s="907"/>
      <c r="BH83" s="907"/>
      <c r="BI83" s="903"/>
      <c r="BJ83" s="1201">
        <v>46183</v>
      </c>
      <c r="BK83" s="903"/>
      <c r="BL83" s="904" t="b">
        <v>0</v>
      </c>
      <c r="BM83" s="904" t="b">
        <v>0</v>
      </c>
      <c r="BN83" s="898"/>
      <c r="BO83" s="898"/>
      <c r="BP83" s="899">
        <f t="shared" si="73"/>
        <v>0</v>
      </c>
      <c r="BQ83" s="897"/>
      <c r="BR83" s="897"/>
      <c r="BS83" s="897"/>
      <c r="BT83" s="898"/>
      <c r="BU83" s="1201">
        <v>46213</v>
      </c>
      <c r="BV83" s="898"/>
      <c r="BW83" s="904" t="b">
        <v>0</v>
      </c>
      <c r="BX83" s="904" t="b">
        <v>0</v>
      </c>
      <c r="BY83" s="898"/>
      <c r="BZ83" s="898"/>
      <c r="CA83" s="899">
        <f t="shared" si="76"/>
        <v>0</v>
      </c>
      <c r="CB83" s="897"/>
      <c r="CC83" s="897"/>
      <c r="CD83" s="897"/>
      <c r="CE83" s="898"/>
      <c r="CF83" s="1191"/>
      <c r="CG83" s="898"/>
      <c r="CH83" s="904" t="b">
        <v>0</v>
      </c>
      <c r="CI83" s="904" t="b">
        <v>0</v>
      </c>
      <c r="CJ83" s="898"/>
      <c r="CK83" s="898"/>
      <c r="CL83" s="899">
        <f t="shared" si="79"/>
        <v>0</v>
      </c>
      <c r="CM83" s="897"/>
      <c r="CN83" s="897"/>
      <c r="CO83" s="897"/>
      <c r="CP83" s="898"/>
      <c r="CQ83" s="1191"/>
      <c r="CR83" s="898"/>
      <c r="CS83" s="904" t="b">
        <v>0</v>
      </c>
      <c r="CT83" s="904" t="b">
        <v>0</v>
      </c>
      <c r="CU83" s="898"/>
      <c r="CV83" s="898"/>
      <c r="CW83" s="899">
        <f t="shared" si="82"/>
        <v>0</v>
      </c>
      <c r="CX83" s="897"/>
      <c r="CY83" s="897"/>
      <c r="CZ83" s="897"/>
      <c r="DA83" s="898"/>
      <c r="DB83" s="1191"/>
      <c r="DC83" s="898"/>
      <c r="DD83" s="904" t="b">
        <v>0</v>
      </c>
      <c r="DE83" s="904" t="b">
        <v>0</v>
      </c>
      <c r="DF83" s="899">
        <f t="shared" si="97"/>
        <v>15102.995999999999</v>
      </c>
      <c r="DG83" s="900">
        <v>6166.0450000000001</v>
      </c>
      <c r="DH83" s="900">
        <v>7551.4979999999996</v>
      </c>
      <c r="DI83" s="900">
        <v>8936.9509999999991</v>
      </c>
      <c r="DJ83" s="903">
        <v>10322.404</v>
      </c>
      <c r="DK83" s="902">
        <v>46091</v>
      </c>
      <c r="DL83" s="903" t="s">
        <v>670</v>
      </c>
      <c r="DM83" s="904" t="b">
        <v>1</v>
      </c>
      <c r="DN83" s="1194" t="b">
        <v>1</v>
      </c>
      <c r="DO83" s="905" t="e">
        <f>(DH83-DA83)/DA83</f>
        <v>#DIV/0!</v>
      </c>
      <c r="DP83" s="906" t="e">
        <f t="shared" si="98"/>
        <v>#DIV/0!</v>
      </c>
      <c r="DQ83" s="899">
        <f t="shared" si="99"/>
        <v>14350.311999999998</v>
      </c>
      <c r="DR83" s="907">
        <v>5859.1549999999997</v>
      </c>
      <c r="DS83" s="907">
        <v>7175.1559999999999</v>
      </c>
      <c r="DT83" s="907">
        <v>8491.1569999999992</v>
      </c>
      <c r="DU83" s="903">
        <v>9807.1579999999994</v>
      </c>
      <c r="DV83" s="902"/>
      <c r="DW83" s="903"/>
      <c r="DX83" s="904" t="b">
        <v>0</v>
      </c>
      <c r="DY83" s="1194" t="b">
        <v>0</v>
      </c>
      <c r="DZ83" s="906">
        <f t="shared" si="100"/>
        <v>-4.9915310425749752E-2</v>
      </c>
      <c r="EA83" s="905">
        <f t="shared" si="101"/>
        <v>0</v>
      </c>
      <c r="EB83" s="899">
        <f t="shared" si="102"/>
        <v>0</v>
      </c>
      <c r="EC83" s="897"/>
      <c r="ED83" s="897"/>
      <c r="EE83" s="897"/>
      <c r="EF83" s="898"/>
      <c r="EG83" s="898"/>
      <c r="EH83" s="898"/>
      <c r="EI83" s="904" t="b">
        <v>0</v>
      </c>
      <c r="EJ83" s="1194" t="b">
        <v>0</v>
      </c>
      <c r="EK83" s="898"/>
      <c r="EL83" s="898"/>
      <c r="EM83" s="899">
        <f t="shared" si="103"/>
        <v>0</v>
      </c>
      <c r="EN83" s="897"/>
      <c r="EO83" s="897"/>
      <c r="EP83" s="897"/>
      <c r="EQ83" s="898"/>
      <c r="ER83" s="898"/>
      <c r="ES83" s="898"/>
      <c r="ET83" s="904" t="b">
        <v>0</v>
      </c>
      <c r="EU83" s="1194" t="b">
        <v>0</v>
      </c>
      <c r="EV83" s="898"/>
      <c r="EW83" s="898"/>
      <c r="EX83" s="899">
        <f t="shared" si="104"/>
        <v>0</v>
      </c>
      <c r="EY83" s="897"/>
      <c r="EZ83" s="897"/>
    </row>
    <row r="84" spans="3:156" ht="15" customHeight="1">
      <c r="C84" s="419"/>
      <c r="D84" s="187"/>
      <c r="E84" s="187"/>
      <c r="F84" s="187"/>
      <c r="G84" s="187"/>
      <c r="H84" s="187"/>
      <c r="I84" s="187"/>
      <c r="J84" s="187"/>
      <c r="K84" s="829"/>
      <c r="L84" s="829"/>
      <c r="M84" s="187"/>
      <c r="N84" s="187"/>
      <c r="O84" s="418"/>
      <c r="P84" s="188"/>
      <c r="Q84" s="349"/>
      <c r="R84" s="349"/>
      <c r="S84" s="188"/>
      <c r="T84" s="365"/>
      <c r="U84" s="188"/>
      <c r="V84" s="245"/>
      <c r="W84" s="384"/>
      <c r="X84" s="416">
        <f>SUBTOTAL(109,DIVERSAS[BRUTO (1)])</f>
        <v>2685761.8199999994</v>
      </c>
      <c r="Y84" s="416">
        <f>SUBTOTAL(109,DIVERSAS[IRPJ (1)])</f>
        <v>9055.6</v>
      </c>
      <c r="Z84" s="416">
        <f>SUBTOTAL(109,DIVERSAS[ENCARGOS (1)])</f>
        <v>0</v>
      </c>
      <c r="AA84" s="416">
        <f>SUBTOTAL(109,DIVERSAS[LÍQUIDO (1)])</f>
        <v>2676706.2199999997</v>
      </c>
      <c r="AB84" s="189"/>
      <c r="AC84" s="189"/>
      <c r="AD84" s="189"/>
      <c r="AE84" s="189"/>
      <c r="AF84" s="189"/>
      <c r="AG84" s="393"/>
      <c r="AH84" s="393"/>
      <c r="AI84" s="372"/>
      <c r="AJ84" s="372"/>
      <c r="AK84" s="372"/>
      <c r="AL84" s="372"/>
      <c r="AM84" s="189"/>
      <c r="AN84" s="417"/>
      <c r="AO84" s="189"/>
      <c r="AP84" s="420"/>
      <c r="AQ84" s="420"/>
      <c r="AR84" s="440"/>
      <c r="AS84" s="440"/>
      <c r="AT84" s="365"/>
      <c r="AU84" s="365"/>
      <c r="AV84" s="365"/>
      <c r="AW84" s="365"/>
      <c r="AX84" s="189"/>
      <c r="AY84" s="189"/>
      <c r="AZ84" s="189"/>
      <c r="BA84" s="420"/>
      <c r="BB84" s="420"/>
      <c r="BC84" s="440"/>
      <c r="BD84" s="440"/>
      <c r="BE84" s="372"/>
      <c r="BF84" s="372"/>
      <c r="BG84" s="372"/>
      <c r="BH84" s="372"/>
      <c r="BI84" s="189"/>
      <c r="BJ84" s="245"/>
      <c r="BK84" s="189"/>
      <c r="BL84" s="420"/>
      <c r="BM84" s="420"/>
      <c r="BN84" s="187"/>
      <c r="BO84" s="187"/>
      <c r="BP84" s="188"/>
      <c r="BQ84" s="188"/>
      <c r="BR84" s="188"/>
      <c r="BS84" s="188"/>
      <c r="BT84" s="188"/>
      <c r="BU84" s="245"/>
      <c r="BV84" s="188"/>
      <c r="BW84" s="420"/>
      <c r="BX84" s="420"/>
      <c r="BY84" s="440"/>
      <c r="BZ84" s="440"/>
      <c r="CA84" s="188"/>
      <c r="CB84" s="188"/>
      <c r="CC84" s="188"/>
      <c r="CD84" s="188"/>
      <c r="CE84" s="188"/>
      <c r="CF84" s="245"/>
      <c r="CG84" s="188"/>
      <c r="CH84" s="420"/>
      <c r="CI84" s="420"/>
      <c r="CJ84" s="440"/>
      <c r="CK84" s="440"/>
      <c r="CL84" s="188"/>
      <c r="CM84" s="188"/>
      <c r="CN84" s="188"/>
      <c r="CO84" s="188"/>
      <c r="CP84" s="188"/>
      <c r="CQ84" s="245"/>
      <c r="CR84" s="188"/>
      <c r="CS84" s="420"/>
      <c r="CT84" s="420"/>
      <c r="CU84" s="188"/>
      <c r="CV84" s="188"/>
      <c r="CW84" s="188"/>
      <c r="CX84" s="188"/>
      <c r="CY84" s="188"/>
      <c r="CZ84" s="188"/>
      <c r="DA84" s="188"/>
      <c r="DB84" s="245"/>
      <c r="DC84" s="188"/>
      <c r="DD84" s="420"/>
      <c r="DE84" s="420"/>
      <c r="DF84" s="187"/>
      <c r="DG84" s="187"/>
      <c r="DH84" s="188"/>
      <c r="DI84" s="188"/>
      <c r="DJ84" s="188"/>
      <c r="DK84" s="188"/>
      <c r="DL84" s="188"/>
      <c r="DM84" s="188"/>
      <c r="DN84" s="245"/>
      <c r="DO84" s="188"/>
      <c r="DP84" s="420"/>
      <c r="DQ84" s="420"/>
      <c r="DR84" s="440"/>
      <c r="DS84" s="440"/>
      <c r="DT84" s="188"/>
      <c r="DU84" s="188"/>
      <c r="DV84" s="188"/>
      <c r="DW84" s="188"/>
      <c r="DX84" s="188"/>
      <c r="DY84" s="245"/>
      <c r="DZ84" s="188"/>
      <c r="EA84" s="420"/>
      <c r="EB84" s="420"/>
      <c r="EC84" s="440"/>
      <c r="ED84" s="440"/>
      <c r="EE84" s="188"/>
      <c r="EF84" s="188"/>
      <c r="EG84" s="188"/>
      <c r="EH84" s="188"/>
      <c r="EI84" s="188"/>
      <c r="EJ84" s="245"/>
      <c r="EK84" s="188"/>
      <c r="EL84" s="420"/>
      <c r="EM84" s="420"/>
      <c r="EN84" s="440"/>
      <c r="EO84" s="440"/>
      <c r="EP84" s="188"/>
      <c r="EQ84" s="188"/>
      <c r="ER84" s="188"/>
      <c r="ES84" s="188"/>
      <c r="ET84" s="188"/>
      <c r="EU84" s="245"/>
      <c r="EV84" s="188"/>
      <c r="EW84" s="420"/>
      <c r="EX84" s="420"/>
      <c r="EY84" s="440"/>
      <c r="EZ84" s="440"/>
    </row>
    <row r="85" spans="3:156" ht="15" customHeight="1">
      <c r="Y85" s="44" t="s">
        <v>1422</v>
      </c>
      <c r="Z85" s="44" t="e">
        <f>DIVERSAS[[#Totals],[BRUTO (1)]]-#REF!-#REF!-#REF!+#REF!+#REF!+#REF!</f>
        <v>#REF!</v>
      </c>
    </row>
    <row r="86" spans="3:156" ht="15" customHeight="1">
      <c r="C86" s="473"/>
      <c r="Y86" s="44" t="s">
        <v>1423</v>
      </c>
      <c r="Z86" s="44">
        <v>9483998.2200000007</v>
      </c>
    </row>
    <row r="87" spans="3:156" ht="15" customHeight="1">
      <c r="C87" s="473"/>
      <c r="Y87" s="44" t="s">
        <v>1424</v>
      </c>
      <c r="Z87" s="44">
        <v>60000</v>
      </c>
    </row>
    <row r="88" spans="3:156" ht="15" customHeight="1">
      <c r="C88" s="473"/>
      <c r="Y88" s="44" t="s">
        <v>779</v>
      </c>
      <c r="Z88" s="44">
        <v>532000</v>
      </c>
    </row>
    <row r="89" spans="3:156" ht="15" customHeight="1">
      <c r="C89" s="473"/>
      <c r="Y89" s="442" t="s">
        <v>1425</v>
      </c>
      <c r="Z89" s="442" t="e">
        <f>SUM(Z85:Z88)</f>
        <v>#REF!</v>
      </c>
    </row>
    <row r="90" spans="3:156" ht="15" customHeight="1">
      <c r="C90" s="473"/>
      <c r="Y90" s="44" t="s">
        <v>1426</v>
      </c>
      <c r="Z90" s="44">
        <v>12543738</v>
      </c>
    </row>
    <row r="91" spans="3:156" ht="15" customHeight="1">
      <c r="C91" s="473"/>
      <c r="Y91" s="442" t="s">
        <v>1427</v>
      </c>
      <c r="Z91" s="442" t="e">
        <f>Z89-Z90</f>
        <v>#REF!</v>
      </c>
    </row>
    <row r="92" spans="3:156" ht="15" customHeight="1">
      <c r="C92" s="473"/>
    </row>
    <row r="93" spans="3:156" ht="15" customHeight="1">
      <c r="C93" s="473"/>
    </row>
    <row r="94" spans="3:156" ht="15" customHeight="1">
      <c r="C94" s="473"/>
    </row>
    <row r="95" spans="3:156" ht="15" customHeight="1">
      <c r="C95" s="473"/>
    </row>
    <row r="96" spans="3:156" ht="15" customHeight="1">
      <c r="C96" s="473"/>
    </row>
    <row r="97" spans="3:3" ht="15" customHeight="1">
      <c r="C97" s="473"/>
    </row>
    <row r="98" spans="3:3" ht="15" customHeight="1"/>
    <row r="99" spans="3:3" ht="15" customHeight="1"/>
    <row r="171" spans="1:3" hidden="1">
      <c r="A171" s="3"/>
      <c r="B171" s="1"/>
    </row>
    <row r="172" spans="1:3" ht="15" hidden="1" customHeight="1">
      <c r="C172" s="1"/>
    </row>
  </sheetData>
  <mergeCells count="14">
    <mergeCell ref="DT2:ED3"/>
    <mergeCell ref="EE2:EO3"/>
    <mergeCell ref="EP2:EZ3"/>
    <mergeCell ref="BE2:BO3"/>
    <mergeCell ref="BP2:BZ3"/>
    <mergeCell ref="CA2:CK3"/>
    <mergeCell ref="CL2:CV3"/>
    <mergeCell ref="CW2:DH3"/>
    <mergeCell ref="C2:P3"/>
    <mergeCell ref="DI2:DS3"/>
    <mergeCell ref="X2:AH3"/>
    <mergeCell ref="AI2:AS3"/>
    <mergeCell ref="AT2:BD3"/>
    <mergeCell ref="Q2:W3"/>
  </mergeCells>
  <conditionalFormatting sqref="W63">
    <cfRule type="cellIs" dxfId="594" priority="22" operator="equal">
      <formula>"NÃO"</formula>
    </cfRule>
  </conditionalFormatting>
  <conditionalFormatting sqref="W63">
    <cfRule type="cellIs" dxfId="593" priority="23" operator="equal">
      <formula>"SIM"</formula>
    </cfRule>
  </conditionalFormatting>
  <conditionalFormatting sqref="DR82">
    <cfRule type="cellIs" dxfId="592" priority="7" operator="greaterThanOrEqual">
      <formula>0.15</formula>
    </cfRule>
  </conditionalFormatting>
  <conditionalFormatting sqref="AG5:AH1048576 AG1:AH1">
    <cfRule type="cellIs" dxfId="591" priority="3" operator="greaterThanOrEqual">
      <formula>0.15</formula>
    </cfRule>
  </conditionalFormatting>
  <conditionalFormatting sqref="AR5:AS1048576 AR1:AS1">
    <cfRule type="cellIs" dxfId="590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FD1C-8CB0-4062-AD3E-FD122525AEC0}">
  <dimension ref="A1:EY189"/>
  <sheetViews>
    <sheetView showGridLines="0" workbookViewId="0">
      <pane xSplit="3" topLeftCell="AP1" activePane="topRight" state="frozen"/>
      <selection pane="topRight" activeCell="AQ13" sqref="AQ13"/>
    </sheetView>
  </sheetViews>
  <sheetFormatPr defaultColWidth="0" defaultRowHeight="15" customHeight="1" zeroHeight="1"/>
  <cols>
    <col min="1" max="1" width="42.7109375" style="2" customWidth="1"/>
    <col min="2" max="2" width="9.140625" customWidth="1"/>
    <col min="3" max="3" width="109.42578125" bestFit="1" customWidth="1"/>
    <col min="4" max="4" width="23.140625" bestFit="1" customWidth="1"/>
    <col min="5" max="5" width="9.85546875" customWidth="1"/>
    <col min="6" max="6" width="19" customWidth="1"/>
    <col min="7" max="7" width="25.28515625" customWidth="1"/>
    <col min="8" max="8" width="58.42578125" customWidth="1"/>
    <col min="9" max="9" width="20.5703125" bestFit="1" customWidth="1"/>
    <col min="10" max="10" width="20.5703125" style="355" bestFit="1" customWidth="1"/>
    <col min="11" max="11" width="23" customWidth="1"/>
    <col min="12" max="12" width="26.7109375" customWidth="1"/>
    <col min="13" max="13" width="37" bestFit="1" customWidth="1"/>
    <col min="14" max="14" width="24.7109375" style="355" bestFit="1" customWidth="1"/>
    <col min="15" max="23" width="24.7109375" style="37" hidden="1" customWidth="1"/>
    <col min="24" max="24" width="24.7109375" style="37" customWidth="1"/>
    <col min="25" max="25" width="16.5703125" style="37" customWidth="1"/>
    <col min="26" max="26" width="19.42578125" style="37" bestFit="1" customWidth="1"/>
    <col min="27" max="27" width="19.7109375" bestFit="1" customWidth="1"/>
    <col min="28" max="28" width="19.7109375" customWidth="1"/>
    <col min="29" max="29" width="24.7109375" bestFit="1" customWidth="1"/>
    <col min="30" max="30" width="25.5703125" customWidth="1"/>
    <col min="31" max="31" width="19.7109375" customWidth="1"/>
    <col min="32" max="32" width="23.140625" bestFit="1" customWidth="1"/>
    <col min="33" max="33" width="24.140625" bestFit="1" customWidth="1"/>
    <col min="34" max="34" width="24.7109375" bestFit="1" customWidth="1"/>
    <col min="35" max="35" width="24.7109375" customWidth="1"/>
    <col min="36" max="36" width="16.5703125" customWidth="1"/>
    <col min="37" max="37" width="19.42578125" bestFit="1" customWidth="1"/>
    <col min="38" max="38" width="19.7109375" bestFit="1" customWidth="1"/>
    <col min="39" max="40" width="19.7109375" customWidth="1"/>
    <col min="41" max="41" width="24.7109375" customWidth="1"/>
    <col min="42" max="42" width="19.7109375" customWidth="1"/>
    <col min="43" max="43" width="23.140625" bestFit="1" customWidth="1"/>
    <col min="44" max="44" width="24.140625" bestFit="1" customWidth="1"/>
    <col min="45" max="45" width="24.7109375" bestFit="1" customWidth="1"/>
    <col min="46" max="46" width="24.7109375" style="37" customWidth="1"/>
    <col min="47" max="47" width="16.5703125" style="37" customWidth="1"/>
    <col min="48" max="48" width="19.42578125" style="37" bestFit="1" customWidth="1"/>
    <col min="49" max="49" width="19.7109375" style="37" bestFit="1" customWidth="1"/>
    <col min="50" max="50" width="19.7109375" customWidth="1"/>
    <col min="51" max="51" width="19.7109375" style="352" customWidth="1"/>
    <col min="52" max="52" width="24.7109375" bestFit="1" customWidth="1"/>
    <col min="53" max="53" width="19.7109375" customWidth="1"/>
    <col min="54" max="54" width="23.140625" bestFit="1" customWidth="1"/>
    <col min="55" max="55" width="24.140625" bestFit="1" customWidth="1"/>
    <col min="56" max="56" width="24.7109375" bestFit="1" customWidth="1"/>
    <col min="57" max="57" width="24.7109375" customWidth="1"/>
    <col min="58" max="58" width="16.5703125" customWidth="1"/>
    <col min="59" max="59" width="19.42578125" bestFit="1" customWidth="1"/>
    <col min="60" max="60" width="19.7109375" bestFit="1" customWidth="1"/>
    <col min="61" max="62" width="19.7109375" customWidth="1"/>
    <col min="63" max="63" width="23" bestFit="1" customWidth="1"/>
    <col min="64" max="64" width="19.7109375" customWidth="1"/>
    <col min="65" max="65" width="23.140625" bestFit="1" customWidth="1"/>
    <col min="66" max="66" width="24.140625" bestFit="1" customWidth="1"/>
    <col min="67" max="67" width="24.7109375" bestFit="1" customWidth="1"/>
    <col min="68" max="68" width="24.7109375" customWidth="1"/>
    <col min="69" max="69" width="16.5703125" customWidth="1"/>
    <col min="70" max="70" width="19.42578125" bestFit="1" customWidth="1"/>
    <col min="71" max="71" width="19.7109375" bestFit="1" customWidth="1"/>
    <col min="72" max="73" width="19.7109375" customWidth="1"/>
    <col min="74" max="74" width="21.85546875" customWidth="1"/>
    <col min="75" max="75" width="19.7109375" customWidth="1"/>
    <col min="76" max="76" width="23.140625" customWidth="1"/>
    <col min="77" max="77" width="24.140625" customWidth="1"/>
    <col min="78" max="78" width="24.7109375" bestFit="1" customWidth="1"/>
    <col min="79" max="79" width="24.7109375" customWidth="1"/>
    <col min="80" max="80" width="16.5703125" customWidth="1"/>
    <col min="81" max="81" width="19.42578125" bestFit="1" customWidth="1"/>
    <col min="82" max="82" width="19.7109375" bestFit="1" customWidth="1"/>
    <col min="83" max="84" width="19.7109375" customWidth="1"/>
    <col min="85" max="85" width="21.85546875" customWidth="1"/>
    <col min="86" max="86" width="19.7109375" customWidth="1"/>
    <col min="87" max="87" width="23.140625" bestFit="1" customWidth="1"/>
    <col min="88" max="88" width="24.140625" bestFit="1" customWidth="1"/>
    <col min="89" max="89" width="24.7109375" bestFit="1" customWidth="1"/>
    <col min="90" max="90" width="24.7109375" customWidth="1"/>
    <col min="91" max="91" width="16.5703125" customWidth="1"/>
    <col min="92" max="92" width="19.42578125" bestFit="1" customWidth="1"/>
    <col min="93" max="93" width="19.7109375" bestFit="1" customWidth="1"/>
    <col min="94" max="95" width="19.7109375" customWidth="1"/>
    <col min="96" max="96" width="21.85546875" customWidth="1"/>
    <col min="97" max="97" width="19.7109375" customWidth="1"/>
    <col min="98" max="98" width="23.140625" bestFit="1" customWidth="1"/>
    <col min="99" max="99" width="24.140625" bestFit="1" customWidth="1"/>
    <col min="100" max="100" width="24.7109375" bestFit="1" customWidth="1"/>
    <col min="101" max="101" width="24.7109375" customWidth="1"/>
    <col min="102" max="102" width="16.5703125" customWidth="1"/>
    <col min="103" max="103" width="19.42578125" bestFit="1" customWidth="1"/>
    <col min="104" max="104" width="19.7109375" bestFit="1" customWidth="1"/>
    <col min="105" max="106" width="19.7109375" customWidth="1"/>
    <col min="107" max="107" width="21.85546875" customWidth="1"/>
    <col min="108" max="108" width="19.7109375" customWidth="1"/>
    <col min="109" max="109" width="23.140625" bestFit="1" customWidth="1"/>
    <col min="110" max="110" width="24.140625" bestFit="1" customWidth="1"/>
    <col min="111" max="111" width="24.7109375" bestFit="1" customWidth="1"/>
    <col min="112" max="112" width="24.7109375" customWidth="1"/>
    <col min="113" max="113" width="16.5703125" customWidth="1"/>
    <col min="114" max="114" width="19.42578125" bestFit="1" customWidth="1"/>
    <col min="115" max="115" width="19.7109375" bestFit="1" customWidth="1"/>
    <col min="116" max="117" width="19.7109375" customWidth="1"/>
    <col min="118" max="118" width="21.85546875" customWidth="1"/>
    <col min="119" max="119" width="19.7109375" customWidth="1"/>
    <col min="120" max="120" width="23.140625" bestFit="1" customWidth="1"/>
    <col min="121" max="121" width="24.140625" bestFit="1" customWidth="1"/>
    <col min="122" max="122" width="24.7109375" bestFit="1" customWidth="1"/>
    <col min="123" max="123" width="24.7109375" customWidth="1"/>
    <col min="124" max="124" width="17.5703125" customWidth="1"/>
    <col min="125" max="125" width="20.5703125" bestFit="1" customWidth="1"/>
    <col min="126" max="126" width="19.7109375" bestFit="1" customWidth="1"/>
    <col min="127" max="128" width="19.7109375" customWidth="1"/>
    <col min="129" max="129" width="23" customWidth="1"/>
    <col min="130" max="130" width="19.7109375" customWidth="1"/>
    <col min="131" max="131" width="24.28515625" bestFit="1" customWidth="1"/>
    <col min="132" max="132" width="25.140625" bestFit="1" customWidth="1"/>
    <col min="133" max="133" width="14.140625" bestFit="1" customWidth="1"/>
    <col min="134" max="134" width="14.140625" customWidth="1"/>
    <col min="135" max="135" width="17.5703125" customWidth="1"/>
    <col min="136" max="136" width="20.5703125" bestFit="1" customWidth="1"/>
    <col min="137" max="137" width="19.7109375" bestFit="1" customWidth="1"/>
    <col min="138" max="139" width="19.7109375" customWidth="1"/>
    <col min="140" max="140" width="23" customWidth="1"/>
    <col min="141" max="141" width="19.7109375" customWidth="1"/>
    <col min="142" max="142" width="24.28515625" bestFit="1" customWidth="1"/>
    <col min="143" max="143" width="25.140625" bestFit="1" customWidth="1"/>
    <col min="144" max="144" width="14.140625" bestFit="1" customWidth="1"/>
    <col min="145" max="145" width="14.140625" customWidth="1"/>
    <col min="146" max="146" width="17.5703125" customWidth="1"/>
    <col min="147" max="147" width="20.5703125" bestFit="1" customWidth="1"/>
    <col min="148" max="148" width="19.7109375" bestFit="1" customWidth="1"/>
    <col min="149" max="150" width="19.7109375" customWidth="1"/>
    <col min="151" max="151" width="23" bestFit="1" customWidth="1"/>
    <col min="152" max="152" width="19.7109375" customWidth="1"/>
    <col min="153" max="153" width="24.28515625" bestFit="1" customWidth="1"/>
    <col min="154" max="154" width="25.140625" bestFit="1" customWidth="1"/>
    <col min="155" max="157" width="9.140625" customWidth="1"/>
  </cols>
  <sheetData>
    <row r="1" spans="1:155"/>
    <row r="2" spans="1:155" ht="15" customHeight="1">
      <c r="C2" s="1234" t="s">
        <v>0</v>
      </c>
      <c r="D2" s="1235"/>
      <c r="E2" s="1235"/>
      <c r="F2" s="1235"/>
      <c r="G2" s="1235"/>
      <c r="H2" s="1235"/>
      <c r="I2" s="1235"/>
      <c r="J2" s="1235"/>
      <c r="K2" s="1235"/>
      <c r="L2" s="1235"/>
      <c r="M2" s="1235"/>
      <c r="N2" s="1236"/>
      <c r="O2" s="1239" t="s">
        <v>675</v>
      </c>
      <c r="P2" s="1240"/>
      <c r="Q2" s="1240"/>
      <c r="R2" s="1240"/>
      <c r="S2" s="1240"/>
      <c r="T2" s="1240"/>
      <c r="U2" s="1240"/>
      <c r="V2" s="1240"/>
      <c r="W2" s="1241"/>
      <c r="X2" s="1237" t="s">
        <v>1428</v>
      </c>
      <c r="Y2" s="1238"/>
      <c r="Z2" s="1238"/>
      <c r="AA2" s="1238"/>
      <c r="AB2" s="1238"/>
      <c r="AC2" s="1238"/>
      <c r="AD2" s="1238"/>
      <c r="AE2" s="1238"/>
      <c r="AF2" s="1238"/>
      <c r="AG2" s="1238"/>
      <c r="AH2" s="1238"/>
      <c r="AI2" s="1226" t="s">
        <v>3</v>
      </c>
      <c r="AJ2" s="1226"/>
      <c r="AK2" s="1226"/>
      <c r="AL2" s="1226"/>
      <c r="AM2" s="1226"/>
      <c r="AN2" s="1226"/>
      <c r="AO2" s="1226"/>
      <c r="AP2" s="1226"/>
      <c r="AQ2" s="1226"/>
      <c r="AR2" s="1226"/>
      <c r="AS2" s="1227"/>
      <c r="AT2" s="1232" t="s">
        <v>4</v>
      </c>
      <c r="AU2" s="1205"/>
      <c r="AV2" s="1205"/>
      <c r="AW2" s="1205"/>
      <c r="AX2" s="1205"/>
      <c r="AY2" s="1205"/>
      <c r="AZ2" s="1205"/>
      <c r="BA2" s="1205"/>
      <c r="BB2" s="1205"/>
      <c r="BC2" s="1205"/>
      <c r="BD2" s="1205"/>
      <c r="BE2" s="1208" t="s">
        <v>5</v>
      </c>
      <c r="BF2" s="1208"/>
      <c r="BG2" s="1208"/>
      <c r="BH2" s="1208"/>
      <c r="BI2" s="1208"/>
      <c r="BJ2" s="1208"/>
      <c r="BK2" s="1208"/>
      <c r="BL2" s="1208"/>
      <c r="BM2" s="1208"/>
      <c r="BN2" s="1208"/>
      <c r="BO2" s="1208"/>
      <c r="BP2" s="1205" t="s">
        <v>6</v>
      </c>
      <c r="BQ2" s="1205"/>
      <c r="BR2" s="1205"/>
      <c r="BS2" s="1205"/>
      <c r="BT2" s="1205"/>
      <c r="BU2" s="1205"/>
      <c r="BV2" s="1205"/>
      <c r="BW2" s="1205"/>
      <c r="BX2" s="1205"/>
      <c r="BY2" s="1205"/>
      <c r="BZ2" s="1205"/>
      <c r="CA2" s="1208" t="s">
        <v>7</v>
      </c>
      <c r="CB2" s="1208"/>
      <c r="CC2" s="1208"/>
      <c r="CD2" s="1208"/>
      <c r="CE2" s="1208"/>
      <c r="CF2" s="1208"/>
      <c r="CG2" s="1208"/>
      <c r="CH2" s="1208"/>
      <c r="CI2" s="1208"/>
      <c r="CJ2" s="1208"/>
      <c r="CK2" s="1208"/>
      <c r="CL2" s="1205" t="s">
        <v>8</v>
      </c>
      <c r="CM2" s="1205"/>
      <c r="CN2" s="1205"/>
      <c r="CO2" s="1205"/>
      <c r="CP2" s="1205"/>
      <c r="CQ2" s="1205"/>
      <c r="CR2" s="1205"/>
      <c r="CS2" s="1205"/>
      <c r="CT2" s="1205"/>
      <c r="CU2" s="1205"/>
      <c r="CV2" s="1205"/>
      <c r="CW2" s="1208" t="s">
        <v>9</v>
      </c>
      <c r="CX2" s="1208"/>
      <c r="CY2" s="1208"/>
      <c r="CZ2" s="1208"/>
      <c r="DA2" s="1208"/>
      <c r="DB2" s="1208"/>
      <c r="DC2" s="1208"/>
      <c r="DD2" s="1208"/>
      <c r="DE2" s="1208"/>
      <c r="DF2" s="1208"/>
      <c r="DG2" s="1208"/>
      <c r="DH2" s="1205" t="s">
        <v>10</v>
      </c>
      <c r="DI2" s="1205"/>
      <c r="DJ2" s="1205"/>
      <c r="DK2" s="1205"/>
      <c r="DL2" s="1205"/>
      <c r="DM2" s="1205"/>
      <c r="DN2" s="1205"/>
      <c r="DO2" s="1205"/>
      <c r="DP2" s="1205"/>
      <c r="DQ2" s="1205"/>
      <c r="DR2" s="1205"/>
      <c r="DS2" s="1208" t="s">
        <v>11</v>
      </c>
      <c r="DT2" s="1208"/>
      <c r="DU2" s="1208"/>
      <c r="DV2" s="1208"/>
      <c r="DW2" s="1208"/>
      <c r="DX2" s="1208"/>
      <c r="DY2" s="1208"/>
      <c r="DZ2" s="1208"/>
      <c r="EA2" s="1208"/>
      <c r="EB2" s="1208"/>
      <c r="EC2" s="1208"/>
      <c r="ED2" s="1205" t="s">
        <v>12</v>
      </c>
      <c r="EE2" s="1205"/>
      <c r="EF2" s="1205"/>
      <c r="EG2" s="1205"/>
      <c r="EH2" s="1205"/>
      <c r="EI2" s="1205"/>
      <c r="EJ2" s="1205"/>
      <c r="EK2" s="1205"/>
      <c r="EL2" s="1205"/>
      <c r="EM2" s="1205"/>
      <c r="EN2" s="1205"/>
      <c r="EO2" s="1208" t="s">
        <v>1</v>
      </c>
      <c r="EP2" s="1208"/>
      <c r="EQ2" s="1208"/>
      <c r="ER2" s="1208"/>
      <c r="ES2" s="1208"/>
      <c r="ET2" s="1208"/>
      <c r="EU2" s="1208"/>
      <c r="EV2" s="1208"/>
      <c r="EW2" s="1208"/>
      <c r="EX2" s="1208"/>
      <c r="EY2" s="1208"/>
    </row>
    <row r="3" spans="1:155" ht="15" customHeight="1">
      <c r="C3" s="1234"/>
      <c r="D3" s="1235"/>
      <c r="E3" s="1235"/>
      <c r="F3" s="1235"/>
      <c r="G3" s="1235"/>
      <c r="H3" s="1235"/>
      <c r="I3" s="1235"/>
      <c r="J3" s="1235"/>
      <c r="K3" s="1235"/>
      <c r="L3" s="1235"/>
      <c r="M3" s="1235"/>
      <c r="N3" s="1236"/>
      <c r="O3" s="1239"/>
      <c r="P3" s="1240"/>
      <c r="Q3" s="1240"/>
      <c r="R3" s="1240"/>
      <c r="S3" s="1240"/>
      <c r="T3" s="1240"/>
      <c r="U3" s="1240"/>
      <c r="V3" s="1240"/>
      <c r="W3" s="1241"/>
      <c r="X3" s="1237"/>
      <c r="Y3" s="1238"/>
      <c r="Z3" s="1238"/>
      <c r="AA3" s="1238"/>
      <c r="AB3" s="1238"/>
      <c r="AC3" s="1238"/>
      <c r="AD3" s="1238"/>
      <c r="AE3" s="1238"/>
      <c r="AF3" s="1238"/>
      <c r="AG3" s="1238"/>
      <c r="AH3" s="1238"/>
      <c r="AI3" s="1229"/>
      <c r="AJ3" s="1229"/>
      <c r="AK3" s="1229"/>
      <c r="AL3" s="1229"/>
      <c r="AM3" s="1229"/>
      <c r="AN3" s="1229"/>
      <c r="AO3" s="1229"/>
      <c r="AP3" s="1229"/>
      <c r="AQ3" s="1229"/>
      <c r="AR3" s="1229"/>
      <c r="AS3" s="1230"/>
      <c r="AT3" s="1233"/>
      <c r="AU3" s="1206"/>
      <c r="AV3" s="1206"/>
      <c r="AW3" s="1206"/>
      <c r="AX3" s="1206"/>
      <c r="AY3" s="1206"/>
      <c r="AZ3" s="1206"/>
      <c r="BA3" s="1206"/>
      <c r="BB3" s="1206"/>
      <c r="BC3" s="1206"/>
      <c r="BD3" s="1206"/>
      <c r="BE3" s="1209"/>
      <c r="BF3" s="1209"/>
      <c r="BG3" s="1209"/>
      <c r="BH3" s="1209"/>
      <c r="BI3" s="1209"/>
      <c r="BJ3" s="1209"/>
      <c r="BK3" s="1209"/>
      <c r="BL3" s="1209"/>
      <c r="BM3" s="1209"/>
      <c r="BN3" s="1209"/>
      <c r="BO3" s="1209"/>
      <c r="BP3" s="1206"/>
      <c r="BQ3" s="1206"/>
      <c r="BR3" s="1206"/>
      <c r="BS3" s="1206"/>
      <c r="BT3" s="1206"/>
      <c r="BU3" s="1206"/>
      <c r="BV3" s="1206"/>
      <c r="BW3" s="1206"/>
      <c r="BX3" s="1206"/>
      <c r="BY3" s="1206"/>
      <c r="BZ3" s="1206"/>
      <c r="CA3" s="1209"/>
      <c r="CB3" s="1209"/>
      <c r="CC3" s="1209"/>
      <c r="CD3" s="1209"/>
      <c r="CE3" s="1209"/>
      <c r="CF3" s="1209"/>
      <c r="CG3" s="1209"/>
      <c r="CH3" s="1209"/>
      <c r="CI3" s="1209"/>
      <c r="CJ3" s="1209"/>
      <c r="CK3" s="1209"/>
      <c r="CL3" s="1206"/>
      <c r="CM3" s="1206"/>
      <c r="CN3" s="1206"/>
      <c r="CO3" s="1206"/>
      <c r="CP3" s="1206"/>
      <c r="CQ3" s="1206"/>
      <c r="CR3" s="1206"/>
      <c r="CS3" s="1206"/>
      <c r="CT3" s="1206"/>
      <c r="CU3" s="1206"/>
      <c r="CV3" s="1206"/>
      <c r="CW3" s="1209"/>
      <c r="CX3" s="1209"/>
      <c r="CY3" s="1209"/>
      <c r="CZ3" s="1209"/>
      <c r="DA3" s="1209"/>
      <c r="DB3" s="1209"/>
      <c r="DC3" s="1209"/>
      <c r="DD3" s="1209"/>
      <c r="DE3" s="1209"/>
      <c r="DF3" s="1209"/>
      <c r="DG3" s="1209"/>
      <c r="DH3" s="1206"/>
      <c r="DI3" s="1206"/>
      <c r="DJ3" s="1206"/>
      <c r="DK3" s="1206"/>
      <c r="DL3" s="1206"/>
      <c r="DM3" s="1206"/>
      <c r="DN3" s="1206"/>
      <c r="DO3" s="1206"/>
      <c r="DP3" s="1206"/>
      <c r="DQ3" s="1206"/>
      <c r="DR3" s="1206"/>
      <c r="DS3" s="1209"/>
      <c r="DT3" s="1209"/>
      <c r="DU3" s="1209"/>
      <c r="DV3" s="1209"/>
      <c r="DW3" s="1209"/>
      <c r="DX3" s="1209"/>
      <c r="DY3" s="1209"/>
      <c r="DZ3" s="1209"/>
      <c r="EA3" s="1209"/>
      <c r="EB3" s="1209"/>
      <c r="EC3" s="1209"/>
      <c r="ED3" s="1206"/>
      <c r="EE3" s="1206"/>
      <c r="EF3" s="1206"/>
      <c r="EG3" s="1206"/>
      <c r="EH3" s="1206"/>
      <c r="EI3" s="1206"/>
      <c r="EJ3" s="1206"/>
      <c r="EK3" s="1206"/>
      <c r="EL3" s="1206"/>
      <c r="EM3" s="1206"/>
      <c r="EN3" s="1206"/>
      <c r="EO3" s="1209"/>
      <c r="EP3" s="1209"/>
      <c r="EQ3" s="1209"/>
      <c r="ER3" s="1209"/>
      <c r="ES3" s="1209"/>
      <c r="ET3" s="1209"/>
      <c r="EU3" s="1209"/>
      <c r="EV3" s="1209"/>
      <c r="EW3" s="1209"/>
      <c r="EX3" s="1209"/>
      <c r="EY3" s="1209"/>
    </row>
    <row r="4" spans="1:155" s="8" customFormat="1" ht="24.75" customHeight="1">
      <c r="A4" s="7"/>
      <c r="C4" s="14" t="s">
        <v>13</v>
      </c>
      <c r="D4" s="15" t="s">
        <v>14</v>
      </c>
      <c r="E4" s="15" t="s">
        <v>15</v>
      </c>
      <c r="F4" s="15" t="s">
        <v>16</v>
      </c>
      <c r="G4" s="15" t="s">
        <v>676</v>
      </c>
      <c r="H4" s="15" t="s">
        <v>18</v>
      </c>
      <c r="I4" s="15" t="s">
        <v>19</v>
      </c>
      <c r="J4" s="16" t="s">
        <v>20</v>
      </c>
      <c r="K4" s="15" t="s">
        <v>21</v>
      </c>
      <c r="L4" s="15" t="s">
        <v>24</v>
      </c>
      <c r="M4" s="15" t="s">
        <v>25</v>
      </c>
      <c r="N4" s="16" t="s">
        <v>677</v>
      </c>
      <c r="O4" s="16" t="s">
        <v>1429</v>
      </c>
      <c r="P4" s="16" t="s">
        <v>679</v>
      </c>
      <c r="Q4" s="16" t="s">
        <v>1430</v>
      </c>
      <c r="R4" s="16" t="s">
        <v>681</v>
      </c>
      <c r="S4" s="16" t="s">
        <v>682</v>
      </c>
      <c r="T4" s="16" t="s">
        <v>31</v>
      </c>
      <c r="U4" s="16" t="s">
        <v>30</v>
      </c>
      <c r="V4" s="16" t="s">
        <v>1431</v>
      </c>
      <c r="W4" s="16" t="s">
        <v>685</v>
      </c>
      <c r="X4" s="482" t="s">
        <v>34</v>
      </c>
      <c r="Y4" s="363" t="s">
        <v>35</v>
      </c>
      <c r="Z4" s="363" t="s">
        <v>36</v>
      </c>
      <c r="AA4" s="363" t="s">
        <v>37</v>
      </c>
      <c r="AB4" s="22" t="s">
        <v>38</v>
      </c>
      <c r="AC4" s="22" t="s">
        <v>39</v>
      </c>
      <c r="AD4" s="22" t="s">
        <v>40</v>
      </c>
      <c r="AE4" s="22" t="s">
        <v>41</v>
      </c>
      <c r="AF4" s="22" t="s">
        <v>42</v>
      </c>
      <c r="AG4" s="22" t="s">
        <v>43</v>
      </c>
      <c r="AH4" s="22" t="s">
        <v>44</v>
      </c>
      <c r="AI4" s="32" t="s">
        <v>45</v>
      </c>
      <c r="AJ4" s="30" t="s">
        <v>46</v>
      </c>
      <c r="AK4" s="23" t="s">
        <v>47</v>
      </c>
      <c r="AL4" s="24" t="s">
        <v>48</v>
      </c>
      <c r="AM4" s="25" t="s">
        <v>49</v>
      </c>
      <c r="AN4" s="25" t="s">
        <v>50</v>
      </c>
      <c r="AO4" s="25" t="s">
        <v>51</v>
      </c>
      <c r="AP4" s="25" t="s">
        <v>686</v>
      </c>
      <c r="AQ4" s="25" t="s">
        <v>687</v>
      </c>
      <c r="AR4" s="26" t="s">
        <v>54</v>
      </c>
      <c r="AS4" s="26" t="s">
        <v>55</v>
      </c>
      <c r="AT4" s="936" t="s">
        <v>56</v>
      </c>
      <c r="AU4" s="936" t="s">
        <v>688</v>
      </c>
      <c r="AV4" s="936" t="s">
        <v>58</v>
      </c>
      <c r="AW4" s="936" t="s">
        <v>59</v>
      </c>
      <c r="AX4" s="29" t="s">
        <v>60</v>
      </c>
      <c r="AY4" s="1099" t="s">
        <v>61</v>
      </c>
      <c r="AZ4" s="29" t="s">
        <v>62</v>
      </c>
      <c r="BA4" s="29" t="s">
        <v>689</v>
      </c>
      <c r="BB4" s="29" t="s">
        <v>690</v>
      </c>
      <c r="BC4" s="29" t="s">
        <v>65</v>
      </c>
      <c r="BD4" s="29" t="s">
        <v>66</v>
      </c>
      <c r="BE4" s="32" t="s">
        <v>67</v>
      </c>
      <c r="BF4" s="30" t="s">
        <v>68</v>
      </c>
      <c r="BG4" s="30" t="s">
        <v>69</v>
      </c>
      <c r="BH4" s="31" t="s">
        <v>70</v>
      </c>
      <c r="BI4" s="32" t="s">
        <v>71</v>
      </c>
      <c r="BJ4" s="32" t="s">
        <v>72</v>
      </c>
      <c r="BK4" s="32" t="s">
        <v>73</v>
      </c>
      <c r="BL4" s="32" t="s">
        <v>691</v>
      </c>
      <c r="BM4" s="32" t="s">
        <v>692</v>
      </c>
      <c r="BN4" s="32" t="s">
        <v>76</v>
      </c>
      <c r="BO4" s="32" t="s">
        <v>77</v>
      </c>
      <c r="BP4" s="29" t="s">
        <v>693</v>
      </c>
      <c r="BQ4" s="27" t="s">
        <v>694</v>
      </c>
      <c r="BR4" s="27" t="s">
        <v>695</v>
      </c>
      <c r="BS4" s="28" t="s">
        <v>696</v>
      </c>
      <c r="BT4" s="29" t="s">
        <v>697</v>
      </c>
      <c r="BU4" s="29" t="s">
        <v>698</v>
      </c>
      <c r="BV4" s="29" t="s">
        <v>699</v>
      </c>
      <c r="BW4" s="29" t="s">
        <v>700</v>
      </c>
      <c r="BX4" s="29" t="s">
        <v>701</v>
      </c>
      <c r="BY4" s="29" t="s">
        <v>702</v>
      </c>
      <c r="BZ4" s="29" t="s">
        <v>703</v>
      </c>
      <c r="CA4" s="32" t="s">
        <v>704</v>
      </c>
      <c r="CB4" s="30" t="s">
        <v>705</v>
      </c>
      <c r="CC4" s="30" t="s">
        <v>706</v>
      </c>
      <c r="CD4" s="31" t="s">
        <v>707</v>
      </c>
      <c r="CE4" s="32" t="s">
        <v>708</v>
      </c>
      <c r="CF4" s="32" t="s">
        <v>1432</v>
      </c>
      <c r="CG4" s="32" t="s">
        <v>710</v>
      </c>
      <c r="CH4" s="32" t="s">
        <v>711</v>
      </c>
      <c r="CI4" s="32" t="s">
        <v>712</v>
      </c>
      <c r="CJ4" s="32" t="s">
        <v>713</v>
      </c>
      <c r="CK4" s="32" t="s">
        <v>714</v>
      </c>
      <c r="CL4" s="29" t="s">
        <v>715</v>
      </c>
      <c r="CM4" s="27" t="s">
        <v>716</v>
      </c>
      <c r="CN4" s="27" t="s">
        <v>717</v>
      </c>
      <c r="CO4" s="28" t="s">
        <v>718</v>
      </c>
      <c r="CP4" s="33" t="s">
        <v>719</v>
      </c>
      <c r="CQ4" s="29" t="s">
        <v>720</v>
      </c>
      <c r="CR4" s="29" t="s">
        <v>721</v>
      </c>
      <c r="CS4" s="29" t="s">
        <v>722</v>
      </c>
      <c r="CT4" s="29" t="s">
        <v>723</v>
      </c>
      <c r="CU4" s="29" t="s">
        <v>724</v>
      </c>
      <c r="CV4" s="29" t="s">
        <v>725</v>
      </c>
      <c r="CW4" s="32" t="s">
        <v>726</v>
      </c>
      <c r="CX4" s="30" t="s">
        <v>727</v>
      </c>
      <c r="CY4" s="30" t="s">
        <v>728</v>
      </c>
      <c r="CZ4" s="31" t="s">
        <v>729</v>
      </c>
      <c r="DA4" s="32" t="s">
        <v>730</v>
      </c>
      <c r="DB4" s="32" t="s">
        <v>731</v>
      </c>
      <c r="DC4" s="32" t="s">
        <v>732</v>
      </c>
      <c r="DD4" s="32" t="s">
        <v>733</v>
      </c>
      <c r="DE4" s="32" t="s">
        <v>734</v>
      </c>
      <c r="DF4" s="32" t="s">
        <v>735</v>
      </c>
      <c r="DG4" s="32" t="s">
        <v>736</v>
      </c>
      <c r="DH4" s="29" t="s">
        <v>737</v>
      </c>
      <c r="DI4" s="27" t="s">
        <v>738</v>
      </c>
      <c r="DJ4" s="27" t="s">
        <v>739</v>
      </c>
      <c r="DK4" s="28" t="s">
        <v>740</v>
      </c>
      <c r="DL4" s="33" t="s">
        <v>741</v>
      </c>
      <c r="DM4" s="29" t="s">
        <v>742</v>
      </c>
      <c r="DN4" s="29" t="s">
        <v>743</v>
      </c>
      <c r="DO4" s="29" t="s">
        <v>744</v>
      </c>
      <c r="DP4" s="29" t="s">
        <v>745</v>
      </c>
      <c r="DQ4" s="29" t="s">
        <v>746</v>
      </c>
      <c r="DR4" s="29" t="s">
        <v>747</v>
      </c>
      <c r="DS4" s="32" t="s">
        <v>748</v>
      </c>
      <c r="DT4" s="30" t="s">
        <v>749</v>
      </c>
      <c r="DU4" s="30" t="s">
        <v>750</v>
      </c>
      <c r="DV4" s="31" t="s">
        <v>751</v>
      </c>
      <c r="DW4" s="35" t="s">
        <v>752</v>
      </c>
      <c r="DX4" s="32" t="s">
        <v>753</v>
      </c>
      <c r="DY4" s="32" t="s">
        <v>754</v>
      </c>
      <c r="DZ4" s="32" t="s">
        <v>755</v>
      </c>
      <c r="EA4" s="32" t="s">
        <v>756</v>
      </c>
      <c r="EB4" s="32" t="s">
        <v>757</v>
      </c>
      <c r="EC4" s="32" t="s">
        <v>758</v>
      </c>
      <c r="ED4" s="29" t="s">
        <v>759</v>
      </c>
      <c r="EE4" s="27" t="s">
        <v>760</v>
      </c>
      <c r="EF4" s="27" t="s">
        <v>761</v>
      </c>
      <c r="EG4" s="28" t="s">
        <v>762</v>
      </c>
      <c r="EH4" s="29" t="s">
        <v>763</v>
      </c>
      <c r="EI4" s="29" t="s">
        <v>764</v>
      </c>
      <c r="EJ4" s="29" t="s">
        <v>765</v>
      </c>
      <c r="EK4" s="29" t="s">
        <v>766</v>
      </c>
      <c r="EL4" s="29" t="s">
        <v>767</v>
      </c>
      <c r="EM4" s="29" t="s">
        <v>768</v>
      </c>
      <c r="EN4" s="29" t="s">
        <v>769</v>
      </c>
      <c r="EO4" s="32" t="s">
        <v>837</v>
      </c>
      <c r="EP4" s="23" t="s">
        <v>26</v>
      </c>
      <c r="EQ4" s="23" t="s">
        <v>27</v>
      </c>
      <c r="ER4" s="24" t="s">
        <v>28</v>
      </c>
      <c r="ES4" s="25" t="s">
        <v>29</v>
      </c>
      <c r="ET4" s="25" t="s">
        <v>771</v>
      </c>
      <c r="EU4" s="25" t="s">
        <v>772</v>
      </c>
      <c r="EV4" s="25" t="s">
        <v>773</v>
      </c>
      <c r="EW4" s="25" t="s">
        <v>774</v>
      </c>
      <c r="EX4" s="25" t="s">
        <v>775</v>
      </c>
      <c r="EY4" s="34" t="s">
        <v>776</v>
      </c>
    </row>
    <row r="5" spans="1:155">
      <c r="C5" s="465" t="s">
        <v>1433</v>
      </c>
      <c r="D5" s="148">
        <v>1450012</v>
      </c>
      <c r="E5" s="148">
        <v>18</v>
      </c>
      <c r="F5" s="395" t="s">
        <v>1434</v>
      </c>
      <c r="G5" s="443" t="s">
        <v>1411</v>
      </c>
      <c r="H5" s="148" t="s">
        <v>1412</v>
      </c>
      <c r="I5" s="148" t="s">
        <v>170</v>
      </c>
      <c r="J5" s="1089" t="s">
        <v>1435</v>
      </c>
      <c r="K5" s="148">
        <v>106180801</v>
      </c>
      <c r="L5" s="467">
        <v>84</v>
      </c>
      <c r="M5" s="148"/>
      <c r="N5" s="1089" t="s">
        <v>1435</v>
      </c>
      <c r="O5" s="427">
        <v>7228.14</v>
      </c>
      <c r="P5" s="427">
        <v>346.95</v>
      </c>
      <c r="Q5" s="427"/>
      <c r="R5" s="427">
        <f>(O5-P5-Q5)</f>
        <v>6881.1900000000005</v>
      </c>
      <c r="S5" s="362">
        <v>278</v>
      </c>
      <c r="T5" s="857">
        <v>46063</v>
      </c>
      <c r="U5" s="362" t="s">
        <v>1436</v>
      </c>
      <c r="V5" s="362"/>
      <c r="W5" s="362"/>
      <c r="X5" s="938">
        <f t="shared" ref="X5:X15" si="0">AA5 + ABS(Y5) + ABS(Z5)</f>
        <v>9164.0400000000009</v>
      </c>
      <c r="Y5" s="364">
        <v>-439.87</v>
      </c>
      <c r="Z5" s="364">
        <v>0</v>
      </c>
      <c r="AA5" s="364">
        <v>8724.17</v>
      </c>
      <c r="AB5" s="148">
        <v>338</v>
      </c>
      <c r="AC5" s="41">
        <v>46091</v>
      </c>
      <c r="AD5" s="148" t="s">
        <v>1437</v>
      </c>
      <c r="AE5" s="164" t="b">
        <v>1</v>
      </c>
      <c r="AF5" s="164" t="b">
        <v>1</v>
      </c>
      <c r="AG5" s="864">
        <f t="shared" ref="AG5:AG15" si="1">(AB5-S5)/S5</f>
        <v>0.21582733812949639</v>
      </c>
      <c r="AH5" s="864">
        <f t="shared" ref="AH5:AH15" si="2">(X5-O5)/O5</f>
        <v>0.26782823796993421</v>
      </c>
      <c r="AI5" s="364">
        <f>AL5 + ABS(AK5) + ABS(AJ5)</f>
        <v>8987.7999999999993</v>
      </c>
      <c r="AJ5" s="364">
        <v>-431.41</v>
      </c>
      <c r="AK5" s="364">
        <v>0</v>
      </c>
      <c r="AL5" s="364">
        <v>8556.39</v>
      </c>
      <c r="AM5" s="148">
        <v>322</v>
      </c>
      <c r="AN5" s="407">
        <v>46122</v>
      </c>
      <c r="AO5" s="148" t="s">
        <v>1438</v>
      </c>
      <c r="AP5" s="164" t="b">
        <v>1</v>
      </c>
      <c r="AQ5" s="164" t="b">
        <v>1</v>
      </c>
      <c r="AR5" s="864">
        <f t="shared" ref="AR5:AR15" si="3">(AM5-AB5)/AB5</f>
        <v>-4.7337278106508875E-2</v>
      </c>
      <c r="AS5" s="864">
        <f t="shared" ref="AS5:AS15" si="4">(AI5-X5)/X5</f>
        <v>-1.9231692572271791E-2</v>
      </c>
      <c r="AT5" s="364"/>
      <c r="AU5" s="364"/>
      <c r="AV5" s="364"/>
      <c r="AW5" s="364"/>
      <c r="AX5" s="148"/>
      <c r="AY5" s="407">
        <v>46152</v>
      </c>
      <c r="AZ5" s="148"/>
      <c r="BA5" s="164" t="b">
        <v>0</v>
      </c>
      <c r="BB5" s="164" t="b">
        <v>0</v>
      </c>
      <c r="BC5" s="148">
        <f t="shared" ref="BC5:BC15" si="5">(AX5-AM5)/AM5</f>
        <v>-1</v>
      </c>
      <c r="BD5" s="148">
        <f t="shared" ref="BD5:BD15" si="6">(AT5-AI5)/AI5</f>
        <v>-1</v>
      </c>
      <c r="BE5" s="148"/>
      <c r="BF5" s="148"/>
      <c r="BG5" s="148"/>
      <c r="BH5" s="148"/>
      <c r="BI5" s="148"/>
      <c r="BJ5" s="148"/>
      <c r="BK5" s="148"/>
      <c r="BL5" s="164" t="b">
        <v>0</v>
      </c>
      <c r="BM5" s="164" t="b">
        <v>0</v>
      </c>
      <c r="BN5" s="148" t="e">
        <f t="shared" ref="BN5:BN15" si="7">(BI5-AX5)/AX5</f>
        <v>#DIV/0!</v>
      </c>
      <c r="BO5" s="148" t="e">
        <f t="shared" ref="BO5:BO15" si="8">(BE5-AT5)/AT5</f>
        <v>#DIV/0!</v>
      </c>
      <c r="BP5" s="148"/>
      <c r="BQ5" s="148"/>
      <c r="BR5" s="148"/>
      <c r="BS5" s="148"/>
      <c r="BT5" s="148"/>
      <c r="BU5" s="148"/>
      <c r="BV5" s="148"/>
      <c r="BW5" s="164" t="b">
        <v>0</v>
      </c>
      <c r="BX5" s="164" t="b">
        <v>0</v>
      </c>
      <c r="BY5" s="148" t="e">
        <f t="shared" ref="BY5:BY15" si="9">(BT5-BI5)/BI5</f>
        <v>#DIV/0!</v>
      </c>
      <c r="BZ5" s="148" t="e">
        <f t="shared" ref="BZ5:BZ15" si="10">(BP5-BE5)/BE5</f>
        <v>#DIV/0!</v>
      </c>
      <c r="CA5" s="148"/>
      <c r="CB5" s="148"/>
      <c r="CC5" s="148"/>
      <c r="CD5" s="148"/>
      <c r="CE5" s="148"/>
      <c r="CF5" s="148"/>
      <c r="CG5" s="148"/>
      <c r="CH5" s="164" t="b">
        <v>0</v>
      </c>
      <c r="CI5" s="164" t="b">
        <v>0</v>
      </c>
      <c r="CJ5" s="148" t="e">
        <f t="shared" ref="CJ5:CJ15" si="11">(CE5-BT5)/BT5</f>
        <v>#DIV/0!</v>
      </c>
      <c r="CK5" s="148" t="e">
        <f t="shared" ref="CK5:CK15" si="12">(CA5-BP5)/BP5</f>
        <v>#DIV/0!</v>
      </c>
      <c r="CL5" s="148"/>
      <c r="CM5" s="148"/>
      <c r="CN5" s="148"/>
      <c r="CO5" s="148"/>
      <c r="CP5" s="148"/>
      <c r="CQ5" s="148"/>
      <c r="CR5" s="148"/>
      <c r="CS5" s="164" t="b">
        <v>0</v>
      </c>
      <c r="CT5" s="164" t="b">
        <v>0</v>
      </c>
      <c r="CU5" s="148" t="e">
        <f t="shared" ref="CU5:CU15" si="13">(CP5-CE5)/CE5</f>
        <v>#DIV/0!</v>
      </c>
      <c r="CV5" s="148" t="e">
        <f t="shared" ref="CV5:CV15" si="14">(CP5-CE5)/CE5</f>
        <v>#DIV/0!</v>
      </c>
      <c r="CW5" s="148"/>
      <c r="CX5" s="148"/>
      <c r="CY5" s="148"/>
      <c r="CZ5" s="148"/>
      <c r="DA5" s="148"/>
      <c r="DB5" s="148"/>
      <c r="DC5" s="148"/>
      <c r="DD5" s="164" t="b">
        <v>0</v>
      </c>
      <c r="DE5" s="164" t="b">
        <v>0</v>
      </c>
      <c r="DF5" s="148" t="e">
        <f t="shared" ref="DF5:DF15" si="15">(DC5-CP5)/CP5</f>
        <v>#DIV/0!</v>
      </c>
      <c r="DG5" s="148" t="e">
        <f t="shared" ref="DG5:DG15" si="16">(CW5-CL5)/CL5</f>
        <v>#DIV/0!</v>
      </c>
      <c r="DH5" s="148"/>
      <c r="DI5" s="148"/>
      <c r="DJ5" s="148"/>
      <c r="DK5" s="148"/>
      <c r="DL5" s="148"/>
      <c r="DM5" s="148"/>
      <c r="DN5" s="148"/>
      <c r="DO5" s="164" t="b">
        <v>0</v>
      </c>
      <c r="DP5" s="164" t="b">
        <v>0</v>
      </c>
      <c r="DQ5" s="148" t="e">
        <f t="shared" ref="DQ5:DQ15" si="17">(DL5-DA5)/DA5</f>
        <v>#DIV/0!</v>
      </c>
      <c r="DR5" s="148" t="e">
        <f t="shared" ref="DR5:DR15" si="18">(DH5-CW5)/CW5</f>
        <v>#DIV/0!</v>
      </c>
      <c r="DS5" s="148"/>
      <c r="DT5" s="148"/>
      <c r="DU5" s="148"/>
      <c r="DV5" s="148"/>
      <c r="DW5" s="148"/>
      <c r="DX5" s="148"/>
      <c r="DY5" s="148"/>
      <c r="DZ5" s="164" t="b">
        <v>0</v>
      </c>
      <c r="EA5" s="164" t="b">
        <v>0</v>
      </c>
      <c r="EB5" s="148" t="e">
        <f t="shared" ref="EB5:EB15" si="19">(DW5-DL5)/DL5</f>
        <v>#DIV/0!</v>
      </c>
      <c r="EC5" s="148" t="e">
        <f t="shared" ref="EC5:EC15" si="20">(DS5-DH5)/DH5</f>
        <v>#DIV/0!</v>
      </c>
      <c r="ED5" s="148"/>
      <c r="EE5" s="148"/>
      <c r="EF5" s="148"/>
      <c r="EG5" s="148"/>
      <c r="EH5" s="148"/>
      <c r="EI5" s="148"/>
      <c r="EJ5" s="148"/>
      <c r="EK5" s="164" t="b">
        <v>0</v>
      </c>
      <c r="EL5" s="164" t="b">
        <v>0</v>
      </c>
      <c r="EM5" s="148" t="e">
        <f t="shared" ref="EM5:EM15" si="21">(EH5-DW5)/DW5</f>
        <v>#DIV/0!</v>
      </c>
      <c r="EN5" s="148" t="e">
        <f t="shared" ref="EN5:EN15" si="22">(ED5-DS5)/DS5</f>
        <v>#DIV/0!</v>
      </c>
      <c r="EO5" s="148"/>
      <c r="EP5" s="148"/>
      <c r="EQ5" s="148"/>
      <c r="ER5" s="148"/>
      <c r="ES5" s="148"/>
      <c r="ET5" s="148"/>
      <c r="EU5" s="148"/>
      <c r="EV5" s="164" t="b">
        <v>0</v>
      </c>
      <c r="EW5" s="164" t="b">
        <v>0</v>
      </c>
      <c r="EX5" s="148" t="e">
        <f t="shared" ref="EX5:EX15" si="23">(ES5-EH5)/EH5</f>
        <v>#DIV/0!</v>
      </c>
      <c r="EY5" s="148" t="e">
        <f t="shared" ref="EY5:EY15" si="24">(EO5-ED5)/ED5</f>
        <v>#DIV/0!</v>
      </c>
    </row>
    <row r="6" spans="1:155">
      <c r="C6" s="465" t="s">
        <v>1439</v>
      </c>
      <c r="D6" s="148">
        <v>1450012</v>
      </c>
      <c r="E6" s="148">
        <v>48</v>
      </c>
      <c r="F6" s="396" t="s">
        <v>1440</v>
      </c>
      <c r="G6" s="396" t="s">
        <v>1411</v>
      </c>
      <c r="H6" s="148" t="s">
        <v>1412</v>
      </c>
      <c r="I6" s="148" t="s">
        <v>170</v>
      </c>
      <c r="J6" s="1090" t="s">
        <v>1441</v>
      </c>
      <c r="K6" s="148">
        <v>106180801</v>
      </c>
      <c r="L6" s="468">
        <v>84</v>
      </c>
      <c r="M6" s="148"/>
      <c r="N6" s="1090" t="s">
        <v>1441</v>
      </c>
      <c r="O6" s="364">
        <v>45167.91</v>
      </c>
      <c r="P6" s="364">
        <v>2168.06</v>
      </c>
      <c r="Q6" s="364"/>
      <c r="R6" s="364">
        <f>(O6-P6-Q6)</f>
        <v>42999.850000000006</v>
      </c>
      <c r="S6" s="148">
        <v>1532</v>
      </c>
      <c r="T6" s="857">
        <v>46063</v>
      </c>
      <c r="U6" s="362" t="s">
        <v>1436</v>
      </c>
      <c r="V6" s="148"/>
      <c r="W6" s="148"/>
      <c r="X6" s="364">
        <f t="shared" si="0"/>
        <v>50129.73</v>
      </c>
      <c r="Y6" s="364">
        <v>-2406.23</v>
      </c>
      <c r="Z6" s="364">
        <v>0</v>
      </c>
      <c r="AA6" s="364">
        <v>47723.5</v>
      </c>
      <c r="AB6" s="1100">
        <v>1696</v>
      </c>
      <c r="AC6" s="182">
        <v>46091</v>
      </c>
      <c r="AD6" s="148" t="s">
        <v>1437</v>
      </c>
      <c r="AE6" s="164" t="b">
        <v>1</v>
      </c>
      <c r="AF6" s="164" t="b">
        <v>1</v>
      </c>
      <c r="AG6" s="864">
        <f t="shared" si="1"/>
        <v>0.10704960835509138</v>
      </c>
      <c r="AH6" s="864">
        <f t="shared" si="2"/>
        <v>0.10985276936657019</v>
      </c>
      <c r="AI6" s="364">
        <f t="shared" ref="AI6:AI15" si="25">AL6 + ABS(AK6) + ABS(AJ6)</f>
        <v>44105.810000000005</v>
      </c>
      <c r="AJ6" s="364">
        <v>-2117.08</v>
      </c>
      <c r="AK6" s="364">
        <v>0</v>
      </c>
      <c r="AL6" s="364">
        <v>41988.73</v>
      </c>
      <c r="AM6" s="1100">
        <v>1442</v>
      </c>
      <c r="AN6" s="407">
        <v>46122</v>
      </c>
      <c r="AO6" s="148" t="s">
        <v>1438</v>
      </c>
      <c r="AP6" s="164" t="b">
        <v>1</v>
      </c>
      <c r="AQ6" s="164" t="b">
        <v>1</v>
      </c>
      <c r="AR6" s="864">
        <f t="shared" si="3"/>
        <v>-0.14976415094339623</v>
      </c>
      <c r="AS6" s="864">
        <f t="shared" si="4"/>
        <v>-0.12016661569890758</v>
      </c>
      <c r="AT6" s="364"/>
      <c r="AU6" s="364"/>
      <c r="AV6" s="364"/>
      <c r="AW6" s="364"/>
      <c r="AX6" s="148"/>
      <c r="AY6" s="407"/>
      <c r="AZ6" s="148"/>
      <c r="BA6" s="164" t="b">
        <v>0</v>
      </c>
      <c r="BB6" s="164" t="b">
        <v>0</v>
      </c>
      <c r="BC6" s="148">
        <f t="shared" si="5"/>
        <v>-1</v>
      </c>
      <c r="BD6" s="148">
        <f t="shared" si="6"/>
        <v>-1</v>
      </c>
      <c r="BE6" s="148"/>
      <c r="BF6" s="148"/>
      <c r="BG6" s="148"/>
      <c r="BH6" s="148"/>
      <c r="BI6" s="148"/>
      <c r="BJ6" s="148"/>
      <c r="BK6" s="148"/>
      <c r="BL6" s="164" t="b">
        <v>0</v>
      </c>
      <c r="BM6" s="164" t="b">
        <v>0</v>
      </c>
      <c r="BN6" s="148" t="e">
        <f t="shared" si="7"/>
        <v>#DIV/0!</v>
      </c>
      <c r="BO6" s="148" t="e">
        <f t="shared" si="8"/>
        <v>#DIV/0!</v>
      </c>
      <c r="BP6" s="148"/>
      <c r="BQ6" s="148"/>
      <c r="BR6" s="148"/>
      <c r="BS6" s="148"/>
      <c r="BT6" s="148"/>
      <c r="BU6" s="148"/>
      <c r="BV6" s="148"/>
      <c r="BW6" s="164" t="b">
        <v>0</v>
      </c>
      <c r="BX6" s="164" t="b">
        <v>0</v>
      </c>
      <c r="BY6" s="148" t="e">
        <f t="shared" si="9"/>
        <v>#DIV/0!</v>
      </c>
      <c r="BZ6" s="148" t="e">
        <f t="shared" si="10"/>
        <v>#DIV/0!</v>
      </c>
      <c r="CA6" s="148"/>
      <c r="CB6" s="148"/>
      <c r="CC6" s="148"/>
      <c r="CD6" s="148"/>
      <c r="CE6" s="148"/>
      <c r="CF6" s="148"/>
      <c r="CG6" s="148"/>
      <c r="CH6" s="164" t="b">
        <v>0</v>
      </c>
      <c r="CI6" s="164" t="b">
        <v>0</v>
      </c>
      <c r="CJ6" s="148" t="e">
        <f t="shared" si="11"/>
        <v>#DIV/0!</v>
      </c>
      <c r="CK6" s="148" t="e">
        <f t="shared" si="12"/>
        <v>#DIV/0!</v>
      </c>
      <c r="CL6" s="148"/>
      <c r="CM6" s="148"/>
      <c r="CN6" s="148"/>
      <c r="CO6" s="148"/>
      <c r="CP6" s="148"/>
      <c r="CQ6" s="148"/>
      <c r="CR6" s="148"/>
      <c r="CS6" s="164" t="b">
        <v>0</v>
      </c>
      <c r="CT6" s="164" t="b">
        <v>0</v>
      </c>
      <c r="CU6" s="148" t="e">
        <f t="shared" si="13"/>
        <v>#DIV/0!</v>
      </c>
      <c r="CV6" s="148" t="e">
        <f t="shared" si="14"/>
        <v>#DIV/0!</v>
      </c>
      <c r="CW6" s="148"/>
      <c r="CX6" s="148"/>
      <c r="CY6" s="148"/>
      <c r="CZ6" s="148"/>
      <c r="DA6" s="148"/>
      <c r="DB6" s="148"/>
      <c r="DC6" s="148"/>
      <c r="DD6" s="164" t="b">
        <v>0</v>
      </c>
      <c r="DE6" s="164" t="b">
        <v>0</v>
      </c>
      <c r="DF6" s="148" t="e">
        <f t="shared" si="15"/>
        <v>#DIV/0!</v>
      </c>
      <c r="DG6" s="148" t="e">
        <f t="shared" si="16"/>
        <v>#DIV/0!</v>
      </c>
      <c r="DH6" s="148"/>
      <c r="DI6" s="148"/>
      <c r="DJ6" s="148"/>
      <c r="DK6" s="148"/>
      <c r="DL6" s="148"/>
      <c r="DM6" s="148"/>
      <c r="DN6" s="148"/>
      <c r="DO6" s="164" t="b">
        <v>0</v>
      </c>
      <c r="DP6" s="164" t="b">
        <v>0</v>
      </c>
      <c r="DQ6" s="148" t="e">
        <f t="shared" si="17"/>
        <v>#DIV/0!</v>
      </c>
      <c r="DR6" s="148" t="e">
        <f t="shared" si="18"/>
        <v>#DIV/0!</v>
      </c>
      <c r="DS6" s="148"/>
      <c r="DT6" s="148"/>
      <c r="DU6" s="148"/>
      <c r="DV6" s="148"/>
      <c r="DW6" s="148"/>
      <c r="DX6" s="148"/>
      <c r="DY6" s="148"/>
      <c r="DZ6" s="164" t="b">
        <v>0</v>
      </c>
      <c r="EA6" s="164" t="b">
        <v>0</v>
      </c>
      <c r="EB6" s="148" t="e">
        <f t="shared" si="19"/>
        <v>#DIV/0!</v>
      </c>
      <c r="EC6" s="148" t="e">
        <f t="shared" si="20"/>
        <v>#DIV/0!</v>
      </c>
      <c r="ED6" s="148"/>
      <c r="EE6" s="148"/>
      <c r="EF6" s="148"/>
      <c r="EG6" s="148"/>
      <c r="EH6" s="148"/>
      <c r="EI6" s="148"/>
      <c r="EJ6" s="148"/>
      <c r="EK6" s="164" t="b">
        <v>0</v>
      </c>
      <c r="EL6" s="164" t="b">
        <v>0</v>
      </c>
      <c r="EM6" s="148" t="e">
        <f t="shared" si="21"/>
        <v>#DIV/0!</v>
      </c>
      <c r="EN6" s="148" t="e">
        <f t="shared" si="22"/>
        <v>#DIV/0!</v>
      </c>
      <c r="EO6" s="148"/>
      <c r="EP6" s="148"/>
      <c r="EQ6" s="148"/>
      <c r="ER6" s="148"/>
      <c r="ES6" s="148"/>
      <c r="ET6" s="148"/>
      <c r="EU6" s="148"/>
      <c r="EV6" s="164" t="b">
        <v>0</v>
      </c>
      <c r="EW6" s="164" t="b">
        <v>0</v>
      </c>
      <c r="EX6" s="148" t="e">
        <f t="shared" si="23"/>
        <v>#DIV/0!</v>
      </c>
      <c r="EY6" s="148" t="e">
        <f t="shared" si="24"/>
        <v>#DIV/0!</v>
      </c>
    </row>
    <row r="7" spans="1:155">
      <c r="C7" s="465" t="s">
        <v>1442</v>
      </c>
      <c r="D7" s="148">
        <v>1450012</v>
      </c>
      <c r="E7" s="148">
        <v>52</v>
      </c>
      <c r="F7" s="394" t="s">
        <v>1443</v>
      </c>
      <c r="G7" s="394" t="s">
        <v>1411</v>
      </c>
      <c r="H7" s="148" t="s">
        <v>1412</v>
      </c>
      <c r="I7" s="148" t="s">
        <v>170</v>
      </c>
      <c r="J7" s="1091" t="s">
        <v>1444</v>
      </c>
      <c r="K7" s="148">
        <v>106180801</v>
      </c>
      <c r="L7" s="468">
        <v>84</v>
      </c>
      <c r="M7" s="148"/>
      <c r="N7" s="1091" t="s">
        <v>1444</v>
      </c>
      <c r="O7" s="364">
        <v>17605.61</v>
      </c>
      <c r="P7" s="364">
        <v>845.07</v>
      </c>
      <c r="Q7" s="364"/>
      <c r="R7" s="364">
        <f>(O7-P7-Q7)</f>
        <v>16760.54</v>
      </c>
      <c r="S7" s="148">
        <v>621</v>
      </c>
      <c r="T7" s="857">
        <v>46063</v>
      </c>
      <c r="U7" s="362" t="s">
        <v>1436</v>
      </c>
      <c r="V7" s="148"/>
      <c r="W7" s="148"/>
      <c r="X7" s="364">
        <f t="shared" si="0"/>
        <v>8131.7599999999993</v>
      </c>
      <c r="Y7" s="364">
        <v>-390.32</v>
      </c>
      <c r="Z7" s="364">
        <v>0</v>
      </c>
      <c r="AA7" s="364">
        <v>7741.44</v>
      </c>
      <c r="AB7" s="148">
        <v>307</v>
      </c>
      <c r="AC7" s="182">
        <v>46091</v>
      </c>
      <c r="AD7" s="148" t="s">
        <v>1437</v>
      </c>
      <c r="AE7" s="164" t="b">
        <v>1</v>
      </c>
      <c r="AF7" s="164" t="b">
        <v>1</v>
      </c>
      <c r="AG7" s="864">
        <f t="shared" si="1"/>
        <v>-0.50563607085346218</v>
      </c>
      <c r="AH7" s="864">
        <f t="shared" si="2"/>
        <v>-0.53811540753203113</v>
      </c>
      <c r="AI7" s="364">
        <f t="shared" si="25"/>
        <v>25144.48</v>
      </c>
      <c r="AJ7" s="364">
        <v>-1206.94</v>
      </c>
      <c r="AK7" s="364">
        <v>0</v>
      </c>
      <c r="AL7" s="364">
        <v>23937.54</v>
      </c>
      <c r="AM7" s="1100">
        <v>831</v>
      </c>
      <c r="AN7" s="407">
        <v>46122</v>
      </c>
      <c r="AO7" s="148" t="s">
        <v>1438</v>
      </c>
      <c r="AP7" s="164" t="b">
        <v>1</v>
      </c>
      <c r="AQ7" s="164" t="b">
        <v>1</v>
      </c>
      <c r="AR7" s="864">
        <f t="shared" si="3"/>
        <v>1.7068403908794789</v>
      </c>
      <c r="AS7" s="864">
        <f t="shared" si="4"/>
        <v>2.0921325764656116</v>
      </c>
      <c r="AT7" s="364"/>
      <c r="AU7" s="364"/>
      <c r="AV7" s="364"/>
      <c r="AW7" s="364"/>
      <c r="AX7" s="148"/>
      <c r="AY7" s="407"/>
      <c r="AZ7" s="148"/>
      <c r="BA7" s="164" t="b">
        <v>0</v>
      </c>
      <c r="BB7" s="164" t="b">
        <v>0</v>
      </c>
      <c r="BC7" s="148">
        <f t="shared" si="5"/>
        <v>-1</v>
      </c>
      <c r="BD7" s="148">
        <f t="shared" si="6"/>
        <v>-1</v>
      </c>
      <c r="BE7" s="148"/>
      <c r="BF7" s="148"/>
      <c r="BG7" s="148"/>
      <c r="BH7" s="148"/>
      <c r="BI7" s="148"/>
      <c r="BJ7" s="148"/>
      <c r="BK7" s="148"/>
      <c r="BL7" s="164" t="b">
        <v>0</v>
      </c>
      <c r="BM7" s="164" t="b">
        <v>0</v>
      </c>
      <c r="BN7" s="148" t="e">
        <f t="shared" si="7"/>
        <v>#DIV/0!</v>
      </c>
      <c r="BO7" s="148" t="e">
        <f t="shared" si="8"/>
        <v>#DIV/0!</v>
      </c>
      <c r="BP7" s="148"/>
      <c r="BQ7" s="148"/>
      <c r="BR7" s="148"/>
      <c r="BS7" s="148"/>
      <c r="BT7" s="148"/>
      <c r="BU7" s="148"/>
      <c r="BV7" s="148"/>
      <c r="BW7" s="164" t="b">
        <v>0</v>
      </c>
      <c r="BX7" s="164" t="b">
        <v>0</v>
      </c>
      <c r="BY7" s="148" t="e">
        <f t="shared" si="9"/>
        <v>#DIV/0!</v>
      </c>
      <c r="BZ7" s="148" t="e">
        <f t="shared" si="10"/>
        <v>#DIV/0!</v>
      </c>
      <c r="CA7" s="148"/>
      <c r="CB7" s="148"/>
      <c r="CC7" s="148"/>
      <c r="CD7" s="148"/>
      <c r="CE7" s="148"/>
      <c r="CF7" s="148"/>
      <c r="CG7" s="148"/>
      <c r="CH7" s="164" t="b">
        <v>0</v>
      </c>
      <c r="CI7" s="164" t="b">
        <v>0</v>
      </c>
      <c r="CJ7" s="148" t="e">
        <f t="shared" si="11"/>
        <v>#DIV/0!</v>
      </c>
      <c r="CK7" s="148" t="e">
        <f t="shared" si="12"/>
        <v>#DIV/0!</v>
      </c>
      <c r="CL7" s="148"/>
      <c r="CM7" s="148"/>
      <c r="CN7" s="148"/>
      <c r="CO7" s="148"/>
      <c r="CP7" s="148"/>
      <c r="CQ7" s="148"/>
      <c r="CR7" s="148"/>
      <c r="CS7" s="164" t="b">
        <v>0</v>
      </c>
      <c r="CT7" s="164" t="b">
        <v>0</v>
      </c>
      <c r="CU7" s="148" t="e">
        <f t="shared" si="13"/>
        <v>#DIV/0!</v>
      </c>
      <c r="CV7" s="148" t="e">
        <f t="shared" si="14"/>
        <v>#DIV/0!</v>
      </c>
      <c r="CW7" s="148"/>
      <c r="CX7" s="148"/>
      <c r="CY7" s="148"/>
      <c r="CZ7" s="148"/>
      <c r="DA7" s="148"/>
      <c r="DB7" s="148"/>
      <c r="DC7" s="148"/>
      <c r="DD7" s="164" t="b">
        <v>0</v>
      </c>
      <c r="DE7" s="164" t="b">
        <v>0</v>
      </c>
      <c r="DF7" s="148" t="e">
        <f t="shared" si="15"/>
        <v>#DIV/0!</v>
      </c>
      <c r="DG7" s="148" t="e">
        <f t="shared" si="16"/>
        <v>#DIV/0!</v>
      </c>
      <c r="DH7" s="148"/>
      <c r="DI7" s="148"/>
      <c r="DJ7" s="148"/>
      <c r="DK7" s="148"/>
      <c r="DL7" s="148"/>
      <c r="DM7" s="148"/>
      <c r="DN7" s="148"/>
      <c r="DO7" s="164" t="b">
        <v>0</v>
      </c>
      <c r="DP7" s="164" t="b">
        <v>0</v>
      </c>
      <c r="DQ7" s="148" t="e">
        <f t="shared" si="17"/>
        <v>#DIV/0!</v>
      </c>
      <c r="DR7" s="148" t="e">
        <f t="shared" si="18"/>
        <v>#DIV/0!</v>
      </c>
      <c r="DS7" s="148"/>
      <c r="DT7" s="148"/>
      <c r="DU7" s="148"/>
      <c r="DV7" s="148"/>
      <c r="DW7" s="148"/>
      <c r="DX7" s="148"/>
      <c r="DY7" s="148"/>
      <c r="DZ7" s="164" t="b">
        <v>0</v>
      </c>
      <c r="EA7" s="164" t="b">
        <v>0</v>
      </c>
      <c r="EB7" s="148" t="e">
        <f t="shared" si="19"/>
        <v>#DIV/0!</v>
      </c>
      <c r="EC7" s="148" t="e">
        <f t="shared" si="20"/>
        <v>#DIV/0!</v>
      </c>
      <c r="ED7" s="148"/>
      <c r="EE7" s="148"/>
      <c r="EF7" s="148"/>
      <c r="EG7" s="148"/>
      <c r="EH7" s="148"/>
      <c r="EI7" s="148"/>
      <c r="EJ7" s="148"/>
      <c r="EK7" s="164" t="b">
        <v>0</v>
      </c>
      <c r="EL7" s="164" t="b">
        <v>0</v>
      </c>
      <c r="EM7" s="148" t="e">
        <f t="shared" si="21"/>
        <v>#DIV/0!</v>
      </c>
      <c r="EN7" s="148" t="e">
        <f t="shared" si="22"/>
        <v>#DIV/0!</v>
      </c>
      <c r="EO7" s="148"/>
      <c r="EP7" s="148"/>
      <c r="EQ7" s="148"/>
      <c r="ER7" s="148"/>
      <c r="ES7" s="148"/>
      <c r="ET7" s="148"/>
      <c r="EU7" s="148"/>
      <c r="EV7" s="164" t="b">
        <v>0</v>
      </c>
      <c r="EW7" s="164" t="b">
        <v>0</v>
      </c>
      <c r="EX7" s="148" t="e">
        <f t="shared" si="23"/>
        <v>#DIV/0!</v>
      </c>
      <c r="EY7" s="148" t="e">
        <f t="shared" si="24"/>
        <v>#DIV/0!</v>
      </c>
    </row>
    <row r="8" spans="1:155">
      <c r="C8" s="465" t="s">
        <v>1445</v>
      </c>
      <c r="D8" s="148">
        <v>1450012</v>
      </c>
      <c r="E8" s="148">
        <v>95</v>
      </c>
      <c r="F8" s="396" t="s">
        <v>1446</v>
      </c>
      <c r="G8" s="396" t="s">
        <v>1411</v>
      </c>
      <c r="H8" s="148" t="s">
        <v>1412</v>
      </c>
      <c r="I8" s="148" t="s">
        <v>170</v>
      </c>
      <c r="J8" s="1090" t="s">
        <v>1447</v>
      </c>
      <c r="K8" s="148">
        <v>106180801</v>
      </c>
      <c r="L8" s="468">
        <v>84</v>
      </c>
      <c r="M8" s="148"/>
      <c r="N8" s="1090" t="s">
        <v>1447</v>
      </c>
      <c r="O8" s="364">
        <v>14591.84</v>
      </c>
      <c r="P8" s="364">
        <v>700.41</v>
      </c>
      <c r="Q8" s="364"/>
      <c r="R8" s="364">
        <f>(O8-P8-Q8)</f>
        <v>13891.43</v>
      </c>
      <c r="S8" s="148">
        <v>877</v>
      </c>
      <c r="T8" s="857">
        <v>46063</v>
      </c>
      <c r="U8" s="362" t="s">
        <v>1436</v>
      </c>
      <c r="V8" s="148"/>
      <c r="W8" s="148"/>
      <c r="X8" s="364">
        <f t="shared" si="0"/>
        <v>14626.61</v>
      </c>
      <c r="Y8" s="364">
        <v>-702.08</v>
      </c>
      <c r="Z8" s="364">
        <v>0</v>
      </c>
      <c r="AA8" s="364">
        <v>13924.53</v>
      </c>
      <c r="AB8" s="148">
        <v>879</v>
      </c>
      <c r="AC8" s="182">
        <v>46091</v>
      </c>
      <c r="AD8" s="148" t="s">
        <v>1437</v>
      </c>
      <c r="AE8" s="164" t="b">
        <v>1</v>
      </c>
      <c r="AF8" s="164" t="b">
        <v>1</v>
      </c>
      <c r="AG8" s="864">
        <f t="shared" si="1"/>
        <v>2.2805017103762829E-3</v>
      </c>
      <c r="AH8" s="864">
        <f t="shared" si="2"/>
        <v>2.3828386276165607E-3</v>
      </c>
      <c r="AI8" s="364">
        <f t="shared" si="25"/>
        <v>19212.73</v>
      </c>
      <c r="AJ8" s="364">
        <v>-922.21</v>
      </c>
      <c r="AK8" s="364">
        <v>0</v>
      </c>
      <c r="AL8" s="364">
        <v>18290.52</v>
      </c>
      <c r="AM8" s="1100">
        <v>1094</v>
      </c>
      <c r="AN8" s="407">
        <v>46122</v>
      </c>
      <c r="AO8" s="148" t="s">
        <v>1438</v>
      </c>
      <c r="AP8" s="164" t="b">
        <v>1</v>
      </c>
      <c r="AQ8" s="164" t="b">
        <v>1</v>
      </c>
      <c r="AR8" s="864">
        <f t="shared" si="3"/>
        <v>0.24459613196814561</v>
      </c>
      <c r="AS8" s="864">
        <f t="shared" si="4"/>
        <v>0.3135463378048638</v>
      </c>
      <c r="AT8" s="364"/>
      <c r="AU8" s="364"/>
      <c r="AV8" s="364"/>
      <c r="AW8" s="364"/>
      <c r="AX8" s="148"/>
      <c r="AY8" s="407"/>
      <c r="AZ8" s="148"/>
      <c r="BA8" s="164" t="b">
        <v>0</v>
      </c>
      <c r="BB8" s="164" t="b">
        <v>0</v>
      </c>
      <c r="BC8" s="148">
        <f t="shared" si="5"/>
        <v>-1</v>
      </c>
      <c r="BD8" s="148">
        <f t="shared" si="6"/>
        <v>-1</v>
      </c>
      <c r="BE8" s="148"/>
      <c r="BF8" s="148"/>
      <c r="BG8" s="148"/>
      <c r="BH8" s="148"/>
      <c r="BI8" s="148"/>
      <c r="BJ8" s="148"/>
      <c r="BK8" s="148"/>
      <c r="BL8" s="164" t="b">
        <v>0</v>
      </c>
      <c r="BM8" s="164" t="b">
        <v>0</v>
      </c>
      <c r="BN8" s="148" t="e">
        <f t="shared" si="7"/>
        <v>#DIV/0!</v>
      </c>
      <c r="BO8" s="148" t="e">
        <f t="shared" si="8"/>
        <v>#DIV/0!</v>
      </c>
      <c r="BP8" s="148"/>
      <c r="BQ8" s="148"/>
      <c r="BR8" s="148"/>
      <c r="BS8" s="148"/>
      <c r="BT8" s="148"/>
      <c r="BU8" s="148"/>
      <c r="BV8" s="148"/>
      <c r="BW8" s="164" t="b">
        <v>0</v>
      </c>
      <c r="BX8" s="164" t="b">
        <v>0</v>
      </c>
      <c r="BY8" s="148" t="e">
        <f t="shared" si="9"/>
        <v>#DIV/0!</v>
      </c>
      <c r="BZ8" s="148" t="e">
        <f t="shared" si="10"/>
        <v>#DIV/0!</v>
      </c>
      <c r="CA8" s="148"/>
      <c r="CB8" s="148"/>
      <c r="CC8" s="148"/>
      <c r="CD8" s="148"/>
      <c r="CE8" s="148"/>
      <c r="CF8" s="148"/>
      <c r="CG8" s="148"/>
      <c r="CH8" s="164" t="b">
        <v>0</v>
      </c>
      <c r="CI8" s="164" t="b">
        <v>0</v>
      </c>
      <c r="CJ8" s="148" t="e">
        <f t="shared" si="11"/>
        <v>#DIV/0!</v>
      </c>
      <c r="CK8" s="148" t="e">
        <f t="shared" si="12"/>
        <v>#DIV/0!</v>
      </c>
      <c r="CL8" s="148"/>
      <c r="CM8" s="148"/>
      <c r="CN8" s="148"/>
      <c r="CO8" s="148"/>
      <c r="CP8" s="148"/>
      <c r="CQ8" s="148"/>
      <c r="CR8" s="148"/>
      <c r="CS8" s="164" t="b">
        <v>0</v>
      </c>
      <c r="CT8" s="164" t="b">
        <v>0</v>
      </c>
      <c r="CU8" s="148" t="e">
        <f t="shared" si="13"/>
        <v>#DIV/0!</v>
      </c>
      <c r="CV8" s="148" t="e">
        <f t="shared" si="14"/>
        <v>#DIV/0!</v>
      </c>
      <c r="CW8" s="148"/>
      <c r="CX8" s="148"/>
      <c r="CY8" s="148"/>
      <c r="CZ8" s="148"/>
      <c r="DA8" s="148"/>
      <c r="DB8" s="148"/>
      <c r="DC8" s="148"/>
      <c r="DD8" s="164" t="b">
        <v>0</v>
      </c>
      <c r="DE8" s="164" t="b">
        <v>0</v>
      </c>
      <c r="DF8" s="148" t="e">
        <f t="shared" si="15"/>
        <v>#DIV/0!</v>
      </c>
      <c r="DG8" s="148" t="e">
        <f t="shared" si="16"/>
        <v>#DIV/0!</v>
      </c>
      <c r="DH8" s="148"/>
      <c r="DI8" s="148"/>
      <c r="DJ8" s="148"/>
      <c r="DK8" s="148"/>
      <c r="DL8" s="148"/>
      <c r="DM8" s="148"/>
      <c r="DN8" s="148"/>
      <c r="DO8" s="164" t="b">
        <v>0</v>
      </c>
      <c r="DP8" s="164" t="b">
        <v>0</v>
      </c>
      <c r="DQ8" s="148" t="e">
        <f t="shared" si="17"/>
        <v>#DIV/0!</v>
      </c>
      <c r="DR8" s="148" t="e">
        <f t="shared" si="18"/>
        <v>#DIV/0!</v>
      </c>
      <c r="DS8" s="148"/>
      <c r="DT8" s="148"/>
      <c r="DU8" s="148"/>
      <c r="DV8" s="148"/>
      <c r="DW8" s="148"/>
      <c r="DX8" s="148"/>
      <c r="DY8" s="148"/>
      <c r="DZ8" s="164" t="b">
        <v>0</v>
      </c>
      <c r="EA8" s="164" t="b">
        <v>0</v>
      </c>
      <c r="EB8" s="148" t="e">
        <f t="shared" si="19"/>
        <v>#DIV/0!</v>
      </c>
      <c r="EC8" s="148" t="e">
        <f t="shared" si="20"/>
        <v>#DIV/0!</v>
      </c>
      <c r="ED8" s="148"/>
      <c r="EE8" s="148"/>
      <c r="EF8" s="148"/>
      <c r="EG8" s="148"/>
      <c r="EH8" s="148"/>
      <c r="EI8" s="148"/>
      <c r="EJ8" s="148"/>
      <c r="EK8" s="164" t="b">
        <v>0</v>
      </c>
      <c r="EL8" s="164" t="b">
        <v>0</v>
      </c>
      <c r="EM8" s="148" t="e">
        <f t="shared" si="21"/>
        <v>#DIV/0!</v>
      </c>
      <c r="EN8" s="148" t="e">
        <f t="shared" si="22"/>
        <v>#DIV/0!</v>
      </c>
      <c r="EO8" s="148"/>
      <c r="EP8" s="148"/>
      <c r="EQ8" s="148"/>
      <c r="ER8" s="148"/>
      <c r="ES8" s="148"/>
      <c r="ET8" s="148"/>
      <c r="EU8" s="148"/>
      <c r="EV8" s="164" t="b">
        <v>0</v>
      </c>
      <c r="EW8" s="164" t="b">
        <v>0</v>
      </c>
      <c r="EX8" s="148" t="e">
        <f t="shared" si="23"/>
        <v>#DIV/0!</v>
      </c>
      <c r="EY8" s="148" t="e">
        <f t="shared" si="24"/>
        <v>#DIV/0!</v>
      </c>
    </row>
    <row r="9" spans="1:155">
      <c r="C9" s="465" t="s">
        <v>1448</v>
      </c>
      <c r="D9" s="148">
        <v>1450012</v>
      </c>
      <c r="E9" s="148">
        <v>201</v>
      </c>
      <c r="F9" s="1387" t="s">
        <v>1449</v>
      </c>
      <c r="G9" s="1387" t="s">
        <v>1411</v>
      </c>
      <c r="H9" s="148" t="s">
        <v>1412</v>
      </c>
      <c r="I9" s="148" t="s">
        <v>170</v>
      </c>
      <c r="J9" s="1090" t="s">
        <v>1450</v>
      </c>
      <c r="K9" s="148">
        <v>106180801</v>
      </c>
      <c r="L9" s="468">
        <v>84</v>
      </c>
      <c r="M9" s="148"/>
      <c r="N9" s="1090" t="s">
        <v>1450</v>
      </c>
      <c r="O9" s="364">
        <v>33913.050000000003</v>
      </c>
      <c r="P9" s="364">
        <v>1627.83</v>
      </c>
      <c r="Q9" s="364"/>
      <c r="R9" s="364">
        <f>(O9-P9-Q9)</f>
        <v>32285.22</v>
      </c>
      <c r="S9" s="148">
        <v>1160</v>
      </c>
      <c r="T9" s="857">
        <v>46063</v>
      </c>
      <c r="U9" s="362" t="s">
        <v>1436</v>
      </c>
      <c r="V9" s="148"/>
      <c r="W9" s="148"/>
      <c r="X9" s="364">
        <f t="shared" si="0"/>
        <v>40243.189999999995</v>
      </c>
      <c r="Y9" s="364">
        <v>-1931.67</v>
      </c>
      <c r="Z9" s="364">
        <v>0</v>
      </c>
      <c r="AA9" s="364">
        <v>38311.519999999997</v>
      </c>
      <c r="AB9" s="1100">
        <v>1365</v>
      </c>
      <c r="AC9" s="182">
        <v>46091</v>
      </c>
      <c r="AD9" s="148" t="s">
        <v>1437</v>
      </c>
      <c r="AE9" s="164" t="b">
        <v>1</v>
      </c>
      <c r="AF9" s="164" t="b">
        <v>1</v>
      </c>
      <c r="AG9" s="864">
        <f t="shared" si="1"/>
        <v>0.17672413793103448</v>
      </c>
      <c r="AH9" s="864">
        <f t="shared" si="2"/>
        <v>0.18665793846321671</v>
      </c>
      <c r="AI9" s="364">
        <f t="shared" si="25"/>
        <v>32572.11</v>
      </c>
      <c r="AJ9" s="364">
        <v>-1563.46</v>
      </c>
      <c r="AK9" s="364">
        <v>0</v>
      </c>
      <c r="AL9" s="364">
        <v>31008.65</v>
      </c>
      <c r="AM9" s="1100">
        <v>1065</v>
      </c>
      <c r="AN9" s="407">
        <v>46122</v>
      </c>
      <c r="AO9" s="148" t="s">
        <v>1438</v>
      </c>
      <c r="AP9" s="164" t="b">
        <v>1</v>
      </c>
      <c r="AQ9" s="164" t="b">
        <v>1</v>
      </c>
      <c r="AR9" s="864">
        <f t="shared" si="3"/>
        <v>-0.21978021978021978</v>
      </c>
      <c r="AS9" s="864">
        <f t="shared" si="4"/>
        <v>-0.19061808966933275</v>
      </c>
      <c r="AT9" s="364"/>
      <c r="AU9" s="364"/>
      <c r="AV9" s="364"/>
      <c r="AW9" s="364"/>
      <c r="AX9" s="148"/>
      <c r="AY9" s="407"/>
      <c r="AZ9" s="148"/>
      <c r="BA9" s="164" t="b">
        <v>0</v>
      </c>
      <c r="BB9" s="164" t="b">
        <v>0</v>
      </c>
      <c r="BC9" s="148">
        <f t="shared" si="5"/>
        <v>-1</v>
      </c>
      <c r="BD9" s="148">
        <f t="shared" si="6"/>
        <v>-1</v>
      </c>
      <c r="BE9" s="148"/>
      <c r="BF9" s="148"/>
      <c r="BG9" s="148"/>
      <c r="BH9" s="148"/>
      <c r="BI9" s="148"/>
      <c r="BJ9" s="148"/>
      <c r="BK9" s="148"/>
      <c r="BL9" s="164" t="b">
        <v>0</v>
      </c>
      <c r="BM9" s="164" t="b">
        <v>0</v>
      </c>
      <c r="BN9" s="148" t="e">
        <f t="shared" si="7"/>
        <v>#DIV/0!</v>
      </c>
      <c r="BO9" s="148" t="e">
        <f t="shared" si="8"/>
        <v>#DIV/0!</v>
      </c>
      <c r="BP9" s="148"/>
      <c r="BQ9" s="148"/>
      <c r="BR9" s="148"/>
      <c r="BS9" s="148"/>
      <c r="BT9" s="148"/>
      <c r="BU9" s="148"/>
      <c r="BV9" s="148"/>
      <c r="BW9" s="164" t="b">
        <v>0</v>
      </c>
      <c r="BX9" s="164" t="b">
        <v>0</v>
      </c>
      <c r="BY9" s="148" t="e">
        <f t="shared" si="9"/>
        <v>#DIV/0!</v>
      </c>
      <c r="BZ9" s="148" t="e">
        <f t="shared" si="10"/>
        <v>#DIV/0!</v>
      </c>
      <c r="CA9" s="148"/>
      <c r="CB9" s="148"/>
      <c r="CC9" s="148"/>
      <c r="CD9" s="148"/>
      <c r="CE9" s="148"/>
      <c r="CF9" s="148"/>
      <c r="CG9" s="148"/>
      <c r="CH9" s="164" t="b">
        <v>0</v>
      </c>
      <c r="CI9" s="164" t="b">
        <v>0</v>
      </c>
      <c r="CJ9" s="148" t="e">
        <f t="shared" si="11"/>
        <v>#DIV/0!</v>
      </c>
      <c r="CK9" s="148" t="e">
        <f t="shared" si="12"/>
        <v>#DIV/0!</v>
      </c>
      <c r="CL9" s="148"/>
      <c r="CM9" s="148"/>
      <c r="CN9" s="148"/>
      <c r="CO9" s="148"/>
      <c r="CP9" s="148"/>
      <c r="CQ9" s="148"/>
      <c r="CR9" s="148"/>
      <c r="CS9" s="164" t="b">
        <v>0</v>
      </c>
      <c r="CT9" s="164" t="b">
        <v>0</v>
      </c>
      <c r="CU9" s="148" t="e">
        <f t="shared" si="13"/>
        <v>#DIV/0!</v>
      </c>
      <c r="CV9" s="148" t="e">
        <f t="shared" si="14"/>
        <v>#DIV/0!</v>
      </c>
      <c r="CW9" s="148"/>
      <c r="CX9" s="148"/>
      <c r="CY9" s="148"/>
      <c r="CZ9" s="148"/>
      <c r="DA9" s="148"/>
      <c r="DB9" s="148"/>
      <c r="DC9" s="148"/>
      <c r="DD9" s="164" t="b">
        <v>0</v>
      </c>
      <c r="DE9" s="164" t="b">
        <v>0</v>
      </c>
      <c r="DF9" s="148" t="e">
        <f t="shared" si="15"/>
        <v>#DIV/0!</v>
      </c>
      <c r="DG9" s="148" t="e">
        <f t="shared" si="16"/>
        <v>#DIV/0!</v>
      </c>
      <c r="DH9" s="148"/>
      <c r="DI9" s="148"/>
      <c r="DJ9" s="148"/>
      <c r="DK9" s="148"/>
      <c r="DL9" s="148"/>
      <c r="DM9" s="148"/>
      <c r="DN9" s="148"/>
      <c r="DO9" s="164" t="b">
        <v>0</v>
      </c>
      <c r="DP9" s="164" t="b">
        <v>0</v>
      </c>
      <c r="DQ9" s="148" t="e">
        <f t="shared" si="17"/>
        <v>#DIV/0!</v>
      </c>
      <c r="DR9" s="148" t="e">
        <f t="shared" si="18"/>
        <v>#DIV/0!</v>
      </c>
      <c r="DS9" s="148"/>
      <c r="DT9" s="148"/>
      <c r="DU9" s="148"/>
      <c r="DV9" s="148"/>
      <c r="DW9" s="148"/>
      <c r="DX9" s="148"/>
      <c r="DY9" s="148"/>
      <c r="DZ9" s="164" t="b">
        <v>0</v>
      </c>
      <c r="EA9" s="164" t="b">
        <v>0</v>
      </c>
      <c r="EB9" s="148" t="e">
        <f t="shared" si="19"/>
        <v>#DIV/0!</v>
      </c>
      <c r="EC9" s="148" t="e">
        <f t="shared" si="20"/>
        <v>#DIV/0!</v>
      </c>
      <c r="ED9" s="148"/>
      <c r="EE9" s="148"/>
      <c r="EF9" s="148"/>
      <c r="EG9" s="148"/>
      <c r="EH9" s="148"/>
      <c r="EI9" s="148"/>
      <c r="EJ9" s="148"/>
      <c r="EK9" s="164" t="b">
        <v>0</v>
      </c>
      <c r="EL9" s="164" t="b">
        <v>0</v>
      </c>
      <c r="EM9" s="148" t="e">
        <f t="shared" si="21"/>
        <v>#DIV/0!</v>
      </c>
      <c r="EN9" s="148" t="e">
        <f t="shared" si="22"/>
        <v>#DIV/0!</v>
      </c>
      <c r="EO9" s="148"/>
      <c r="EP9" s="148"/>
      <c r="EQ9" s="148"/>
      <c r="ER9" s="148"/>
      <c r="ES9" s="148"/>
      <c r="ET9" s="148"/>
      <c r="EU9" s="148"/>
      <c r="EV9" s="164" t="b">
        <v>0</v>
      </c>
      <c r="EW9" s="164" t="b">
        <v>0</v>
      </c>
      <c r="EX9" s="148" t="e">
        <f t="shared" si="23"/>
        <v>#DIV/0!</v>
      </c>
      <c r="EY9" s="148" t="e">
        <f t="shared" si="24"/>
        <v>#DIV/0!</v>
      </c>
    </row>
    <row r="10" spans="1:155">
      <c r="C10" s="465" t="s">
        <v>1451</v>
      </c>
      <c r="D10" s="148">
        <v>1450012</v>
      </c>
      <c r="E10" s="148">
        <v>74</v>
      </c>
      <c r="F10" s="396" t="s">
        <v>1452</v>
      </c>
      <c r="G10" s="396" t="s">
        <v>1411</v>
      </c>
      <c r="H10" s="148" t="s">
        <v>1412</v>
      </c>
      <c r="I10" s="148" t="s">
        <v>170</v>
      </c>
      <c r="J10" s="1090" t="s">
        <v>1453</v>
      </c>
      <c r="K10" s="148">
        <v>106180801</v>
      </c>
      <c r="L10" s="468">
        <v>84</v>
      </c>
      <c r="M10" s="148"/>
      <c r="N10" s="1090" t="s">
        <v>1453</v>
      </c>
      <c r="O10" s="364">
        <v>17092.18</v>
      </c>
      <c r="P10" s="364">
        <v>820.42</v>
      </c>
      <c r="Q10" s="364"/>
      <c r="R10" s="364">
        <f>(O10-P10-Q10)</f>
        <v>16271.76</v>
      </c>
      <c r="S10" s="148">
        <v>661</v>
      </c>
      <c r="T10" s="857">
        <v>46063</v>
      </c>
      <c r="U10" s="362" t="s">
        <v>1436</v>
      </c>
      <c r="V10" s="148"/>
      <c r="W10" s="148"/>
      <c r="X10" s="364">
        <f t="shared" si="0"/>
        <v>21516.95</v>
      </c>
      <c r="Y10" s="364">
        <v>-1032.81</v>
      </c>
      <c r="Z10" s="364">
        <v>0</v>
      </c>
      <c r="AA10" s="364">
        <v>20484.14</v>
      </c>
      <c r="AB10" s="148">
        <v>822</v>
      </c>
      <c r="AC10" s="182">
        <v>46091</v>
      </c>
      <c r="AD10" s="148" t="s">
        <v>1437</v>
      </c>
      <c r="AE10" s="164" t="b">
        <v>1</v>
      </c>
      <c r="AF10" s="164" t="b">
        <v>1</v>
      </c>
      <c r="AG10" s="864">
        <f t="shared" si="1"/>
        <v>0.24357034795763993</v>
      </c>
      <c r="AH10" s="864">
        <f t="shared" si="2"/>
        <v>0.25887686649684244</v>
      </c>
      <c r="AI10" s="364">
        <f t="shared" si="25"/>
        <v>18136.54</v>
      </c>
      <c r="AJ10" s="364">
        <v>-870.55</v>
      </c>
      <c r="AK10" s="364">
        <v>0</v>
      </c>
      <c r="AL10" s="364">
        <v>17265.990000000002</v>
      </c>
      <c r="AM10" s="148">
        <v>699</v>
      </c>
      <c r="AN10" s="407">
        <v>46122</v>
      </c>
      <c r="AO10" s="148" t="s">
        <v>1438</v>
      </c>
      <c r="AP10" s="164" t="b">
        <v>1</v>
      </c>
      <c r="AQ10" s="164" t="b">
        <v>1</v>
      </c>
      <c r="AR10" s="864">
        <f t="shared" si="3"/>
        <v>-0.14963503649635038</v>
      </c>
      <c r="AS10" s="864">
        <f t="shared" si="4"/>
        <v>-0.15710451527749053</v>
      </c>
      <c r="AT10" s="364"/>
      <c r="AU10" s="364"/>
      <c r="AV10" s="364"/>
      <c r="AW10" s="364"/>
      <c r="AX10" s="148"/>
      <c r="AY10" s="407"/>
      <c r="AZ10" s="148"/>
      <c r="BA10" s="164" t="b">
        <v>0</v>
      </c>
      <c r="BB10" s="164" t="b">
        <v>0</v>
      </c>
      <c r="BC10" s="148">
        <f t="shared" si="5"/>
        <v>-1</v>
      </c>
      <c r="BD10" s="148">
        <f t="shared" si="6"/>
        <v>-1</v>
      </c>
      <c r="BE10" s="148"/>
      <c r="BF10" s="148"/>
      <c r="BG10" s="148"/>
      <c r="BH10" s="148"/>
      <c r="BI10" s="148"/>
      <c r="BJ10" s="148"/>
      <c r="BK10" s="148"/>
      <c r="BL10" s="164" t="b">
        <v>0</v>
      </c>
      <c r="BM10" s="164" t="b">
        <v>0</v>
      </c>
      <c r="BN10" s="148" t="e">
        <f t="shared" si="7"/>
        <v>#DIV/0!</v>
      </c>
      <c r="BO10" s="148" t="e">
        <f t="shared" si="8"/>
        <v>#DIV/0!</v>
      </c>
      <c r="BP10" s="148"/>
      <c r="BQ10" s="148"/>
      <c r="BR10" s="148"/>
      <c r="BS10" s="148"/>
      <c r="BT10" s="148"/>
      <c r="BU10" s="148"/>
      <c r="BV10" s="148"/>
      <c r="BW10" s="164" t="b">
        <v>0</v>
      </c>
      <c r="BX10" s="164" t="b">
        <v>0</v>
      </c>
      <c r="BY10" s="148" t="e">
        <f t="shared" si="9"/>
        <v>#DIV/0!</v>
      </c>
      <c r="BZ10" s="148" t="e">
        <f t="shared" si="10"/>
        <v>#DIV/0!</v>
      </c>
      <c r="CA10" s="148"/>
      <c r="CB10" s="148"/>
      <c r="CC10" s="148"/>
      <c r="CD10" s="148"/>
      <c r="CE10" s="148"/>
      <c r="CF10" s="148"/>
      <c r="CG10" s="148"/>
      <c r="CH10" s="164" t="b">
        <v>0</v>
      </c>
      <c r="CI10" s="164" t="b">
        <v>0</v>
      </c>
      <c r="CJ10" s="148" t="e">
        <f t="shared" si="11"/>
        <v>#DIV/0!</v>
      </c>
      <c r="CK10" s="148" t="e">
        <f t="shared" si="12"/>
        <v>#DIV/0!</v>
      </c>
      <c r="CL10" s="148"/>
      <c r="CM10" s="148"/>
      <c r="CN10" s="148"/>
      <c r="CO10" s="148"/>
      <c r="CP10" s="148"/>
      <c r="CQ10" s="148"/>
      <c r="CR10" s="148"/>
      <c r="CS10" s="164" t="b">
        <v>0</v>
      </c>
      <c r="CT10" s="164" t="b">
        <v>0</v>
      </c>
      <c r="CU10" s="148" t="e">
        <f t="shared" si="13"/>
        <v>#DIV/0!</v>
      </c>
      <c r="CV10" s="148" t="e">
        <f t="shared" si="14"/>
        <v>#DIV/0!</v>
      </c>
      <c r="CW10" s="148"/>
      <c r="CX10" s="148"/>
      <c r="CY10" s="148"/>
      <c r="CZ10" s="148"/>
      <c r="DA10" s="148"/>
      <c r="DB10" s="148"/>
      <c r="DC10" s="148"/>
      <c r="DD10" s="164" t="b">
        <v>0</v>
      </c>
      <c r="DE10" s="164" t="b">
        <v>0</v>
      </c>
      <c r="DF10" s="148" t="e">
        <f t="shared" si="15"/>
        <v>#DIV/0!</v>
      </c>
      <c r="DG10" s="148" t="e">
        <f t="shared" si="16"/>
        <v>#DIV/0!</v>
      </c>
      <c r="DH10" s="148"/>
      <c r="DI10" s="148"/>
      <c r="DJ10" s="148"/>
      <c r="DK10" s="148"/>
      <c r="DL10" s="148"/>
      <c r="DM10" s="148"/>
      <c r="DN10" s="148"/>
      <c r="DO10" s="164" t="b">
        <v>0</v>
      </c>
      <c r="DP10" s="164" t="b">
        <v>0</v>
      </c>
      <c r="DQ10" s="148" t="e">
        <f t="shared" si="17"/>
        <v>#DIV/0!</v>
      </c>
      <c r="DR10" s="148" t="e">
        <f t="shared" si="18"/>
        <v>#DIV/0!</v>
      </c>
      <c r="DS10" s="148"/>
      <c r="DT10" s="148"/>
      <c r="DU10" s="148"/>
      <c r="DV10" s="148"/>
      <c r="DW10" s="148"/>
      <c r="DX10" s="148"/>
      <c r="DY10" s="148"/>
      <c r="DZ10" s="164" t="b">
        <v>0</v>
      </c>
      <c r="EA10" s="164" t="b">
        <v>0</v>
      </c>
      <c r="EB10" s="148" t="e">
        <f t="shared" si="19"/>
        <v>#DIV/0!</v>
      </c>
      <c r="EC10" s="148" t="e">
        <f t="shared" si="20"/>
        <v>#DIV/0!</v>
      </c>
      <c r="ED10" s="148"/>
      <c r="EE10" s="148"/>
      <c r="EF10" s="148"/>
      <c r="EG10" s="148"/>
      <c r="EH10" s="148"/>
      <c r="EI10" s="148"/>
      <c r="EJ10" s="148"/>
      <c r="EK10" s="164" t="b">
        <v>0</v>
      </c>
      <c r="EL10" s="164" t="b">
        <v>0</v>
      </c>
      <c r="EM10" s="148" t="e">
        <f t="shared" si="21"/>
        <v>#DIV/0!</v>
      </c>
      <c r="EN10" s="148" t="e">
        <f t="shared" si="22"/>
        <v>#DIV/0!</v>
      </c>
      <c r="EO10" s="148"/>
      <c r="EP10" s="148"/>
      <c r="EQ10" s="148"/>
      <c r="ER10" s="148"/>
      <c r="ES10" s="148"/>
      <c r="ET10" s="148"/>
      <c r="EU10" s="148"/>
      <c r="EV10" s="164" t="b">
        <v>0</v>
      </c>
      <c r="EW10" s="164" t="b">
        <v>0</v>
      </c>
      <c r="EX10" s="148" t="e">
        <f t="shared" si="23"/>
        <v>#DIV/0!</v>
      </c>
      <c r="EY10" s="148" t="e">
        <f t="shared" si="24"/>
        <v>#DIV/0!</v>
      </c>
    </row>
    <row r="11" spans="1:155">
      <c r="C11" s="465" t="s">
        <v>1454</v>
      </c>
      <c r="D11" s="148">
        <v>1450012</v>
      </c>
      <c r="E11" s="148">
        <v>146</v>
      </c>
      <c r="F11" s="396" t="s">
        <v>1455</v>
      </c>
      <c r="G11" s="396" t="s">
        <v>1411</v>
      </c>
      <c r="H11" s="148" t="s">
        <v>1412</v>
      </c>
      <c r="I11" s="148" t="s">
        <v>170</v>
      </c>
      <c r="J11" s="1092" t="s">
        <v>1456</v>
      </c>
      <c r="K11" s="148">
        <v>106180801</v>
      </c>
      <c r="L11" s="467">
        <v>84</v>
      </c>
      <c r="M11" s="148"/>
      <c r="N11" s="1092" t="s">
        <v>1456</v>
      </c>
      <c r="O11" s="364">
        <v>880.11</v>
      </c>
      <c r="P11" s="364">
        <v>42.25</v>
      </c>
      <c r="Q11" s="364"/>
      <c r="R11" s="364">
        <f>(O11-P11-Q11)</f>
        <v>837.86</v>
      </c>
      <c r="S11" s="148">
        <v>45</v>
      </c>
      <c r="T11" s="857">
        <v>46063</v>
      </c>
      <c r="U11" s="362" t="s">
        <v>1436</v>
      </c>
      <c r="V11" s="148"/>
      <c r="W11" s="148"/>
      <c r="X11" s="364">
        <f t="shared" si="0"/>
        <v>909.25</v>
      </c>
      <c r="Y11" s="364">
        <v>-43.64</v>
      </c>
      <c r="Z11" s="364">
        <v>0</v>
      </c>
      <c r="AA11" s="364">
        <v>865.61</v>
      </c>
      <c r="AB11" s="148">
        <v>46</v>
      </c>
      <c r="AC11" s="41">
        <v>46091</v>
      </c>
      <c r="AD11" s="148" t="s">
        <v>1437</v>
      </c>
      <c r="AE11" s="164" t="b">
        <v>1</v>
      </c>
      <c r="AF11" s="164" t="b">
        <v>1</v>
      </c>
      <c r="AG11" s="864">
        <f t="shared" si="1"/>
        <v>2.2222222222222223E-2</v>
      </c>
      <c r="AH11" s="864">
        <f t="shared" si="2"/>
        <v>3.3109497676426791E-2</v>
      </c>
      <c r="AI11" s="364">
        <f t="shared" si="25"/>
        <v>823.87</v>
      </c>
      <c r="AJ11" s="364">
        <v>-39.549999999999997</v>
      </c>
      <c r="AK11" s="364">
        <v>0</v>
      </c>
      <c r="AL11" s="364">
        <v>784.32</v>
      </c>
      <c r="AM11" s="148">
        <v>41</v>
      </c>
      <c r="AN11" s="407">
        <v>46122</v>
      </c>
      <c r="AO11" s="148" t="s">
        <v>1438</v>
      </c>
      <c r="AP11" s="164" t="b">
        <v>1</v>
      </c>
      <c r="AQ11" s="164" t="b">
        <v>1</v>
      </c>
      <c r="AR11" s="864">
        <f t="shared" si="3"/>
        <v>-0.10869565217391304</v>
      </c>
      <c r="AS11" s="864">
        <f t="shared" si="4"/>
        <v>-9.3901567225735491E-2</v>
      </c>
      <c r="AT11" s="364"/>
      <c r="AU11" s="364"/>
      <c r="AV11" s="364"/>
      <c r="AW11" s="364"/>
      <c r="AX11" s="148"/>
      <c r="AY11" s="407"/>
      <c r="AZ11" s="148"/>
      <c r="BA11" s="164" t="b">
        <v>0</v>
      </c>
      <c r="BB11" s="164" t="b">
        <v>0</v>
      </c>
      <c r="BC11" s="148">
        <f t="shared" si="5"/>
        <v>-1</v>
      </c>
      <c r="BD11" s="148">
        <f t="shared" si="6"/>
        <v>-1</v>
      </c>
      <c r="BE11" s="148"/>
      <c r="BF11" s="148"/>
      <c r="BG11" s="148"/>
      <c r="BH11" s="148"/>
      <c r="BI11" s="148"/>
      <c r="BJ11" s="148"/>
      <c r="BK11" s="148"/>
      <c r="BL11" s="164" t="b">
        <v>0</v>
      </c>
      <c r="BM11" s="164" t="b">
        <v>0</v>
      </c>
      <c r="BN11" s="148" t="e">
        <f t="shared" si="7"/>
        <v>#DIV/0!</v>
      </c>
      <c r="BO11" s="148" t="e">
        <f t="shared" si="8"/>
        <v>#DIV/0!</v>
      </c>
      <c r="BP11" s="148"/>
      <c r="BQ11" s="148"/>
      <c r="BR11" s="148"/>
      <c r="BS11" s="148"/>
      <c r="BT11" s="148"/>
      <c r="BU11" s="148"/>
      <c r="BV11" s="148"/>
      <c r="BW11" s="164" t="b">
        <v>0</v>
      </c>
      <c r="BX11" s="164" t="b">
        <v>0</v>
      </c>
      <c r="BY11" s="148" t="e">
        <f t="shared" si="9"/>
        <v>#DIV/0!</v>
      </c>
      <c r="BZ11" s="148" t="e">
        <f t="shared" si="10"/>
        <v>#DIV/0!</v>
      </c>
      <c r="CA11" s="148"/>
      <c r="CB11" s="148"/>
      <c r="CC11" s="148"/>
      <c r="CD11" s="148"/>
      <c r="CE11" s="148"/>
      <c r="CF11" s="148"/>
      <c r="CG11" s="148"/>
      <c r="CH11" s="164" t="b">
        <v>0</v>
      </c>
      <c r="CI11" s="164" t="b">
        <v>0</v>
      </c>
      <c r="CJ11" s="148" t="e">
        <f t="shared" si="11"/>
        <v>#DIV/0!</v>
      </c>
      <c r="CK11" s="148" t="e">
        <f t="shared" si="12"/>
        <v>#DIV/0!</v>
      </c>
      <c r="CL11" s="148"/>
      <c r="CM11" s="148"/>
      <c r="CN11" s="148"/>
      <c r="CO11" s="148"/>
      <c r="CP11" s="148"/>
      <c r="CQ11" s="148"/>
      <c r="CR11" s="148"/>
      <c r="CS11" s="164" t="b">
        <v>0</v>
      </c>
      <c r="CT11" s="164" t="b">
        <v>0</v>
      </c>
      <c r="CU11" s="148" t="e">
        <f t="shared" si="13"/>
        <v>#DIV/0!</v>
      </c>
      <c r="CV11" s="148" t="e">
        <f t="shared" si="14"/>
        <v>#DIV/0!</v>
      </c>
      <c r="CW11" s="148"/>
      <c r="CX11" s="148"/>
      <c r="CY11" s="148"/>
      <c r="CZ11" s="148"/>
      <c r="DA11" s="148"/>
      <c r="DB11" s="148"/>
      <c r="DC11" s="148"/>
      <c r="DD11" s="164" t="b">
        <v>0</v>
      </c>
      <c r="DE11" s="164" t="b">
        <v>0</v>
      </c>
      <c r="DF11" s="148" t="e">
        <f t="shared" si="15"/>
        <v>#DIV/0!</v>
      </c>
      <c r="DG11" s="148" t="e">
        <f t="shared" si="16"/>
        <v>#DIV/0!</v>
      </c>
      <c r="DH11" s="148"/>
      <c r="DI11" s="148"/>
      <c r="DJ11" s="148"/>
      <c r="DK11" s="148"/>
      <c r="DL11" s="148"/>
      <c r="DM11" s="148"/>
      <c r="DN11" s="148"/>
      <c r="DO11" s="164" t="b">
        <v>0</v>
      </c>
      <c r="DP11" s="164" t="b">
        <v>0</v>
      </c>
      <c r="DQ11" s="148" t="e">
        <f t="shared" si="17"/>
        <v>#DIV/0!</v>
      </c>
      <c r="DR11" s="148" t="e">
        <f t="shared" si="18"/>
        <v>#DIV/0!</v>
      </c>
      <c r="DS11" s="148"/>
      <c r="DT11" s="148"/>
      <c r="DU11" s="148"/>
      <c r="DV11" s="148"/>
      <c r="DW11" s="148"/>
      <c r="DX11" s="148"/>
      <c r="DY11" s="148"/>
      <c r="DZ11" s="164" t="b">
        <v>0</v>
      </c>
      <c r="EA11" s="164" t="b">
        <v>0</v>
      </c>
      <c r="EB11" s="148" t="e">
        <f t="shared" si="19"/>
        <v>#DIV/0!</v>
      </c>
      <c r="EC11" s="148" t="e">
        <f t="shared" si="20"/>
        <v>#DIV/0!</v>
      </c>
      <c r="ED11" s="148"/>
      <c r="EE11" s="148"/>
      <c r="EF11" s="148"/>
      <c r="EG11" s="148"/>
      <c r="EH11" s="148"/>
      <c r="EI11" s="148"/>
      <c r="EJ11" s="148"/>
      <c r="EK11" s="164" t="b">
        <v>0</v>
      </c>
      <c r="EL11" s="164" t="b">
        <v>0</v>
      </c>
      <c r="EM11" s="148" t="e">
        <f t="shared" si="21"/>
        <v>#DIV/0!</v>
      </c>
      <c r="EN11" s="148" t="e">
        <f t="shared" si="22"/>
        <v>#DIV/0!</v>
      </c>
      <c r="EO11" s="148"/>
      <c r="EP11" s="148"/>
      <c r="EQ11" s="148"/>
      <c r="ER11" s="148"/>
      <c r="ES11" s="148"/>
      <c r="ET11" s="148"/>
      <c r="EU11" s="148"/>
      <c r="EV11" s="164" t="b">
        <v>0</v>
      </c>
      <c r="EW11" s="164" t="b">
        <v>0</v>
      </c>
      <c r="EX11" s="148" t="e">
        <f t="shared" si="23"/>
        <v>#DIV/0!</v>
      </c>
      <c r="EY11" s="148" t="e">
        <f t="shared" si="24"/>
        <v>#DIV/0!</v>
      </c>
    </row>
    <row r="12" spans="1:155">
      <c r="C12" s="466" t="s">
        <v>1457</v>
      </c>
      <c r="D12" s="6">
        <v>1450012</v>
      </c>
      <c r="E12" s="6">
        <v>53</v>
      </c>
      <c r="F12" s="6" t="s">
        <v>1458</v>
      </c>
      <c r="G12" s="6" t="s">
        <v>929</v>
      </c>
      <c r="H12" s="6" t="s">
        <v>930</v>
      </c>
      <c r="I12" s="6" t="s">
        <v>931</v>
      </c>
      <c r="J12" s="1093" t="s">
        <v>1459</v>
      </c>
      <c r="K12" s="6" t="s">
        <v>1460</v>
      </c>
      <c r="L12" s="467">
        <v>76</v>
      </c>
      <c r="M12" s="6"/>
      <c r="N12" s="1093" t="s">
        <v>1460</v>
      </c>
      <c r="O12" s="151">
        <v>18739.52</v>
      </c>
      <c r="P12" s="151">
        <v>899.5</v>
      </c>
      <c r="Q12" s="151"/>
      <c r="R12" s="151">
        <f>(O12-P12-Q12)</f>
        <v>17840.02</v>
      </c>
      <c r="S12" s="6">
        <v>1311</v>
      </c>
      <c r="T12" s="41">
        <v>46021</v>
      </c>
      <c r="U12" s="6" t="s">
        <v>1461</v>
      </c>
      <c r="V12" s="6"/>
      <c r="W12" s="6"/>
      <c r="X12" s="151">
        <f t="shared" si="0"/>
        <v>18740.920000000002</v>
      </c>
      <c r="Y12" s="151">
        <v>899.56</v>
      </c>
      <c r="Z12" s="151"/>
      <c r="AA12" s="151">
        <v>17841.36</v>
      </c>
      <c r="AB12" s="6">
        <v>1253</v>
      </c>
      <c r="AC12" s="41">
        <v>46073</v>
      </c>
      <c r="AD12" s="6" t="s">
        <v>1462</v>
      </c>
      <c r="AE12" s="153" t="b">
        <v>1</v>
      </c>
      <c r="AF12" s="153" t="b">
        <v>1</v>
      </c>
      <c r="AG12" s="865">
        <f t="shared" si="1"/>
        <v>-4.4241037376048821E-2</v>
      </c>
      <c r="AH12" s="865">
        <f t="shared" si="2"/>
        <v>7.4708423695028217E-5</v>
      </c>
      <c r="AI12" s="368">
        <f t="shared" si="25"/>
        <v>18650.330000000002</v>
      </c>
      <c r="AJ12" s="151">
        <v>895.22</v>
      </c>
      <c r="AK12" s="151"/>
      <c r="AL12" s="151">
        <v>17755.11</v>
      </c>
      <c r="AM12" s="6">
        <v>1247</v>
      </c>
      <c r="AN12" s="41">
        <v>46080</v>
      </c>
      <c r="AO12" s="6" t="s">
        <v>1463</v>
      </c>
      <c r="AP12" s="153" t="b">
        <v>1</v>
      </c>
      <c r="AQ12" s="153" t="b">
        <v>1</v>
      </c>
      <c r="AR12" s="865">
        <f t="shared" si="3"/>
        <v>-4.7885075818036712E-3</v>
      </c>
      <c r="AS12" s="865">
        <f t="shared" si="4"/>
        <v>-4.833807518520976E-3</v>
      </c>
      <c r="AT12" s="151">
        <v>10224.26</v>
      </c>
      <c r="AU12" s="151">
        <v>515.51</v>
      </c>
      <c r="AV12" s="151">
        <v>0</v>
      </c>
      <c r="AW12" s="151">
        <v>10224.26</v>
      </c>
      <c r="AX12" s="6">
        <v>723</v>
      </c>
      <c r="AY12" s="41">
        <v>46098</v>
      </c>
      <c r="AZ12" s="6" t="s">
        <v>1464</v>
      </c>
      <c r="BA12" s="153" t="b">
        <v>1</v>
      </c>
      <c r="BB12" s="153" t="b">
        <v>0</v>
      </c>
      <c r="BC12" s="6">
        <f t="shared" si="5"/>
        <v>-0.4202085004009623</v>
      </c>
      <c r="BD12" s="6">
        <f t="shared" si="6"/>
        <v>-0.45179200582509804</v>
      </c>
      <c r="BE12" s="6"/>
      <c r="BF12" s="6"/>
      <c r="BG12" s="6"/>
      <c r="BH12" s="6"/>
      <c r="BI12" s="6"/>
      <c r="BJ12" s="1202"/>
      <c r="BK12" s="6"/>
      <c r="BL12" s="153" t="b">
        <v>0</v>
      </c>
      <c r="BM12" s="153" t="b">
        <v>0</v>
      </c>
      <c r="BN12" s="6">
        <f t="shared" si="7"/>
        <v>-1</v>
      </c>
      <c r="BO12" s="6">
        <f t="shared" si="8"/>
        <v>-1</v>
      </c>
      <c r="BP12" s="6"/>
      <c r="BQ12" s="6"/>
      <c r="BR12" s="6"/>
      <c r="BS12" s="6"/>
      <c r="BT12" s="6"/>
      <c r="BU12" s="6"/>
      <c r="BV12" s="6"/>
      <c r="BW12" s="153" t="b">
        <v>0</v>
      </c>
      <c r="BX12" s="153" t="b">
        <v>0</v>
      </c>
      <c r="BY12" s="6" t="e">
        <f t="shared" si="9"/>
        <v>#DIV/0!</v>
      </c>
      <c r="BZ12" s="6" t="e">
        <f t="shared" si="10"/>
        <v>#DIV/0!</v>
      </c>
      <c r="CA12" s="6"/>
      <c r="CB12" s="6"/>
      <c r="CC12" s="6"/>
      <c r="CD12" s="6"/>
      <c r="CE12" s="6"/>
      <c r="CF12" s="6"/>
      <c r="CG12" s="6"/>
      <c r="CH12" s="153" t="b">
        <v>0</v>
      </c>
      <c r="CI12" s="153" t="b">
        <v>0</v>
      </c>
      <c r="CJ12" s="6" t="e">
        <f t="shared" si="11"/>
        <v>#DIV/0!</v>
      </c>
      <c r="CK12" s="6" t="e">
        <f t="shared" si="12"/>
        <v>#DIV/0!</v>
      </c>
      <c r="CL12" s="6"/>
      <c r="CM12" s="6"/>
      <c r="CN12" s="6"/>
      <c r="CO12" s="6"/>
      <c r="CP12" s="6"/>
      <c r="CQ12" s="6"/>
      <c r="CR12" s="6"/>
      <c r="CS12" s="153" t="b">
        <v>0</v>
      </c>
      <c r="CT12" s="153" t="b">
        <v>0</v>
      </c>
      <c r="CU12" s="6" t="e">
        <f t="shared" si="13"/>
        <v>#DIV/0!</v>
      </c>
      <c r="CV12" s="6" t="e">
        <f t="shared" si="14"/>
        <v>#DIV/0!</v>
      </c>
      <c r="CW12" s="6"/>
      <c r="CX12" s="6"/>
      <c r="CY12" s="6"/>
      <c r="CZ12" s="6"/>
      <c r="DA12" s="6"/>
      <c r="DB12" s="6"/>
      <c r="DC12" s="6"/>
      <c r="DD12" s="153" t="b">
        <v>0</v>
      </c>
      <c r="DE12" s="153" t="b">
        <v>0</v>
      </c>
      <c r="DF12" s="6" t="e">
        <f t="shared" si="15"/>
        <v>#DIV/0!</v>
      </c>
      <c r="DG12" s="6" t="e">
        <f t="shared" si="16"/>
        <v>#DIV/0!</v>
      </c>
      <c r="DH12" s="6"/>
      <c r="DI12" s="6"/>
      <c r="DJ12" s="6"/>
      <c r="DK12" s="6"/>
      <c r="DL12" s="6"/>
      <c r="DM12" s="6"/>
      <c r="DN12" s="6"/>
      <c r="DO12" s="153" t="b">
        <v>0</v>
      </c>
      <c r="DP12" s="153" t="b">
        <v>0</v>
      </c>
      <c r="DQ12" s="6" t="e">
        <f t="shared" si="17"/>
        <v>#DIV/0!</v>
      </c>
      <c r="DR12" s="6" t="e">
        <f t="shared" si="18"/>
        <v>#DIV/0!</v>
      </c>
      <c r="DS12" s="6"/>
      <c r="DT12" s="6"/>
      <c r="DU12" s="6"/>
      <c r="DV12" s="6"/>
      <c r="DW12" s="6"/>
      <c r="DX12" s="6"/>
      <c r="DY12" s="6"/>
      <c r="DZ12" s="153" t="b">
        <v>0</v>
      </c>
      <c r="EA12" s="153" t="b">
        <v>0</v>
      </c>
      <c r="EB12" s="6" t="e">
        <f t="shared" si="19"/>
        <v>#DIV/0!</v>
      </c>
      <c r="EC12" s="6" t="e">
        <f t="shared" si="20"/>
        <v>#DIV/0!</v>
      </c>
      <c r="ED12" s="6"/>
      <c r="EE12" s="6"/>
      <c r="EF12" s="6"/>
      <c r="EG12" s="6"/>
      <c r="EH12" s="6"/>
      <c r="EI12" s="6"/>
      <c r="EJ12" s="6"/>
      <c r="EK12" s="153" t="b">
        <v>0</v>
      </c>
      <c r="EL12" s="153" t="b">
        <v>0</v>
      </c>
      <c r="EM12" s="6" t="e">
        <f t="shared" si="21"/>
        <v>#DIV/0!</v>
      </c>
      <c r="EN12" s="6" t="e">
        <f t="shared" si="22"/>
        <v>#DIV/0!</v>
      </c>
      <c r="EO12" s="6"/>
      <c r="EP12" s="6"/>
      <c r="EQ12" s="6"/>
      <c r="ER12" s="6"/>
      <c r="ES12" s="6"/>
      <c r="ET12" s="6"/>
      <c r="EU12" s="6"/>
      <c r="EV12" s="153" t="b">
        <v>0</v>
      </c>
      <c r="EW12" s="153" t="b">
        <v>0</v>
      </c>
      <c r="EX12" s="6" t="e">
        <f t="shared" si="23"/>
        <v>#DIV/0!</v>
      </c>
      <c r="EY12" s="6" t="e">
        <f t="shared" si="24"/>
        <v>#DIV/0!</v>
      </c>
    </row>
    <row r="13" spans="1:155">
      <c r="C13" s="466" t="s">
        <v>1465</v>
      </c>
      <c r="D13" s="6">
        <v>1450012</v>
      </c>
      <c r="E13" s="6">
        <v>89</v>
      </c>
      <c r="F13" s="6" t="s">
        <v>1466</v>
      </c>
      <c r="G13" s="6" t="s">
        <v>1179</v>
      </c>
      <c r="H13" s="6" t="s">
        <v>939</v>
      </c>
      <c r="I13" s="5" t="s">
        <v>940</v>
      </c>
      <c r="J13" s="867" t="s">
        <v>1466</v>
      </c>
      <c r="K13" s="256" t="s">
        <v>1467</v>
      </c>
      <c r="L13" s="467">
        <v>85</v>
      </c>
      <c r="M13" s="6"/>
      <c r="N13" s="1093" t="s">
        <v>1467</v>
      </c>
      <c r="O13" s="151">
        <v>32595.89</v>
      </c>
      <c r="P13" s="151"/>
      <c r="Q13" s="151"/>
      <c r="R13" s="151">
        <v>32595.89</v>
      </c>
      <c r="S13" s="6">
        <v>2274</v>
      </c>
      <c r="T13" s="41">
        <v>46073</v>
      </c>
      <c r="U13" s="6" t="s">
        <v>1468</v>
      </c>
      <c r="V13" s="6"/>
      <c r="W13" s="6"/>
      <c r="X13" s="151">
        <f t="shared" si="0"/>
        <v>34032.19</v>
      </c>
      <c r="Y13" s="151">
        <v>0</v>
      </c>
      <c r="Z13" s="151">
        <v>0</v>
      </c>
      <c r="AA13" s="151">
        <v>34032.19</v>
      </c>
      <c r="AB13" s="6">
        <v>2373</v>
      </c>
      <c r="AC13" s="41">
        <v>46101</v>
      </c>
      <c r="AD13" s="6" t="s">
        <v>1469</v>
      </c>
      <c r="AE13" s="153" t="b">
        <v>1</v>
      </c>
      <c r="AF13" s="153" t="b">
        <v>1</v>
      </c>
      <c r="AG13" s="865">
        <f t="shared" si="1"/>
        <v>4.3535620052770452E-2</v>
      </c>
      <c r="AH13" s="865">
        <f t="shared" si="2"/>
        <v>4.4063837496077049E-2</v>
      </c>
      <c r="AI13" s="364">
        <v>39646.78</v>
      </c>
      <c r="AJ13" s="151">
        <v>0</v>
      </c>
      <c r="AK13" s="151">
        <v>0</v>
      </c>
      <c r="AL13" s="151">
        <v>39646.78</v>
      </c>
      <c r="AM13" s="6">
        <v>2760</v>
      </c>
      <c r="AN13" s="41">
        <v>46132</v>
      </c>
      <c r="AO13" s="6" t="s">
        <v>1470</v>
      </c>
      <c r="AP13" s="153" t="b">
        <v>1</v>
      </c>
      <c r="AQ13" s="153" t="b">
        <v>0</v>
      </c>
      <c r="AR13" s="865">
        <f t="shared" si="3"/>
        <v>0.16308470290771176</v>
      </c>
      <c r="AS13" s="865">
        <f t="shared" si="4"/>
        <v>0.16497880389125696</v>
      </c>
      <c r="AT13" s="151"/>
      <c r="AU13" s="151"/>
      <c r="AV13" s="151"/>
      <c r="AW13" s="151"/>
      <c r="AX13" s="6"/>
      <c r="AY13" s="41">
        <v>46162</v>
      </c>
      <c r="AZ13" s="6"/>
      <c r="BA13" s="153" t="b">
        <v>0</v>
      </c>
      <c r="BB13" s="153" t="b">
        <v>0</v>
      </c>
      <c r="BC13" s="6">
        <f t="shared" si="5"/>
        <v>-1</v>
      </c>
      <c r="BD13" s="6">
        <f t="shared" si="6"/>
        <v>-1</v>
      </c>
      <c r="BE13" s="6"/>
      <c r="BF13" s="6"/>
      <c r="BG13" s="6"/>
      <c r="BH13" s="6"/>
      <c r="BI13" s="6"/>
      <c r="BJ13" s="6"/>
      <c r="BK13" s="6"/>
      <c r="BL13" s="153" t="b">
        <v>0</v>
      </c>
      <c r="BM13" s="153" t="b">
        <v>0</v>
      </c>
      <c r="BN13" s="6" t="e">
        <f t="shared" si="7"/>
        <v>#DIV/0!</v>
      </c>
      <c r="BO13" s="6" t="e">
        <f t="shared" si="8"/>
        <v>#DIV/0!</v>
      </c>
      <c r="BP13" s="6"/>
      <c r="BQ13" s="6"/>
      <c r="BR13" s="6"/>
      <c r="BS13" s="6"/>
      <c r="BT13" s="6"/>
      <c r="BU13" s="6"/>
      <c r="BV13" s="6"/>
      <c r="BW13" s="153" t="b">
        <v>0</v>
      </c>
      <c r="BX13" s="153" t="b">
        <v>0</v>
      </c>
      <c r="BY13" s="6" t="e">
        <f t="shared" si="9"/>
        <v>#DIV/0!</v>
      </c>
      <c r="BZ13" s="6" t="e">
        <f t="shared" si="10"/>
        <v>#DIV/0!</v>
      </c>
      <c r="CA13" s="6"/>
      <c r="CB13" s="6"/>
      <c r="CC13" s="6"/>
      <c r="CD13" s="6"/>
      <c r="CE13" s="6"/>
      <c r="CF13" s="6"/>
      <c r="CG13" s="6"/>
      <c r="CH13" s="153" t="b">
        <v>0</v>
      </c>
      <c r="CI13" s="153" t="b">
        <v>0</v>
      </c>
      <c r="CJ13" s="6" t="e">
        <f t="shared" si="11"/>
        <v>#DIV/0!</v>
      </c>
      <c r="CK13" s="6" t="e">
        <f t="shared" si="12"/>
        <v>#DIV/0!</v>
      </c>
      <c r="CL13" s="6"/>
      <c r="CM13" s="6"/>
      <c r="CN13" s="6"/>
      <c r="CO13" s="6"/>
      <c r="CP13" s="6"/>
      <c r="CQ13" s="6"/>
      <c r="CR13" s="6"/>
      <c r="CS13" s="153" t="b">
        <v>0</v>
      </c>
      <c r="CT13" s="153" t="b">
        <v>0</v>
      </c>
      <c r="CU13" s="6" t="e">
        <f t="shared" si="13"/>
        <v>#DIV/0!</v>
      </c>
      <c r="CV13" s="6" t="e">
        <f t="shared" si="14"/>
        <v>#DIV/0!</v>
      </c>
      <c r="CW13" s="6"/>
      <c r="CX13" s="6"/>
      <c r="CY13" s="6"/>
      <c r="CZ13" s="6"/>
      <c r="DA13" s="6"/>
      <c r="DB13" s="6"/>
      <c r="DC13" s="6"/>
      <c r="DD13" s="153" t="b">
        <v>0</v>
      </c>
      <c r="DE13" s="153" t="b">
        <v>0</v>
      </c>
      <c r="DF13" s="6" t="e">
        <f t="shared" si="15"/>
        <v>#DIV/0!</v>
      </c>
      <c r="DG13" s="6" t="e">
        <f t="shared" si="16"/>
        <v>#DIV/0!</v>
      </c>
      <c r="DH13" s="6"/>
      <c r="DI13" s="6"/>
      <c r="DJ13" s="6"/>
      <c r="DK13" s="6"/>
      <c r="DL13" s="6"/>
      <c r="DM13" s="6"/>
      <c r="DN13" s="6"/>
      <c r="DO13" s="153" t="b">
        <v>0</v>
      </c>
      <c r="DP13" s="153" t="b">
        <v>0</v>
      </c>
      <c r="DQ13" s="6" t="e">
        <f t="shared" si="17"/>
        <v>#DIV/0!</v>
      </c>
      <c r="DR13" s="6" t="e">
        <f t="shared" si="18"/>
        <v>#DIV/0!</v>
      </c>
      <c r="DS13" s="6"/>
      <c r="DT13" s="6"/>
      <c r="DU13" s="6"/>
      <c r="DV13" s="6"/>
      <c r="DW13" s="6"/>
      <c r="DX13" s="6"/>
      <c r="DY13" s="6"/>
      <c r="DZ13" s="153" t="b">
        <v>0</v>
      </c>
      <c r="EA13" s="153" t="b">
        <v>0</v>
      </c>
      <c r="EB13" s="6" t="e">
        <f t="shared" si="19"/>
        <v>#DIV/0!</v>
      </c>
      <c r="EC13" s="6" t="e">
        <f t="shared" si="20"/>
        <v>#DIV/0!</v>
      </c>
      <c r="ED13" s="6"/>
      <c r="EE13" s="6"/>
      <c r="EF13" s="6"/>
      <c r="EG13" s="6"/>
      <c r="EH13" s="6"/>
      <c r="EI13" s="6"/>
      <c r="EJ13" s="6"/>
      <c r="EK13" s="153" t="b">
        <v>0</v>
      </c>
      <c r="EL13" s="153" t="b">
        <v>0</v>
      </c>
      <c r="EM13" s="6" t="e">
        <f t="shared" si="21"/>
        <v>#DIV/0!</v>
      </c>
      <c r="EN13" s="6" t="e">
        <f t="shared" si="22"/>
        <v>#DIV/0!</v>
      </c>
      <c r="EO13" s="6"/>
      <c r="EP13" s="6"/>
      <c r="EQ13" s="6"/>
      <c r="ER13" s="6"/>
      <c r="ES13" s="6"/>
      <c r="ET13" s="6"/>
      <c r="EU13" s="6"/>
      <c r="EV13" s="153" t="b">
        <v>0</v>
      </c>
      <c r="EW13" s="153" t="b">
        <v>0</v>
      </c>
      <c r="EX13" s="6" t="e">
        <f t="shared" si="23"/>
        <v>#DIV/0!</v>
      </c>
      <c r="EY13" s="6" t="e">
        <f t="shared" si="24"/>
        <v>#DIV/0!</v>
      </c>
    </row>
    <row r="14" spans="1:155">
      <c r="C14" s="466" t="s">
        <v>1471</v>
      </c>
      <c r="D14" s="6">
        <v>1450012</v>
      </c>
      <c r="E14" s="6">
        <v>0</v>
      </c>
      <c r="F14" s="6" t="s">
        <v>1472</v>
      </c>
      <c r="G14" s="6" t="s">
        <v>947</v>
      </c>
      <c r="H14" s="6" t="s">
        <v>1257</v>
      </c>
      <c r="I14" s="13" t="s">
        <v>1258</v>
      </c>
      <c r="J14" s="174" t="s">
        <v>1473</v>
      </c>
      <c r="K14" s="5" t="s">
        <v>1474</v>
      </c>
      <c r="L14" s="467">
        <v>73</v>
      </c>
      <c r="M14" s="6"/>
      <c r="N14" s="1093" t="s">
        <v>1474</v>
      </c>
      <c r="O14" s="151">
        <v>97.11</v>
      </c>
      <c r="P14" s="151"/>
      <c r="Q14" s="151"/>
      <c r="R14" s="151">
        <v>97.11</v>
      </c>
      <c r="S14" s="6">
        <v>15</v>
      </c>
      <c r="T14" s="41">
        <v>46037</v>
      </c>
      <c r="U14" s="6" t="s">
        <v>1475</v>
      </c>
      <c r="V14" s="6"/>
      <c r="W14" s="6"/>
      <c r="X14" s="151">
        <f t="shared" si="0"/>
        <v>107.54</v>
      </c>
      <c r="Y14" s="151">
        <v>0</v>
      </c>
      <c r="Z14" s="151">
        <v>0</v>
      </c>
      <c r="AA14" s="151">
        <v>107.54</v>
      </c>
      <c r="AB14" s="6">
        <v>13</v>
      </c>
      <c r="AC14" s="41">
        <v>46068</v>
      </c>
      <c r="AD14" s="6" t="s">
        <v>1476</v>
      </c>
      <c r="AE14" s="153" t="b">
        <v>1</v>
      </c>
      <c r="AF14" s="153" t="b">
        <v>1</v>
      </c>
      <c r="AG14" s="865">
        <f t="shared" si="1"/>
        <v>-0.13333333333333333</v>
      </c>
      <c r="AH14" s="865">
        <f t="shared" si="2"/>
        <v>0.10740397487385446</v>
      </c>
      <c r="AI14" s="368">
        <f t="shared" si="25"/>
        <v>107.54</v>
      </c>
      <c r="AJ14" s="151"/>
      <c r="AK14" s="151"/>
      <c r="AL14" s="151">
        <v>107.54</v>
      </c>
      <c r="AM14" s="6">
        <v>13</v>
      </c>
      <c r="AN14" s="41">
        <v>46111</v>
      </c>
      <c r="AO14" s="6" t="s">
        <v>1477</v>
      </c>
      <c r="AP14" s="153" t="b">
        <v>1</v>
      </c>
      <c r="AQ14" s="153" t="b">
        <v>1</v>
      </c>
      <c r="AR14" s="865">
        <f t="shared" si="3"/>
        <v>0</v>
      </c>
      <c r="AS14" s="865">
        <f t="shared" si="4"/>
        <v>0</v>
      </c>
      <c r="AT14" s="151">
        <v>107.54</v>
      </c>
      <c r="AU14" s="151">
        <v>0</v>
      </c>
      <c r="AV14" s="151"/>
      <c r="AW14" s="151">
        <v>107.54</v>
      </c>
      <c r="AX14" s="6">
        <v>13</v>
      </c>
      <c r="AY14" s="41">
        <v>46127</v>
      </c>
      <c r="AZ14" s="6" t="s">
        <v>1478</v>
      </c>
      <c r="BA14" s="153" t="b">
        <v>1</v>
      </c>
      <c r="BB14" s="153" t="b">
        <v>1</v>
      </c>
      <c r="BC14" s="6">
        <f t="shared" si="5"/>
        <v>0</v>
      </c>
      <c r="BD14" s="6">
        <f t="shared" si="6"/>
        <v>0</v>
      </c>
      <c r="BE14" s="6"/>
      <c r="BF14" s="6"/>
      <c r="BG14" s="6"/>
      <c r="BH14" s="6"/>
      <c r="BI14" s="6"/>
      <c r="BJ14" s="6"/>
      <c r="BK14" s="6"/>
      <c r="BL14" s="153" t="b">
        <v>0</v>
      </c>
      <c r="BM14" s="153" t="b">
        <v>0</v>
      </c>
      <c r="BN14" s="6">
        <f t="shared" si="7"/>
        <v>-1</v>
      </c>
      <c r="BO14" s="6">
        <f t="shared" si="8"/>
        <v>-1</v>
      </c>
      <c r="BP14" s="6"/>
      <c r="BQ14" s="6"/>
      <c r="BR14" s="6"/>
      <c r="BS14" s="6"/>
      <c r="BT14" s="6"/>
      <c r="BU14" s="6"/>
      <c r="BV14" s="6"/>
      <c r="BW14" s="153" t="b">
        <v>0</v>
      </c>
      <c r="BX14" s="153" t="b">
        <v>0</v>
      </c>
      <c r="BY14" s="6" t="e">
        <f t="shared" si="9"/>
        <v>#DIV/0!</v>
      </c>
      <c r="BZ14" s="6" t="e">
        <f t="shared" si="10"/>
        <v>#DIV/0!</v>
      </c>
      <c r="CA14" s="6"/>
      <c r="CB14" s="6"/>
      <c r="CC14" s="6"/>
      <c r="CD14" s="6"/>
      <c r="CE14" s="6"/>
      <c r="CF14" s="6"/>
      <c r="CG14" s="6"/>
      <c r="CH14" s="153" t="b">
        <v>0</v>
      </c>
      <c r="CI14" s="153" t="b">
        <v>0</v>
      </c>
      <c r="CJ14" s="6" t="e">
        <f t="shared" si="11"/>
        <v>#DIV/0!</v>
      </c>
      <c r="CK14" s="6" t="e">
        <f t="shared" si="12"/>
        <v>#DIV/0!</v>
      </c>
      <c r="CL14" s="6"/>
      <c r="CM14" s="6"/>
      <c r="CN14" s="6"/>
      <c r="CO14" s="6"/>
      <c r="CP14" s="6"/>
      <c r="CQ14" s="6"/>
      <c r="CR14" s="6"/>
      <c r="CS14" s="153" t="b">
        <v>0</v>
      </c>
      <c r="CT14" s="153" t="b">
        <v>0</v>
      </c>
      <c r="CU14" s="6" t="e">
        <f t="shared" si="13"/>
        <v>#DIV/0!</v>
      </c>
      <c r="CV14" s="6" t="e">
        <f t="shared" si="14"/>
        <v>#DIV/0!</v>
      </c>
      <c r="CW14" s="6"/>
      <c r="CX14" s="6"/>
      <c r="CY14" s="6"/>
      <c r="CZ14" s="6"/>
      <c r="DA14" s="6"/>
      <c r="DB14" s="6"/>
      <c r="DC14" s="6"/>
      <c r="DD14" s="153" t="b">
        <v>0</v>
      </c>
      <c r="DE14" s="153" t="b">
        <v>0</v>
      </c>
      <c r="DF14" s="6" t="e">
        <f t="shared" si="15"/>
        <v>#DIV/0!</v>
      </c>
      <c r="DG14" s="6" t="e">
        <f t="shared" si="16"/>
        <v>#DIV/0!</v>
      </c>
      <c r="DH14" s="6"/>
      <c r="DI14" s="6"/>
      <c r="DJ14" s="6"/>
      <c r="DK14" s="6"/>
      <c r="DL14" s="6"/>
      <c r="DM14" s="6"/>
      <c r="DN14" s="6"/>
      <c r="DO14" s="153" t="b">
        <v>0</v>
      </c>
      <c r="DP14" s="153" t="b">
        <v>0</v>
      </c>
      <c r="DQ14" s="6" t="e">
        <f t="shared" si="17"/>
        <v>#DIV/0!</v>
      </c>
      <c r="DR14" s="6" t="e">
        <f t="shared" si="18"/>
        <v>#DIV/0!</v>
      </c>
      <c r="DS14" s="6"/>
      <c r="DT14" s="6"/>
      <c r="DU14" s="6"/>
      <c r="DV14" s="6"/>
      <c r="DW14" s="6"/>
      <c r="DX14" s="6"/>
      <c r="DY14" s="6"/>
      <c r="DZ14" s="153" t="b">
        <v>0</v>
      </c>
      <c r="EA14" s="153" t="b">
        <v>0</v>
      </c>
      <c r="EB14" s="6" t="e">
        <f t="shared" si="19"/>
        <v>#DIV/0!</v>
      </c>
      <c r="EC14" s="6" t="e">
        <f t="shared" si="20"/>
        <v>#DIV/0!</v>
      </c>
      <c r="ED14" s="6"/>
      <c r="EE14" s="6"/>
      <c r="EF14" s="6"/>
      <c r="EG14" s="6"/>
      <c r="EH14" s="6"/>
      <c r="EI14" s="6"/>
      <c r="EJ14" s="6"/>
      <c r="EK14" s="153" t="b">
        <v>0</v>
      </c>
      <c r="EL14" s="153" t="b">
        <v>0</v>
      </c>
      <c r="EM14" s="6" t="e">
        <f t="shared" si="21"/>
        <v>#DIV/0!</v>
      </c>
      <c r="EN14" s="6" t="e">
        <f t="shared" si="22"/>
        <v>#DIV/0!</v>
      </c>
      <c r="EO14" s="6"/>
      <c r="EP14" s="6"/>
      <c r="EQ14" s="6"/>
      <c r="ER14" s="6"/>
      <c r="ES14" s="6"/>
      <c r="ET14" s="6"/>
      <c r="EU14" s="6"/>
      <c r="EV14" s="153" t="b">
        <v>0</v>
      </c>
      <c r="EW14" s="153" t="b">
        <v>0</v>
      </c>
      <c r="EX14" s="6" t="e">
        <f t="shared" si="23"/>
        <v>#DIV/0!</v>
      </c>
      <c r="EY14" s="6" t="e">
        <f t="shared" si="24"/>
        <v>#DIV/0!</v>
      </c>
    </row>
    <row r="15" spans="1:155">
      <c r="C15" s="466" t="s">
        <v>1479</v>
      </c>
      <c r="D15" s="6">
        <v>1450012</v>
      </c>
      <c r="E15" s="6">
        <v>90</v>
      </c>
      <c r="F15" s="6" t="s">
        <v>1480</v>
      </c>
      <c r="G15" s="6" t="s">
        <v>779</v>
      </c>
      <c r="H15" s="6" t="s">
        <v>780</v>
      </c>
      <c r="I15" s="149" t="s">
        <v>781</v>
      </c>
      <c r="J15" s="1094" t="s">
        <v>1480</v>
      </c>
      <c r="K15" s="17">
        <v>150796510</v>
      </c>
      <c r="L15" s="469">
        <v>86</v>
      </c>
      <c r="M15" s="6"/>
      <c r="N15" s="1093" t="s">
        <v>1481</v>
      </c>
      <c r="O15" s="151">
        <v>11551.51</v>
      </c>
      <c r="P15" s="151"/>
      <c r="Q15" s="151"/>
      <c r="R15" s="151">
        <v>11551.51</v>
      </c>
      <c r="S15" s="6">
        <v>966</v>
      </c>
      <c r="T15" s="41">
        <v>46078</v>
      </c>
      <c r="U15" s="6" t="s">
        <v>1482</v>
      </c>
      <c r="V15" s="6"/>
      <c r="W15" s="6"/>
      <c r="X15" s="151">
        <v>11589.89</v>
      </c>
      <c r="Y15" s="151">
        <v>0</v>
      </c>
      <c r="Z15" s="151">
        <v>0</v>
      </c>
      <c r="AA15" s="151">
        <v>11589.89</v>
      </c>
      <c r="AB15" s="6">
        <v>1123</v>
      </c>
      <c r="AC15" s="41">
        <v>46106</v>
      </c>
      <c r="AD15" s="6" t="s">
        <v>1483</v>
      </c>
      <c r="AE15" s="153" t="b">
        <v>1</v>
      </c>
      <c r="AF15" s="153" t="b">
        <v>1</v>
      </c>
      <c r="AG15" s="865">
        <f t="shared" si="1"/>
        <v>0.16252587991718426</v>
      </c>
      <c r="AH15" s="865">
        <f t="shared" si="2"/>
        <v>3.3225093515911945E-3</v>
      </c>
      <c r="AI15" s="364">
        <f t="shared" si="25"/>
        <v>0</v>
      </c>
      <c r="AJ15" s="151"/>
      <c r="AK15" s="151"/>
      <c r="AL15" s="151"/>
      <c r="AM15" s="6"/>
      <c r="AN15" s="1202">
        <v>46142</v>
      </c>
      <c r="AO15" s="6"/>
      <c r="AP15" s="153" t="b">
        <v>0</v>
      </c>
      <c r="AQ15" s="153" t="b">
        <v>0</v>
      </c>
      <c r="AR15" s="865">
        <f t="shared" si="3"/>
        <v>-1</v>
      </c>
      <c r="AS15" s="865">
        <f t="shared" si="4"/>
        <v>-1</v>
      </c>
      <c r="AT15" s="151"/>
      <c r="AU15" s="151"/>
      <c r="AV15" s="151"/>
      <c r="AW15" s="151"/>
      <c r="AX15" s="6"/>
      <c r="AY15" s="41">
        <v>46172</v>
      </c>
      <c r="AZ15" s="6"/>
      <c r="BA15" s="153" t="b">
        <v>0</v>
      </c>
      <c r="BB15" s="153" t="b">
        <v>0</v>
      </c>
      <c r="BC15" s="6" t="e">
        <f t="shared" si="5"/>
        <v>#DIV/0!</v>
      </c>
      <c r="BD15" s="6" t="e">
        <f t="shared" si="6"/>
        <v>#DIV/0!</v>
      </c>
      <c r="BE15" s="6"/>
      <c r="BF15" s="6"/>
      <c r="BG15" s="6"/>
      <c r="BH15" s="6"/>
      <c r="BI15" s="6"/>
      <c r="BJ15" s="6"/>
      <c r="BK15" s="6"/>
      <c r="BL15" s="153" t="b">
        <v>0</v>
      </c>
      <c r="BM15" s="153" t="b">
        <v>0</v>
      </c>
      <c r="BN15" s="6" t="e">
        <f t="shared" si="7"/>
        <v>#DIV/0!</v>
      </c>
      <c r="BO15" s="6" t="e">
        <f t="shared" si="8"/>
        <v>#DIV/0!</v>
      </c>
      <c r="BP15" s="6"/>
      <c r="BQ15" s="6"/>
      <c r="BR15" s="6"/>
      <c r="BS15" s="6"/>
      <c r="BT15" s="6"/>
      <c r="BU15" s="6"/>
      <c r="BV15" s="6"/>
      <c r="BW15" s="153" t="b">
        <v>0</v>
      </c>
      <c r="BX15" s="153" t="b">
        <v>0</v>
      </c>
      <c r="BY15" s="6" t="e">
        <f t="shared" si="9"/>
        <v>#DIV/0!</v>
      </c>
      <c r="BZ15" s="6" t="e">
        <f t="shared" si="10"/>
        <v>#DIV/0!</v>
      </c>
      <c r="CA15" s="6"/>
      <c r="CB15" s="6"/>
      <c r="CC15" s="6"/>
      <c r="CD15" s="6"/>
      <c r="CE15" s="6"/>
      <c r="CF15" s="6"/>
      <c r="CG15" s="6"/>
      <c r="CH15" s="153" t="b">
        <v>0</v>
      </c>
      <c r="CI15" s="153" t="b">
        <v>0</v>
      </c>
      <c r="CJ15" s="6" t="e">
        <f t="shared" si="11"/>
        <v>#DIV/0!</v>
      </c>
      <c r="CK15" s="6" t="e">
        <f t="shared" si="12"/>
        <v>#DIV/0!</v>
      </c>
      <c r="CL15" s="6"/>
      <c r="CM15" s="6"/>
      <c r="CN15" s="6"/>
      <c r="CO15" s="6"/>
      <c r="CP15" s="6"/>
      <c r="CQ15" s="6"/>
      <c r="CR15" s="6"/>
      <c r="CS15" s="153" t="b">
        <v>0</v>
      </c>
      <c r="CT15" s="153" t="b">
        <v>0</v>
      </c>
      <c r="CU15" s="6" t="e">
        <f t="shared" si="13"/>
        <v>#DIV/0!</v>
      </c>
      <c r="CV15" s="6" t="e">
        <f t="shared" si="14"/>
        <v>#DIV/0!</v>
      </c>
      <c r="CW15" s="6"/>
      <c r="CX15" s="6"/>
      <c r="CY15" s="6"/>
      <c r="CZ15" s="6"/>
      <c r="DA15" s="6"/>
      <c r="DB15" s="6"/>
      <c r="DC15" s="6"/>
      <c r="DD15" s="153" t="b">
        <v>0</v>
      </c>
      <c r="DE15" s="153" t="b">
        <v>0</v>
      </c>
      <c r="DF15" s="6" t="e">
        <f t="shared" si="15"/>
        <v>#DIV/0!</v>
      </c>
      <c r="DG15" s="6" t="e">
        <f t="shared" si="16"/>
        <v>#DIV/0!</v>
      </c>
      <c r="DH15" s="6"/>
      <c r="DI15" s="6"/>
      <c r="DJ15" s="6"/>
      <c r="DK15" s="6"/>
      <c r="DL15" s="6"/>
      <c r="DM15" s="6"/>
      <c r="DN15" s="6"/>
      <c r="DO15" s="153" t="b">
        <v>0</v>
      </c>
      <c r="DP15" s="153" t="b">
        <v>0</v>
      </c>
      <c r="DQ15" s="6" t="e">
        <f t="shared" si="17"/>
        <v>#DIV/0!</v>
      </c>
      <c r="DR15" s="6" t="e">
        <f t="shared" si="18"/>
        <v>#DIV/0!</v>
      </c>
      <c r="DS15" s="6"/>
      <c r="DT15" s="6"/>
      <c r="DU15" s="6"/>
      <c r="DV15" s="6"/>
      <c r="DW15" s="6"/>
      <c r="DX15" s="6"/>
      <c r="DY15" s="6"/>
      <c r="DZ15" s="153" t="b">
        <v>0</v>
      </c>
      <c r="EA15" s="153" t="b">
        <v>0</v>
      </c>
      <c r="EB15" s="6" t="e">
        <f t="shared" si="19"/>
        <v>#DIV/0!</v>
      </c>
      <c r="EC15" s="6" t="e">
        <f t="shared" si="20"/>
        <v>#DIV/0!</v>
      </c>
      <c r="ED15" s="6"/>
      <c r="EE15" s="6"/>
      <c r="EF15" s="6"/>
      <c r="EG15" s="6"/>
      <c r="EH15" s="6"/>
      <c r="EI15" s="6"/>
      <c r="EJ15" s="6"/>
      <c r="EK15" s="153" t="b">
        <v>0</v>
      </c>
      <c r="EL15" s="153" t="b">
        <v>0</v>
      </c>
      <c r="EM15" s="6" t="e">
        <f t="shared" si="21"/>
        <v>#DIV/0!</v>
      </c>
      <c r="EN15" s="6" t="e">
        <f t="shared" si="22"/>
        <v>#DIV/0!</v>
      </c>
      <c r="EO15" s="6"/>
      <c r="EP15" s="6"/>
      <c r="EQ15" s="6"/>
      <c r="ER15" s="6"/>
      <c r="ES15" s="6"/>
      <c r="ET15" s="6"/>
      <c r="EU15" s="6"/>
      <c r="EV15" s="153" t="b">
        <v>0</v>
      </c>
      <c r="EW15" s="153" t="b">
        <v>0</v>
      </c>
      <c r="EX15" s="6" t="e">
        <f t="shared" si="23"/>
        <v>#DIV/0!</v>
      </c>
      <c r="EY15" s="6" t="e">
        <f t="shared" si="24"/>
        <v>#DIV/0!</v>
      </c>
    </row>
    <row r="16" spans="1:15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 ht="15" customHeight="1"/>
    <row r="35" ht="15" customHeight="1"/>
    <row r="36" ht="15" customHeight="1"/>
    <row r="37" ht="15" customHeight="1"/>
    <row r="38" ht="15" customHeight="1"/>
    <row r="39" ht="15" customHeight="1"/>
    <row r="40"/>
    <row r="41"/>
    <row r="42" ht="15" customHeight="1"/>
    <row r="43"/>
    <row r="44"/>
    <row r="45"/>
    <row r="46"/>
    <row r="47" ht="15" customHeight="1"/>
    <row r="48"/>
    <row r="49"/>
    <row r="50" ht="15" customHeight="1"/>
    <row r="51" ht="15" customHeight="1"/>
    <row r="52" ht="15" customHeight="1"/>
    <row r="53" ht="15" customHeight="1"/>
    <row r="54" ht="15" customHeight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spans="1:2" hidden="1"/>
    <row r="178" spans="1:2" hidden="1"/>
    <row r="179" spans="1:2" hidden="1"/>
    <row r="180" spans="1:2" hidden="1"/>
    <row r="181" spans="1:2" hidden="1"/>
    <row r="182" spans="1:2" hidden="1"/>
    <row r="183" spans="1:2" hidden="1"/>
    <row r="184" spans="1:2" hidden="1"/>
    <row r="185" spans="1:2" hidden="1"/>
    <row r="186" spans="1:2" hidden="1">
      <c r="A186" s="3"/>
      <c r="B186" s="1"/>
    </row>
    <row r="187" spans="1:2" hidden="1"/>
    <row r="188" spans="1:2" hidden="1"/>
    <row r="189" spans="1:2" hidden="1"/>
  </sheetData>
  <mergeCells count="14">
    <mergeCell ref="EO2:EY3"/>
    <mergeCell ref="CW2:DG3"/>
    <mergeCell ref="CL2:CV3"/>
    <mergeCell ref="C2:N3"/>
    <mergeCell ref="AI2:AS3"/>
    <mergeCell ref="AT2:BD3"/>
    <mergeCell ref="BE2:BO3"/>
    <mergeCell ref="X2:AH3"/>
    <mergeCell ref="CA2:CK3"/>
    <mergeCell ref="BP2:BZ3"/>
    <mergeCell ref="DH2:DR3"/>
    <mergeCell ref="DS2:EC3"/>
    <mergeCell ref="ED2:EN3"/>
    <mergeCell ref="O2:W3"/>
  </mergeCells>
  <conditionalFormatting sqref="AG5:AH15">
    <cfRule type="cellIs" dxfId="376" priority="12" operator="greaterThanOrEqual">
      <formula>0.15</formula>
    </cfRule>
  </conditionalFormatting>
  <conditionalFormatting sqref="AR5:AS15">
    <cfRule type="cellIs" dxfId="375" priority="11" operator="greaterThanOrEqual">
      <formula>0.15</formula>
    </cfRule>
  </conditionalFormatting>
  <conditionalFormatting sqref="BC5:BD15">
    <cfRule type="cellIs" dxfId="374" priority="10" operator="greaterThanOrEqual">
      <formula>0.15</formula>
    </cfRule>
  </conditionalFormatting>
  <conditionalFormatting sqref="BN5:BO15">
    <cfRule type="cellIs" dxfId="373" priority="9" operator="greaterThanOrEqual">
      <formula>0.15</formula>
    </cfRule>
  </conditionalFormatting>
  <conditionalFormatting sqref="BY5:BZ15">
    <cfRule type="cellIs" dxfId="372" priority="8" operator="greaterThanOrEqual">
      <formula>0.15</formula>
    </cfRule>
  </conditionalFormatting>
  <conditionalFormatting sqref="CJ5:CK15">
    <cfRule type="cellIs" dxfId="371" priority="7" operator="greaterThanOrEqual">
      <formula>0.15</formula>
    </cfRule>
  </conditionalFormatting>
  <conditionalFormatting sqref="CU5:CV15">
    <cfRule type="cellIs" dxfId="370" priority="6" operator="greaterThanOrEqual">
      <formula>0.15</formula>
    </cfRule>
  </conditionalFormatting>
  <conditionalFormatting sqref="DF5:DG15">
    <cfRule type="cellIs" dxfId="369" priority="5" operator="greaterThanOrEqual">
      <formula>0.15</formula>
    </cfRule>
  </conditionalFormatting>
  <conditionalFormatting sqref="DQ5:DR15">
    <cfRule type="cellIs" dxfId="368" priority="4" operator="greaterThanOrEqual">
      <formula>0.15</formula>
    </cfRule>
  </conditionalFormatting>
  <conditionalFormatting sqref="EB5:EC15">
    <cfRule type="cellIs" dxfId="367" priority="3" operator="greaterThanOrEqual">
      <formula>0.15</formula>
    </cfRule>
  </conditionalFormatting>
  <conditionalFormatting sqref="EM5:EN15">
    <cfRule type="cellIs" dxfId="366" priority="2" operator="greaterThanOrEqual">
      <formula>0.15</formula>
    </cfRule>
  </conditionalFormatting>
  <conditionalFormatting sqref="EX5:EY15">
    <cfRule type="cellIs" dxfId="365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5296-68C0-4420-B518-59569B0BC3B2}">
  <dimension ref="A1:FA183"/>
  <sheetViews>
    <sheetView showGridLines="0" workbookViewId="0">
      <pane xSplit="3" topLeftCell="AS3" activePane="topRight" state="frozen"/>
      <selection pane="topRight" activeCell="AS20" sqref="AS20"/>
    </sheetView>
  </sheetViews>
  <sheetFormatPr defaultColWidth="0" defaultRowHeight="15" customHeight="1" zeroHeight="1"/>
  <cols>
    <col min="1" max="1" width="42.7109375" style="2" customWidth="1"/>
    <col min="2" max="2" width="9.140625" customWidth="1"/>
    <col min="3" max="3" width="66.7109375" bestFit="1" customWidth="1"/>
    <col min="4" max="4" width="19.7109375" bestFit="1" customWidth="1"/>
    <col min="5" max="5" width="12.42578125" customWidth="1"/>
    <col min="6" max="6" width="24.7109375" bestFit="1" customWidth="1"/>
    <col min="7" max="7" width="24.7109375" customWidth="1"/>
    <col min="8" max="8" width="78.5703125" bestFit="1" customWidth="1"/>
    <col min="9" max="9" width="25.28515625" customWidth="1"/>
    <col min="10" max="11" width="18.28515625" bestFit="1" customWidth="1"/>
    <col min="12" max="12" width="0.28515625" customWidth="1"/>
    <col min="13" max="13" width="29.85546875" hidden="1" customWidth="1"/>
    <col min="14" max="14" width="20.140625" customWidth="1"/>
    <col min="15" max="15" width="30" bestFit="1" customWidth="1"/>
    <col min="16" max="16" width="24.7109375" style="355" bestFit="1" customWidth="1"/>
    <col min="17" max="22" width="24.7109375" hidden="1" customWidth="1"/>
    <col min="23" max="23" width="30.28515625" hidden="1" customWidth="1"/>
    <col min="24" max="25" width="24.7109375" hidden="1" customWidth="1"/>
    <col min="26" max="26" width="24.7109375" customWidth="1"/>
    <col min="27" max="27" width="24.7109375" bestFit="1" customWidth="1"/>
    <col min="28" max="28" width="16.5703125" customWidth="1"/>
    <col min="29" max="29" width="19.42578125" bestFit="1" customWidth="1"/>
    <col min="30" max="30" width="19.7109375" bestFit="1" customWidth="1"/>
    <col min="31" max="31" width="19.7109375" customWidth="1"/>
    <col min="32" max="32" width="24.7109375" bestFit="1" customWidth="1"/>
    <col min="33" max="33" width="21.85546875" customWidth="1"/>
    <col min="34" max="34" width="19.7109375" customWidth="1"/>
    <col min="35" max="35" width="23.140625" bestFit="1" customWidth="1"/>
    <col min="36" max="36" width="24.140625" bestFit="1" customWidth="1"/>
    <col min="37" max="37" width="24.140625" customWidth="1"/>
    <col min="38" max="38" width="24.7109375" bestFit="1" customWidth="1"/>
    <col min="39" max="39" width="16.5703125" customWidth="1"/>
    <col min="40" max="40" width="19.42578125" style="37" bestFit="1" customWidth="1"/>
    <col min="41" max="41" width="19.7109375" bestFit="1" customWidth="1"/>
    <col min="42" max="42" width="19.7109375" style="352" customWidth="1"/>
    <col min="43" max="43" width="24.7109375" bestFit="1" customWidth="1"/>
    <col min="44" max="44" width="21.85546875" customWidth="1"/>
    <col min="45" max="45" width="19.7109375" customWidth="1"/>
    <col min="46" max="46" width="23.140625" bestFit="1" customWidth="1"/>
    <col min="47" max="47" width="24.140625" bestFit="1" customWidth="1"/>
    <col min="48" max="48" width="24.140625" style="37" customWidth="1"/>
    <col min="49" max="49" width="24.7109375" style="37" bestFit="1" customWidth="1"/>
    <col min="50" max="50" width="16.5703125" style="37" customWidth="1"/>
    <col min="51" max="51" width="19.42578125" style="37" bestFit="1" customWidth="1"/>
    <col min="52" max="52" width="19.7109375" bestFit="1" customWidth="1"/>
    <col min="53" max="53" width="19.7109375" style="352" customWidth="1"/>
    <col min="54" max="54" width="24.7109375" bestFit="1" customWidth="1"/>
    <col min="55" max="55" width="21.85546875" customWidth="1"/>
    <col min="56" max="56" width="19.7109375" customWidth="1"/>
    <col min="57" max="57" width="23.140625" bestFit="1" customWidth="1"/>
    <col min="58" max="58" width="24.140625" bestFit="1" customWidth="1"/>
    <col min="59" max="59" width="24.140625" customWidth="1"/>
    <col min="60" max="60" width="24.7109375" bestFit="1" customWidth="1"/>
    <col min="61" max="61" width="16.5703125" customWidth="1"/>
    <col min="62" max="62" width="19.42578125" bestFit="1" customWidth="1"/>
    <col min="63" max="63" width="19.7109375" bestFit="1" customWidth="1"/>
    <col min="64" max="65" width="19.7109375" customWidth="1"/>
    <col min="66" max="66" width="23" bestFit="1" customWidth="1"/>
    <col min="67" max="67" width="19.7109375" customWidth="1"/>
    <col min="68" max="68" width="23.140625" bestFit="1" customWidth="1"/>
    <col min="69" max="69" width="24.140625" bestFit="1" customWidth="1"/>
    <col min="70" max="70" width="24.140625" customWidth="1"/>
    <col min="71" max="71" width="24.7109375" bestFit="1" customWidth="1"/>
    <col min="72" max="72" width="16.5703125" customWidth="1"/>
    <col min="73" max="73" width="19.42578125" bestFit="1" customWidth="1"/>
    <col min="74" max="74" width="19.7109375" bestFit="1" customWidth="1"/>
    <col min="75" max="76" width="19.7109375" customWidth="1"/>
    <col min="77" max="77" width="21.85546875" customWidth="1"/>
    <col min="78" max="78" width="19.7109375" customWidth="1"/>
    <col min="79" max="79" width="23.140625" customWidth="1"/>
    <col min="80" max="81" width="24.140625" customWidth="1"/>
    <col min="82" max="82" width="24.7109375" bestFit="1" customWidth="1"/>
    <col min="83" max="83" width="16.5703125" customWidth="1"/>
    <col min="84" max="84" width="19.42578125" bestFit="1" customWidth="1"/>
    <col min="85" max="85" width="19.7109375" bestFit="1" customWidth="1"/>
    <col min="86" max="87" width="19.7109375" customWidth="1"/>
    <col min="88" max="88" width="21.85546875" customWidth="1"/>
    <col min="89" max="89" width="19.7109375" customWidth="1"/>
    <col min="90" max="90" width="23.140625" bestFit="1" customWidth="1"/>
    <col min="91" max="91" width="24.140625" bestFit="1" customWidth="1"/>
    <col min="92" max="92" width="24.140625" customWidth="1"/>
    <col min="93" max="93" width="24.7109375" bestFit="1" customWidth="1"/>
    <col min="94" max="94" width="16.5703125" customWidth="1"/>
    <col min="95" max="95" width="19.42578125" bestFit="1" customWidth="1"/>
    <col min="96" max="96" width="19.7109375" bestFit="1" customWidth="1"/>
    <col min="97" max="98" width="19.7109375" customWidth="1"/>
    <col min="99" max="99" width="21.85546875" customWidth="1"/>
    <col min="100" max="100" width="19.7109375" customWidth="1"/>
    <col min="101" max="101" width="23.140625" bestFit="1" customWidth="1"/>
    <col min="102" max="102" width="24.140625" bestFit="1" customWidth="1"/>
    <col min="103" max="103" width="24.140625" customWidth="1"/>
    <col min="104" max="104" width="24.7109375" bestFit="1" customWidth="1"/>
    <col min="105" max="105" width="16.5703125" customWidth="1"/>
    <col min="106" max="106" width="19.42578125" bestFit="1" customWidth="1"/>
    <col min="107" max="107" width="19.7109375" bestFit="1" customWidth="1"/>
    <col min="108" max="109" width="19.7109375" customWidth="1"/>
    <col min="110" max="110" width="21.85546875" customWidth="1"/>
    <col min="111" max="111" width="19.7109375" customWidth="1"/>
    <col min="112" max="112" width="23.140625" bestFit="1" customWidth="1"/>
    <col min="113" max="113" width="24.140625" bestFit="1" customWidth="1"/>
    <col min="114" max="114" width="24.140625" customWidth="1"/>
    <col min="115" max="115" width="24.7109375" bestFit="1" customWidth="1"/>
    <col min="116" max="116" width="16.5703125" customWidth="1"/>
    <col min="117" max="117" width="19.42578125" bestFit="1" customWidth="1"/>
    <col min="118" max="118" width="19.7109375" bestFit="1" customWidth="1"/>
    <col min="119" max="120" width="19.7109375" customWidth="1"/>
    <col min="121" max="121" width="21.85546875" customWidth="1"/>
    <col min="122" max="122" width="19.7109375" customWidth="1"/>
    <col min="123" max="123" width="23.140625" bestFit="1" customWidth="1"/>
    <col min="124" max="124" width="24.140625" bestFit="1" customWidth="1"/>
    <col min="125" max="125" width="24.140625" customWidth="1"/>
    <col min="126" max="126" width="24.7109375" bestFit="1" customWidth="1"/>
    <col min="127" max="127" width="17.5703125" customWidth="1"/>
    <col min="128" max="128" width="20.5703125" bestFit="1" customWidth="1"/>
    <col min="129" max="129" width="19.7109375" bestFit="1" customWidth="1"/>
    <col min="130" max="131" width="19.7109375" customWidth="1"/>
    <col min="132" max="132" width="23" customWidth="1"/>
    <col min="133" max="133" width="19.7109375" customWidth="1"/>
    <col min="134" max="134" width="24.28515625" bestFit="1" customWidth="1"/>
    <col min="135" max="135" width="25.140625" bestFit="1" customWidth="1"/>
    <col min="136" max="136" width="25.140625" customWidth="1"/>
    <col min="137" max="137" width="14.140625" bestFit="1" customWidth="1"/>
    <col min="138" max="138" width="17.5703125" customWidth="1"/>
    <col min="139" max="139" width="20.5703125" bestFit="1" customWidth="1"/>
    <col min="140" max="140" width="19.7109375" bestFit="1" customWidth="1"/>
    <col min="141" max="142" width="19.7109375" customWidth="1"/>
    <col min="143" max="143" width="23" customWidth="1"/>
    <col min="144" max="144" width="19.7109375" customWidth="1"/>
    <col min="145" max="145" width="24.28515625" bestFit="1" customWidth="1"/>
    <col min="146" max="146" width="25.140625" bestFit="1" customWidth="1"/>
    <col min="147" max="147" width="25.140625" customWidth="1"/>
    <col min="148" max="148" width="14.140625" bestFit="1" customWidth="1"/>
    <col min="149" max="149" width="17.5703125" customWidth="1"/>
    <col min="150" max="150" width="20.5703125" bestFit="1" customWidth="1"/>
    <col min="151" max="151" width="19.7109375" bestFit="1" customWidth="1"/>
    <col min="152" max="153" width="19.7109375" customWidth="1"/>
    <col min="154" max="154" width="23" bestFit="1" customWidth="1"/>
    <col min="155" max="155" width="19.7109375" customWidth="1"/>
    <col min="156" max="156" width="24.28515625" bestFit="1" customWidth="1"/>
    <col min="157" max="157" width="25.140625" bestFit="1" customWidth="1"/>
    <col min="158" max="159" width="9.140625" customWidth="1"/>
  </cols>
  <sheetData>
    <row r="1" spans="1:157"/>
    <row r="2" spans="1:157" ht="15" customHeight="1">
      <c r="C2" s="1204" t="s">
        <v>0</v>
      </c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45" t="s">
        <v>675</v>
      </c>
      <c r="R2" s="1246"/>
      <c r="S2" s="1246"/>
      <c r="T2" s="1246"/>
      <c r="U2" s="1246"/>
      <c r="V2" s="1246"/>
      <c r="W2" s="1246"/>
      <c r="X2" s="1246"/>
      <c r="Y2" s="1246"/>
      <c r="Z2" s="1219" t="s">
        <v>2</v>
      </c>
      <c r="AA2" s="1220"/>
      <c r="AB2" s="1220"/>
      <c r="AC2" s="1220"/>
      <c r="AD2" s="1220"/>
      <c r="AE2" s="1220"/>
      <c r="AF2" s="1220"/>
      <c r="AG2" s="1220"/>
      <c r="AH2" s="1220"/>
      <c r="AI2" s="1220"/>
      <c r="AJ2" s="1220"/>
      <c r="AK2" s="1244" t="s">
        <v>3</v>
      </c>
      <c r="AL2" s="1244"/>
      <c r="AM2" s="1244"/>
      <c r="AN2" s="1244"/>
      <c r="AO2" s="1244"/>
      <c r="AP2" s="1244"/>
      <c r="AQ2" s="1244"/>
      <c r="AR2" s="1244"/>
      <c r="AS2" s="1244"/>
      <c r="AT2" s="1244"/>
      <c r="AU2" s="1244"/>
      <c r="AV2" s="1205" t="s">
        <v>4</v>
      </c>
      <c r="AW2" s="1205"/>
      <c r="AX2" s="1205"/>
      <c r="AY2" s="1205"/>
      <c r="AZ2" s="1205"/>
      <c r="BA2" s="1205"/>
      <c r="BB2" s="1205"/>
      <c r="BC2" s="1205"/>
      <c r="BD2" s="1205"/>
      <c r="BE2" s="1205"/>
      <c r="BF2" s="1205"/>
      <c r="BG2" s="1208" t="s">
        <v>5</v>
      </c>
      <c r="BH2" s="1208"/>
      <c r="BI2" s="1208"/>
      <c r="BJ2" s="1208"/>
      <c r="BK2" s="1208"/>
      <c r="BL2" s="1208"/>
      <c r="BM2" s="1208"/>
      <c r="BN2" s="1208"/>
      <c r="BO2" s="1208"/>
      <c r="BP2" s="1208"/>
      <c r="BQ2" s="1208"/>
      <c r="BR2" s="1205" t="s">
        <v>6</v>
      </c>
      <c r="BS2" s="1205"/>
      <c r="BT2" s="1205"/>
      <c r="BU2" s="1205"/>
      <c r="BV2" s="1205"/>
      <c r="BW2" s="1205"/>
      <c r="BX2" s="1205"/>
      <c r="BY2" s="1205"/>
      <c r="BZ2" s="1205"/>
      <c r="CA2" s="1205"/>
      <c r="CB2" s="1205"/>
      <c r="CC2" s="1208" t="s">
        <v>7</v>
      </c>
      <c r="CD2" s="1208"/>
      <c r="CE2" s="1208"/>
      <c r="CF2" s="1208"/>
      <c r="CG2" s="1208"/>
      <c r="CH2" s="1208"/>
      <c r="CI2" s="1208"/>
      <c r="CJ2" s="1208"/>
      <c r="CK2" s="1208"/>
      <c r="CL2" s="1208"/>
      <c r="CM2" s="1208"/>
      <c r="CN2" s="1205" t="s">
        <v>8</v>
      </c>
      <c r="CO2" s="1205"/>
      <c r="CP2" s="1205"/>
      <c r="CQ2" s="1205"/>
      <c r="CR2" s="1205"/>
      <c r="CS2" s="1205"/>
      <c r="CT2" s="1205"/>
      <c r="CU2" s="1205"/>
      <c r="CV2" s="1205"/>
      <c r="CW2" s="1205"/>
      <c r="CX2" s="1205"/>
      <c r="CY2" s="1208" t="s">
        <v>9</v>
      </c>
      <c r="CZ2" s="1208"/>
      <c r="DA2" s="1208"/>
      <c r="DB2" s="1208"/>
      <c r="DC2" s="1208"/>
      <c r="DD2" s="1208"/>
      <c r="DE2" s="1208"/>
      <c r="DF2" s="1208"/>
      <c r="DG2" s="1208"/>
      <c r="DH2" s="1208"/>
      <c r="DI2" s="1208"/>
      <c r="DJ2" s="1205" t="s">
        <v>10</v>
      </c>
      <c r="DK2" s="1205"/>
      <c r="DL2" s="1205"/>
      <c r="DM2" s="1205"/>
      <c r="DN2" s="1205"/>
      <c r="DO2" s="1205"/>
      <c r="DP2" s="1205"/>
      <c r="DQ2" s="1205"/>
      <c r="DR2" s="1205"/>
      <c r="DS2" s="1205"/>
      <c r="DT2" s="1205"/>
      <c r="DU2" s="479"/>
      <c r="DV2" s="1208" t="s">
        <v>11</v>
      </c>
      <c r="DW2" s="1242"/>
      <c r="DX2" s="1242"/>
      <c r="DY2" s="1242"/>
      <c r="DZ2" s="1242"/>
      <c r="EA2" s="1242"/>
      <c r="EB2" s="1242"/>
      <c r="EC2" s="1242"/>
      <c r="ED2" s="1242"/>
      <c r="EE2" s="1242"/>
      <c r="EF2" s="1205" t="s">
        <v>12</v>
      </c>
      <c r="EG2" s="1205"/>
      <c r="EH2" s="1205"/>
      <c r="EI2" s="1205"/>
      <c r="EJ2" s="1205"/>
      <c r="EK2" s="1205"/>
      <c r="EL2" s="1205"/>
      <c r="EM2" s="1205"/>
      <c r="EN2" s="1205"/>
      <c r="EO2" s="1205"/>
      <c r="EP2" s="1205"/>
      <c r="EQ2" s="1208" t="s">
        <v>1</v>
      </c>
      <c r="ER2" s="1208"/>
      <c r="ES2" s="1208"/>
      <c r="ET2" s="1208"/>
      <c r="EU2" s="1208"/>
      <c r="EV2" s="1208"/>
      <c r="EW2" s="1208"/>
      <c r="EX2" s="1208"/>
      <c r="EY2" s="1208"/>
      <c r="EZ2" s="1208"/>
      <c r="FA2" s="1208"/>
    </row>
    <row r="3" spans="1:157" ht="15" customHeight="1"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45"/>
      <c r="R3" s="1246"/>
      <c r="S3" s="1246"/>
      <c r="T3" s="1246"/>
      <c r="U3" s="1246"/>
      <c r="V3" s="1246"/>
      <c r="W3" s="1246"/>
      <c r="X3" s="1246"/>
      <c r="Y3" s="1246"/>
      <c r="Z3" s="1219"/>
      <c r="AA3" s="1220"/>
      <c r="AB3" s="1220"/>
      <c r="AC3" s="1220"/>
      <c r="AD3" s="1220"/>
      <c r="AE3" s="1220"/>
      <c r="AF3" s="1220"/>
      <c r="AG3" s="1220"/>
      <c r="AH3" s="1220"/>
      <c r="AI3" s="1220"/>
      <c r="AJ3" s="1220"/>
      <c r="AK3" s="1244"/>
      <c r="AL3" s="1244"/>
      <c r="AM3" s="1244"/>
      <c r="AN3" s="1244"/>
      <c r="AO3" s="1244"/>
      <c r="AP3" s="1244"/>
      <c r="AQ3" s="1244"/>
      <c r="AR3" s="1244"/>
      <c r="AS3" s="1244"/>
      <c r="AT3" s="1244"/>
      <c r="AU3" s="1244"/>
      <c r="AV3" s="1206"/>
      <c r="AW3" s="1206"/>
      <c r="AX3" s="1206"/>
      <c r="AY3" s="1206"/>
      <c r="AZ3" s="1206"/>
      <c r="BA3" s="1206"/>
      <c r="BB3" s="1206"/>
      <c r="BC3" s="1206"/>
      <c r="BD3" s="1206"/>
      <c r="BE3" s="1206"/>
      <c r="BF3" s="1206"/>
      <c r="BG3" s="1209"/>
      <c r="BH3" s="1209"/>
      <c r="BI3" s="1209"/>
      <c r="BJ3" s="1209"/>
      <c r="BK3" s="1209"/>
      <c r="BL3" s="1209"/>
      <c r="BM3" s="1209"/>
      <c r="BN3" s="1209"/>
      <c r="BO3" s="1209"/>
      <c r="BP3" s="1209"/>
      <c r="BQ3" s="1209"/>
      <c r="BR3" s="1206"/>
      <c r="BS3" s="1206"/>
      <c r="BT3" s="1206"/>
      <c r="BU3" s="1206"/>
      <c r="BV3" s="1206"/>
      <c r="BW3" s="1206"/>
      <c r="BX3" s="1206"/>
      <c r="BY3" s="1206"/>
      <c r="BZ3" s="1206"/>
      <c r="CA3" s="1206"/>
      <c r="CB3" s="1206"/>
      <c r="CC3" s="1209"/>
      <c r="CD3" s="1209"/>
      <c r="CE3" s="1209"/>
      <c r="CF3" s="1209"/>
      <c r="CG3" s="1209"/>
      <c r="CH3" s="1209"/>
      <c r="CI3" s="1209"/>
      <c r="CJ3" s="1209"/>
      <c r="CK3" s="1209"/>
      <c r="CL3" s="1209"/>
      <c r="CM3" s="1209"/>
      <c r="CN3" s="1206"/>
      <c r="CO3" s="1206"/>
      <c r="CP3" s="1206"/>
      <c r="CQ3" s="1206"/>
      <c r="CR3" s="1206"/>
      <c r="CS3" s="1206"/>
      <c r="CT3" s="1206"/>
      <c r="CU3" s="1206"/>
      <c r="CV3" s="1206"/>
      <c r="CW3" s="1206"/>
      <c r="CX3" s="1206"/>
      <c r="CY3" s="1209"/>
      <c r="CZ3" s="1209"/>
      <c r="DA3" s="1209"/>
      <c r="DB3" s="1209"/>
      <c r="DC3" s="1209"/>
      <c r="DD3" s="1209"/>
      <c r="DE3" s="1209"/>
      <c r="DF3" s="1209"/>
      <c r="DG3" s="1209"/>
      <c r="DH3" s="1209"/>
      <c r="DI3" s="1209"/>
      <c r="DJ3" s="1206"/>
      <c r="DK3" s="1206"/>
      <c r="DL3" s="1206"/>
      <c r="DM3" s="1206"/>
      <c r="DN3" s="1206"/>
      <c r="DO3" s="1206"/>
      <c r="DP3" s="1206"/>
      <c r="DQ3" s="1206"/>
      <c r="DR3" s="1206"/>
      <c r="DS3" s="1206"/>
      <c r="DT3" s="1206"/>
      <c r="DU3" s="478"/>
      <c r="DV3" s="1243"/>
      <c r="DW3" s="1243"/>
      <c r="DX3" s="1243"/>
      <c r="DY3" s="1243"/>
      <c r="DZ3" s="1243"/>
      <c r="EA3" s="1243"/>
      <c r="EB3" s="1243"/>
      <c r="EC3" s="1243"/>
      <c r="ED3" s="1243"/>
      <c r="EE3" s="1243"/>
      <c r="EF3" s="1206"/>
      <c r="EG3" s="1206"/>
      <c r="EH3" s="1206"/>
      <c r="EI3" s="1206"/>
      <c r="EJ3" s="1206"/>
      <c r="EK3" s="1206"/>
      <c r="EL3" s="1206"/>
      <c r="EM3" s="1206"/>
      <c r="EN3" s="1206"/>
      <c r="EO3" s="1206"/>
      <c r="EP3" s="1206"/>
      <c r="EQ3" s="1209"/>
      <c r="ER3" s="1209"/>
      <c r="ES3" s="1209"/>
      <c r="ET3" s="1209"/>
      <c r="EU3" s="1209"/>
      <c r="EV3" s="1209"/>
      <c r="EW3" s="1209"/>
      <c r="EX3" s="1209"/>
      <c r="EY3" s="1209"/>
      <c r="EZ3" s="1209"/>
      <c r="FA3" s="1209"/>
    </row>
    <row r="4" spans="1:157" s="8" customFormat="1" ht="24.75" customHeight="1">
      <c r="A4" s="7"/>
      <c r="C4" s="480" t="s">
        <v>1484</v>
      </c>
      <c r="D4" s="12" t="s">
        <v>14</v>
      </c>
      <c r="E4" s="12" t="s">
        <v>15</v>
      </c>
      <c r="F4" s="12" t="s">
        <v>16</v>
      </c>
      <c r="G4" s="12" t="s">
        <v>1485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 t="s">
        <v>23</v>
      </c>
      <c r="N4" s="11" t="s">
        <v>24</v>
      </c>
      <c r="O4" s="19" t="s">
        <v>25</v>
      </c>
      <c r="P4" s="18" t="s">
        <v>677</v>
      </c>
      <c r="Q4" s="866" t="s">
        <v>678</v>
      </c>
      <c r="R4" s="866" t="s">
        <v>679</v>
      </c>
      <c r="S4" s="866" t="s">
        <v>1430</v>
      </c>
      <c r="T4" s="866" t="s">
        <v>681</v>
      </c>
      <c r="U4" s="866" t="s">
        <v>682</v>
      </c>
      <c r="V4" s="866" t="s">
        <v>31</v>
      </c>
      <c r="W4" s="866" t="s">
        <v>683</v>
      </c>
      <c r="X4" s="866" t="s">
        <v>684</v>
      </c>
      <c r="Y4" s="866" t="s">
        <v>685</v>
      </c>
      <c r="Z4" s="33" t="s">
        <v>34</v>
      </c>
      <c r="AA4" s="20" t="s">
        <v>35</v>
      </c>
      <c r="AB4" s="20" t="s">
        <v>36</v>
      </c>
      <c r="AC4" s="21" t="s">
        <v>37</v>
      </c>
      <c r="AD4" s="22" t="s">
        <v>38</v>
      </c>
      <c r="AE4" s="22" t="s">
        <v>39</v>
      </c>
      <c r="AF4" s="22" t="s">
        <v>40</v>
      </c>
      <c r="AG4" s="22" t="s">
        <v>41</v>
      </c>
      <c r="AH4" s="22" t="s">
        <v>42</v>
      </c>
      <c r="AI4" s="22" t="s">
        <v>43</v>
      </c>
      <c r="AJ4" s="22" t="s">
        <v>44</v>
      </c>
      <c r="AK4" s="1121" t="s">
        <v>45</v>
      </c>
      <c r="AL4" s="1122" t="s">
        <v>46</v>
      </c>
      <c r="AM4" s="1123" t="s">
        <v>47</v>
      </c>
      <c r="AN4" s="370" t="s">
        <v>48</v>
      </c>
      <c r="AO4" s="1124" t="s">
        <v>49</v>
      </c>
      <c r="AP4" s="1125" t="s">
        <v>50</v>
      </c>
      <c r="AQ4" s="1124" t="s">
        <v>51</v>
      </c>
      <c r="AR4" s="1124" t="s">
        <v>686</v>
      </c>
      <c r="AS4" s="1124" t="s">
        <v>687</v>
      </c>
      <c r="AT4" s="1126" t="s">
        <v>54</v>
      </c>
      <c r="AU4" s="1126" t="s">
        <v>55</v>
      </c>
      <c r="AV4" s="1131" t="s">
        <v>56</v>
      </c>
      <c r="AW4" s="936" t="s">
        <v>688</v>
      </c>
      <c r="AX4" s="936" t="s">
        <v>58</v>
      </c>
      <c r="AY4" s="936" t="s">
        <v>59</v>
      </c>
      <c r="AZ4" s="29" t="s">
        <v>60</v>
      </c>
      <c r="BA4" s="1099" t="s">
        <v>61</v>
      </c>
      <c r="BB4" s="29" t="s">
        <v>62</v>
      </c>
      <c r="BC4" s="29" t="s">
        <v>689</v>
      </c>
      <c r="BD4" s="29" t="s">
        <v>690</v>
      </c>
      <c r="BE4" s="29" t="s">
        <v>65</v>
      </c>
      <c r="BF4" s="29" t="s">
        <v>66</v>
      </c>
      <c r="BG4" s="32" t="s">
        <v>67</v>
      </c>
      <c r="BH4" s="30" t="s">
        <v>68</v>
      </c>
      <c r="BI4" s="30" t="s">
        <v>69</v>
      </c>
      <c r="BJ4" s="31" t="s">
        <v>70</v>
      </c>
      <c r="BK4" s="32" t="s">
        <v>71</v>
      </c>
      <c r="BL4" s="32" t="s">
        <v>72</v>
      </c>
      <c r="BM4" s="32" t="s">
        <v>73</v>
      </c>
      <c r="BN4" s="32" t="s">
        <v>691</v>
      </c>
      <c r="BO4" s="32" t="s">
        <v>692</v>
      </c>
      <c r="BP4" s="32" t="s">
        <v>76</v>
      </c>
      <c r="BQ4" s="32" t="s">
        <v>77</v>
      </c>
      <c r="BR4" s="29" t="s">
        <v>693</v>
      </c>
      <c r="BS4" s="27" t="s">
        <v>694</v>
      </c>
      <c r="BT4" s="27" t="s">
        <v>695</v>
      </c>
      <c r="BU4" s="28" t="s">
        <v>696</v>
      </c>
      <c r="BV4" s="29" t="s">
        <v>697</v>
      </c>
      <c r="BW4" s="29" t="s">
        <v>698</v>
      </c>
      <c r="BX4" s="29" t="s">
        <v>699</v>
      </c>
      <c r="BY4" s="29" t="s">
        <v>700</v>
      </c>
      <c r="BZ4" s="29" t="s">
        <v>701</v>
      </c>
      <c r="CA4" s="29" t="s">
        <v>702</v>
      </c>
      <c r="CB4" s="29" t="s">
        <v>703</v>
      </c>
      <c r="CC4" s="32" t="s">
        <v>704</v>
      </c>
      <c r="CD4" s="30" t="s">
        <v>705</v>
      </c>
      <c r="CE4" s="30" t="s">
        <v>706</v>
      </c>
      <c r="CF4" s="31" t="s">
        <v>707</v>
      </c>
      <c r="CG4" s="32" t="s">
        <v>708</v>
      </c>
      <c r="CH4" s="32" t="s">
        <v>709</v>
      </c>
      <c r="CI4" s="32" t="s">
        <v>710</v>
      </c>
      <c r="CJ4" s="32" t="s">
        <v>711</v>
      </c>
      <c r="CK4" s="32" t="s">
        <v>712</v>
      </c>
      <c r="CL4" s="32" t="s">
        <v>713</v>
      </c>
      <c r="CM4" s="32" t="s">
        <v>714</v>
      </c>
      <c r="CN4" s="29" t="s">
        <v>715</v>
      </c>
      <c r="CO4" s="27" t="s">
        <v>716</v>
      </c>
      <c r="CP4" s="27" t="s">
        <v>717</v>
      </c>
      <c r="CQ4" s="28" t="s">
        <v>718</v>
      </c>
      <c r="CR4" s="33" t="s">
        <v>719</v>
      </c>
      <c r="CS4" s="29" t="s">
        <v>720</v>
      </c>
      <c r="CT4" s="29" t="s">
        <v>721</v>
      </c>
      <c r="CU4" s="29" t="s">
        <v>722</v>
      </c>
      <c r="CV4" s="29" t="s">
        <v>723</v>
      </c>
      <c r="CW4" s="29" t="s">
        <v>724</v>
      </c>
      <c r="CX4" s="29" t="s">
        <v>725</v>
      </c>
      <c r="CY4" s="32" t="s">
        <v>1486</v>
      </c>
      <c r="CZ4" s="30" t="s">
        <v>727</v>
      </c>
      <c r="DA4" s="30" t="s">
        <v>728</v>
      </c>
      <c r="DB4" s="31" t="s">
        <v>729</v>
      </c>
      <c r="DC4" s="32" t="s">
        <v>730</v>
      </c>
      <c r="DD4" s="32" t="s">
        <v>731</v>
      </c>
      <c r="DE4" s="32" t="s">
        <v>732</v>
      </c>
      <c r="DF4" s="32" t="s">
        <v>733</v>
      </c>
      <c r="DG4" s="32" t="s">
        <v>734</v>
      </c>
      <c r="DH4" s="32" t="s">
        <v>735</v>
      </c>
      <c r="DI4" s="32" t="s">
        <v>736</v>
      </c>
      <c r="DJ4" s="29" t="s">
        <v>737</v>
      </c>
      <c r="DK4" s="27" t="s">
        <v>738</v>
      </c>
      <c r="DL4" s="27" t="s">
        <v>739</v>
      </c>
      <c r="DM4" s="28" t="s">
        <v>740</v>
      </c>
      <c r="DN4" s="33" t="s">
        <v>741</v>
      </c>
      <c r="DO4" s="29" t="s">
        <v>742</v>
      </c>
      <c r="DP4" s="29" t="s">
        <v>743</v>
      </c>
      <c r="DQ4" s="29" t="s">
        <v>744</v>
      </c>
      <c r="DR4" s="29" t="s">
        <v>745</v>
      </c>
      <c r="DS4" s="29" t="s">
        <v>746</v>
      </c>
      <c r="DT4" s="29" t="s">
        <v>747</v>
      </c>
      <c r="DU4" s="32" t="s">
        <v>748</v>
      </c>
      <c r="DV4" s="30" t="s">
        <v>749</v>
      </c>
      <c r="DW4" s="30" t="s">
        <v>750</v>
      </c>
      <c r="DX4" s="31" t="s">
        <v>751</v>
      </c>
      <c r="DY4" s="35" t="s">
        <v>752</v>
      </c>
      <c r="DZ4" s="32" t="s">
        <v>753</v>
      </c>
      <c r="EA4" s="32" t="s">
        <v>754</v>
      </c>
      <c r="EB4" s="32" t="s">
        <v>755</v>
      </c>
      <c r="EC4" s="32" t="s">
        <v>756</v>
      </c>
      <c r="ED4" s="32" t="s">
        <v>757</v>
      </c>
      <c r="EE4" s="32" t="s">
        <v>758</v>
      </c>
      <c r="EF4" s="29" t="s">
        <v>759</v>
      </c>
      <c r="EG4" s="27" t="s">
        <v>760</v>
      </c>
      <c r="EH4" s="27" t="s">
        <v>761</v>
      </c>
      <c r="EI4" s="28" t="s">
        <v>762</v>
      </c>
      <c r="EJ4" s="29" t="s">
        <v>763</v>
      </c>
      <c r="EK4" s="29" t="s">
        <v>764</v>
      </c>
      <c r="EL4" s="29" t="s">
        <v>765</v>
      </c>
      <c r="EM4" s="29" t="s">
        <v>766</v>
      </c>
      <c r="EN4" s="29" t="s">
        <v>767</v>
      </c>
      <c r="EO4" s="29" t="s">
        <v>768</v>
      </c>
      <c r="EP4" s="29" t="s">
        <v>769</v>
      </c>
      <c r="EQ4" s="32" t="s">
        <v>770</v>
      </c>
      <c r="ER4" s="23" t="s">
        <v>26</v>
      </c>
      <c r="ES4" s="23" t="s">
        <v>27</v>
      </c>
      <c r="ET4" s="24" t="s">
        <v>28</v>
      </c>
      <c r="EU4" s="25" t="s">
        <v>29</v>
      </c>
      <c r="EV4" s="25" t="s">
        <v>771</v>
      </c>
      <c r="EW4" s="25" t="s">
        <v>772</v>
      </c>
      <c r="EX4" s="25" t="s">
        <v>773</v>
      </c>
      <c r="EY4" s="25" t="s">
        <v>774</v>
      </c>
      <c r="EZ4" s="25" t="s">
        <v>775</v>
      </c>
      <c r="FA4" s="34" t="s">
        <v>776</v>
      </c>
    </row>
    <row r="5" spans="1:157">
      <c r="C5" s="470" t="s">
        <v>1487</v>
      </c>
      <c r="D5" s="47">
        <v>1450015</v>
      </c>
      <c r="E5" s="47">
        <v>474</v>
      </c>
      <c r="F5" s="47" t="s">
        <v>1488</v>
      </c>
      <c r="G5" s="47" t="str">
        <f>_xlfn.TEXTBEFORE(SUINT[[#This Row],[CONCESSIONÁRIA]], " ", 1)</f>
        <v>COPASA</v>
      </c>
      <c r="H5" s="47" t="s">
        <v>1412</v>
      </c>
      <c r="I5" s="47" t="s">
        <v>170</v>
      </c>
      <c r="J5" s="47">
        <v>10991581</v>
      </c>
      <c r="K5" s="47">
        <v>118087452</v>
      </c>
      <c r="L5" s="47"/>
      <c r="M5" s="47"/>
      <c r="N5" s="470">
        <v>21</v>
      </c>
      <c r="O5" s="155"/>
      <c r="P5" s="163" t="s">
        <v>1489</v>
      </c>
      <c r="Q5" s="461">
        <v>14973.42</v>
      </c>
      <c r="R5" s="461">
        <v>718.72</v>
      </c>
      <c r="S5" s="461"/>
      <c r="T5" s="461">
        <f t="shared" ref="T5:T21" si="0">(Q5-R5-S5)</f>
        <v>14254.7</v>
      </c>
      <c r="U5" s="147">
        <v>534</v>
      </c>
      <c r="V5" s="464">
        <v>46063</v>
      </c>
      <c r="W5" s="147" t="s">
        <v>1490</v>
      </c>
      <c r="X5" s="147"/>
      <c r="Y5" s="147"/>
      <c r="Z5" s="1095">
        <f t="shared" ref="Z5:Z21" si="1">AC5 + ABS(AA5) + ABS(AB5)</f>
        <v>56.28</v>
      </c>
      <c r="AA5" s="205">
        <v>2.7</v>
      </c>
      <c r="AB5" s="47"/>
      <c r="AC5" s="205">
        <v>53.58</v>
      </c>
      <c r="AD5" s="47">
        <v>0</v>
      </c>
      <c r="AE5" s="41">
        <v>46091</v>
      </c>
      <c r="AF5" s="47" t="s">
        <v>1491</v>
      </c>
      <c r="AG5" s="156" t="b">
        <v>1</v>
      </c>
      <c r="AH5" s="156" t="b">
        <v>1</v>
      </c>
      <c r="AI5" s="868">
        <f t="shared" ref="AI5:AI21" si="2">(AD5-U5)/U5</f>
        <v>-1</v>
      </c>
      <c r="AJ5" s="1127">
        <f t="shared" ref="AJ5:AJ21" si="3">(Z5-Q5)/Q5</f>
        <v>-0.99624133965386663</v>
      </c>
      <c r="AK5" s="205">
        <f>AN5 + ABS(AM5) + ABS(AL5)</f>
        <v>63.39</v>
      </c>
      <c r="AL5" s="47">
        <v>-3.04</v>
      </c>
      <c r="AM5" s="47">
        <v>0</v>
      </c>
      <c r="AN5" s="459">
        <v>60.35</v>
      </c>
      <c r="AO5" s="47">
        <v>0</v>
      </c>
      <c r="AP5" s="463">
        <v>46122</v>
      </c>
      <c r="AQ5" s="47" t="s">
        <v>1492</v>
      </c>
      <c r="AR5" s="156" t="b">
        <v>1</v>
      </c>
      <c r="AS5" s="156" t="b">
        <v>0</v>
      </c>
      <c r="AT5" s="47"/>
      <c r="AU5" s="47"/>
      <c r="AV5" s="1132">
        <f t="shared" ref="AV5:AV21" si="4">AY5 + ABS(AW5) + ABS(AX5)</f>
        <v>0</v>
      </c>
      <c r="AW5" s="459"/>
      <c r="AX5" s="459"/>
      <c r="AY5" s="459"/>
      <c r="AZ5" s="47"/>
      <c r="BA5" s="463">
        <v>46152</v>
      </c>
      <c r="BB5" s="47"/>
      <c r="BC5" s="156" t="b">
        <v>0</v>
      </c>
      <c r="BD5" s="156" t="b">
        <v>0</v>
      </c>
      <c r="BE5" s="47"/>
      <c r="BF5" s="47"/>
      <c r="BG5" s="205">
        <f t="shared" ref="BG5:BG21" si="5">BJ5 + ABS(BH5) + ABS(BI5)</f>
        <v>0</v>
      </c>
      <c r="BH5" s="47"/>
      <c r="BI5" s="47"/>
      <c r="BJ5" s="47"/>
      <c r="BK5" s="47"/>
      <c r="BL5" s="47"/>
      <c r="BM5" s="47"/>
      <c r="BN5" s="156" t="b">
        <v>0</v>
      </c>
      <c r="BO5" s="156" t="b">
        <v>0</v>
      </c>
      <c r="BP5" s="47"/>
      <c r="BQ5" s="47"/>
      <c r="BR5" s="205">
        <f t="shared" ref="BR5:BR21" si="6">BU5 + ABS(BS5) + ABS(BT5)</f>
        <v>0</v>
      </c>
      <c r="BS5" s="47"/>
      <c r="BT5" s="47"/>
      <c r="BU5" s="47"/>
      <c r="BV5" s="47"/>
      <c r="BW5" s="47"/>
      <c r="BX5" s="47"/>
      <c r="BY5" s="156" t="b">
        <v>0</v>
      </c>
      <c r="BZ5" s="156" t="b">
        <v>0</v>
      </c>
      <c r="CA5" s="47"/>
      <c r="CB5" s="47"/>
      <c r="CC5" s="205">
        <f t="shared" ref="CC5:CC21" si="7">CF5 + ABS(CD5) + ABS(CE5)</f>
        <v>0</v>
      </c>
      <c r="CD5" s="47"/>
      <c r="CE5" s="47"/>
      <c r="CF5" s="47"/>
      <c r="CG5" s="47"/>
      <c r="CH5" s="47"/>
      <c r="CI5" s="47"/>
      <c r="CJ5" s="156" t="b">
        <v>0</v>
      </c>
      <c r="CK5" s="156" t="b">
        <v>0</v>
      </c>
      <c r="CL5" s="47"/>
      <c r="CM5" s="47"/>
      <c r="CN5" s="205">
        <f t="shared" ref="CN5:CN21" si="8">CQ5 + ABS(CO5) + ABS(CP5)</f>
        <v>0</v>
      </c>
      <c r="CO5" s="47"/>
      <c r="CP5" s="47"/>
      <c r="CQ5" s="47"/>
      <c r="CR5" s="47"/>
      <c r="CS5" s="47"/>
      <c r="CT5" s="47"/>
      <c r="CU5" s="156" t="b">
        <v>0</v>
      </c>
      <c r="CV5" s="156" t="b">
        <v>0</v>
      </c>
      <c r="CW5" s="47"/>
      <c r="CX5" s="47"/>
      <c r="CY5" s="205">
        <f t="shared" ref="CY5:CY21" si="9">DB5 + ABS(CZ5) + ABS(DA5)</f>
        <v>0</v>
      </c>
      <c r="CZ5" s="47"/>
      <c r="DA5" s="47"/>
      <c r="DB5" s="47"/>
      <c r="DC5" s="47"/>
      <c r="DD5" s="47"/>
      <c r="DE5" s="47"/>
      <c r="DF5" s="156" t="b">
        <v>0</v>
      </c>
      <c r="DG5" s="156" t="b">
        <v>0</v>
      </c>
      <c r="DH5" s="47"/>
      <c r="DI5" s="47"/>
      <c r="DJ5" s="205">
        <f t="shared" ref="DJ5:DJ21" si="10">DM5 + ABS(DK5) + ABS(DL5)</f>
        <v>0</v>
      </c>
      <c r="DK5" s="47"/>
      <c r="DL5" s="47"/>
      <c r="DM5" s="47"/>
      <c r="DN5" s="47"/>
      <c r="DO5" s="47"/>
      <c r="DP5" s="47"/>
      <c r="DQ5" s="156" t="b">
        <v>0</v>
      </c>
      <c r="DR5" s="156" t="b">
        <v>0</v>
      </c>
      <c r="DS5" s="47"/>
      <c r="DT5" s="47"/>
      <c r="DU5" s="205">
        <f t="shared" ref="DU5:DU21" si="11">DX5 + ABS(DV5) + ABS(DW5)</f>
        <v>0</v>
      </c>
      <c r="DV5" s="47"/>
      <c r="DW5" s="47"/>
      <c r="DX5" s="47"/>
      <c r="DY5" s="47"/>
      <c r="DZ5" s="47"/>
      <c r="EA5" s="47"/>
      <c r="EB5" s="156" t="b">
        <v>0</v>
      </c>
      <c r="EC5" s="156" t="b">
        <v>0</v>
      </c>
      <c r="ED5" s="47"/>
      <c r="EE5" s="47"/>
      <c r="EF5" s="205">
        <f t="shared" ref="EF5:EF21" si="12">EI5 + ABS(EG5) + ABS(EH5)</f>
        <v>0</v>
      </c>
      <c r="EG5" s="47"/>
      <c r="EH5" s="47"/>
      <c r="EI5" s="47"/>
      <c r="EJ5" s="47"/>
      <c r="EK5" s="47"/>
      <c r="EL5" s="47"/>
      <c r="EM5" s="156" t="b">
        <v>0</v>
      </c>
      <c r="EN5" s="156" t="b">
        <v>0</v>
      </c>
      <c r="EO5" s="47"/>
      <c r="EP5" s="47"/>
      <c r="EQ5" s="205">
        <f t="shared" ref="EQ5:EQ21" si="13">ET5 + ABS(ER5) + ABS(ES5)</f>
        <v>0</v>
      </c>
      <c r="ER5" s="47"/>
      <c r="ES5" s="47"/>
      <c r="ET5" s="47"/>
      <c r="EU5" s="47"/>
      <c r="EV5" s="47"/>
      <c r="EW5" s="47"/>
      <c r="EX5" s="156" t="b">
        <v>0</v>
      </c>
      <c r="EY5" s="156" t="b">
        <v>0</v>
      </c>
      <c r="EZ5" s="47"/>
      <c r="FA5" s="47"/>
    </row>
    <row r="6" spans="1:157">
      <c r="C6" s="470" t="s">
        <v>1493</v>
      </c>
      <c r="D6" s="47">
        <v>1450015</v>
      </c>
      <c r="E6" s="47">
        <v>456</v>
      </c>
      <c r="F6" s="47" t="s">
        <v>1494</v>
      </c>
      <c r="G6" s="47" t="str">
        <f>_xlfn.TEXTBEFORE(SUINT[[#This Row],[CONCESSIONÁRIA]], " ", 1)</f>
        <v>COPASA</v>
      </c>
      <c r="H6" s="47" t="s">
        <v>1412</v>
      </c>
      <c r="I6" s="47" t="s">
        <v>170</v>
      </c>
      <c r="J6" s="47">
        <v>25920669</v>
      </c>
      <c r="K6" s="47">
        <v>118087452</v>
      </c>
      <c r="L6" s="47"/>
      <c r="M6" s="47"/>
      <c r="N6" s="470">
        <v>21</v>
      </c>
      <c r="O6" s="155"/>
      <c r="P6" s="163" t="s">
        <v>1495</v>
      </c>
      <c r="Q6" s="459">
        <v>18543.509999999998</v>
      </c>
      <c r="R6" s="459">
        <v>890.09</v>
      </c>
      <c r="S6" s="459"/>
      <c r="T6" s="459">
        <f t="shared" si="0"/>
        <v>17653.419999999998</v>
      </c>
      <c r="U6" s="47">
        <v>652</v>
      </c>
      <c r="V6" s="464">
        <v>46063</v>
      </c>
      <c r="W6" s="147" t="s">
        <v>1490</v>
      </c>
      <c r="X6" s="47"/>
      <c r="Y6" s="47"/>
      <c r="Z6" s="459">
        <f t="shared" si="1"/>
        <v>11705.88</v>
      </c>
      <c r="AA6" s="205">
        <v>561.88</v>
      </c>
      <c r="AB6" s="47"/>
      <c r="AC6" s="205">
        <v>11144</v>
      </c>
      <c r="AD6" s="47">
        <v>426</v>
      </c>
      <c r="AE6" s="182">
        <v>46091</v>
      </c>
      <c r="AF6" s="47" t="s">
        <v>1491</v>
      </c>
      <c r="AG6" s="156" t="b">
        <v>1</v>
      </c>
      <c r="AH6" s="156" t="b">
        <v>1</v>
      </c>
      <c r="AI6" s="868">
        <f t="shared" si="2"/>
        <v>-0.34662576687116564</v>
      </c>
      <c r="AJ6" s="1127">
        <f t="shared" si="3"/>
        <v>-0.36873439818027975</v>
      </c>
      <c r="AK6" s="205">
        <f>AN6 + ABS(AM6) + ABS(AL6)</f>
        <v>12721.060000000001</v>
      </c>
      <c r="AL6" s="47">
        <v>-610.61</v>
      </c>
      <c r="AM6" s="47">
        <v>0</v>
      </c>
      <c r="AN6" s="459">
        <v>12110.45</v>
      </c>
      <c r="AO6" s="47">
        <v>449</v>
      </c>
      <c r="AP6" s="463">
        <v>46122</v>
      </c>
      <c r="AQ6" s="47" t="s">
        <v>1492</v>
      </c>
      <c r="AR6" s="156" t="b">
        <v>1</v>
      </c>
      <c r="AS6" s="156" t="b">
        <v>0</v>
      </c>
      <c r="AT6" s="47"/>
      <c r="AU6" s="47"/>
      <c r="AV6" s="1132">
        <f t="shared" si="4"/>
        <v>0</v>
      </c>
      <c r="AW6" s="459"/>
      <c r="AX6" s="459"/>
      <c r="AY6" s="459"/>
      <c r="AZ6" s="47"/>
      <c r="BA6" s="463"/>
      <c r="BB6" s="47"/>
      <c r="BC6" s="156" t="b">
        <v>0</v>
      </c>
      <c r="BD6" s="156" t="b">
        <v>0</v>
      </c>
      <c r="BE6" s="47"/>
      <c r="BF6" s="47"/>
      <c r="BG6" s="205">
        <f t="shared" si="5"/>
        <v>0</v>
      </c>
      <c r="BH6" s="47"/>
      <c r="BI6" s="47"/>
      <c r="BJ6" s="47"/>
      <c r="BK6" s="47"/>
      <c r="BL6" s="47"/>
      <c r="BM6" s="47"/>
      <c r="BN6" s="156" t="b">
        <v>0</v>
      </c>
      <c r="BO6" s="156" t="b">
        <v>0</v>
      </c>
      <c r="BP6" s="47"/>
      <c r="BQ6" s="47"/>
      <c r="BR6" s="205">
        <f t="shared" si="6"/>
        <v>0</v>
      </c>
      <c r="BS6" s="47"/>
      <c r="BT6" s="47"/>
      <c r="BU6" s="47"/>
      <c r="BV6" s="47"/>
      <c r="BW6" s="47"/>
      <c r="BX6" s="47"/>
      <c r="BY6" s="156" t="b">
        <v>0</v>
      </c>
      <c r="BZ6" s="156" t="b">
        <v>0</v>
      </c>
      <c r="CA6" s="47"/>
      <c r="CB6" s="47"/>
      <c r="CC6" s="205">
        <f t="shared" si="7"/>
        <v>0</v>
      </c>
      <c r="CD6" s="47"/>
      <c r="CE6" s="47"/>
      <c r="CF6" s="47"/>
      <c r="CG6" s="47"/>
      <c r="CH6" s="47"/>
      <c r="CI6" s="47"/>
      <c r="CJ6" s="156" t="b">
        <v>0</v>
      </c>
      <c r="CK6" s="156" t="b">
        <v>0</v>
      </c>
      <c r="CL6" s="47"/>
      <c r="CM6" s="47"/>
      <c r="CN6" s="205">
        <f t="shared" si="8"/>
        <v>0</v>
      </c>
      <c r="CO6" s="47"/>
      <c r="CP6" s="47"/>
      <c r="CQ6" s="47"/>
      <c r="CR6" s="47"/>
      <c r="CS6" s="47"/>
      <c r="CT6" s="47"/>
      <c r="CU6" s="156" t="b">
        <v>0</v>
      </c>
      <c r="CV6" s="156" t="b">
        <v>0</v>
      </c>
      <c r="CW6" s="47"/>
      <c r="CX6" s="47"/>
      <c r="CY6" s="205">
        <f t="shared" si="9"/>
        <v>0</v>
      </c>
      <c r="CZ6" s="47"/>
      <c r="DA6" s="47"/>
      <c r="DB6" s="47"/>
      <c r="DC6" s="47"/>
      <c r="DD6" s="47"/>
      <c r="DE6" s="47"/>
      <c r="DF6" s="156" t="b">
        <v>0</v>
      </c>
      <c r="DG6" s="156" t="b">
        <v>0</v>
      </c>
      <c r="DH6" s="47"/>
      <c r="DI6" s="47"/>
      <c r="DJ6" s="205">
        <f t="shared" si="10"/>
        <v>0</v>
      </c>
      <c r="DK6" s="47"/>
      <c r="DL6" s="47"/>
      <c r="DM6" s="47"/>
      <c r="DN6" s="47"/>
      <c r="DO6" s="47"/>
      <c r="DP6" s="47"/>
      <c r="DQ6" s="156" t="b">
        <v>0</v>
      </c>
      <c r="DR6" s="156" t="b">
        <v>0</v>
      </c>
      <c r="DS6" s="47"/>
      <c r="DT6" s="47"/>
      <c r="DU6" s="205">
        <f t="shared" si="11"/>
        <v>0</v>
      </c>
      <c r="DV6" s="47"/>
      <c r="DW6" s="47"/>
      <c r="DX6" s="47"/>
      <c r="DY6" s="47"/>
      <c r="DZ6" s="47"/>
      <c r="EA6" s="47"/>
      <c r="EB6" s="156" t="b">
        <v>0</v>
      </c>
      <c r="EC6" s="156" t="b">
        <v>0</v>
      </c>
      <c r="ED6" s="47"/>
      <c r="EE6" s="47"/>
      <c r="EF6" s="205">
        <f t="shared" si="12"/>
        <v>0</v>
      </c>
      <c r="EG6" s="47"/>
      <c r="EH6" s="47"/>
      <c r="EI6" s="47"/>
      <c r="EJ6" s="47"/>
      <c r="EK6" s="47"/>
      <c r="EL6" s="47"/>
      <c r="EM6" s="156" t="b">
        <v>0</v>
      </c>
      <c r="EN6" s="156" t="b">
        <v>0</v>
      </c>
      <c r="EO6" s="47"/>
      <c r="EP6" s="47"/>
      <c r="EQ6" s="205">
        <f t="shared" si="13"/>
        <v>0</v>
      </c>
      <c r="ER6" s="47"/>
      <c r="ES6" s="47"/>
      <c r="ET6" s="47"/>
      <c r="EU6" s="47"/>
      <c r="EV6" s="47"/>
      <c r="EW6" s="47"/>
      <c r="EX6" s="156" t="b">
        <v>0</v>
      </c>
      <c r="EY6" s="156" t="b">
        <v>0</v>
      </c>
      <c r="EZ6" s="47"/>
      <c r="FA6" s="47"/>
    </row>
    <row r="7" spans="1:157">
      <c r="C7" s="470" t="s">
        <v>1496</v>
      </c>
      <c r="D7" s="47">
        <v>1450015</v>
      </c>
      <c r="E7" s="47">
        <v>458</v>
      </c>
      <c r="F7" s="47" t="s">
        <v>1497</v>
      </c>
      <c r="G7" s="47" t="str">
        <f>_xlfn.TEXTBEFORE(SUINT[[#This Row],[CONCESSIONÁRIA]], " ", 1)</f>
        <v>COPASA</v>
      </c>
      <c r="H7" s="47" t="s">
        <v>1412</v>
      </c>
      <c r="I7" s="47" t="s">
        <v>170</v>
      </c>
      <c r="J7" s="47">
        <v>115057145</v>
      </c>
      <c r="K7" s="47">
        <v>118087452</v>
      </c>
      <c r="L7" s="47"/>
      <c r="M7" s="47"/>
      <c r="N7" s="470">
        <v>21</v>
      </c>
      <c r="O7" s="155"/>
      <c r="P7" s="163" t="s">
        <v>1498</v>
      </c>
      <c r="Q7" s="459">
        <v>12099.19</v>
      </c>
      <c r="R7" s="459">
        <v>580.76</v>
      </c>
      <c r="S7" s="459"/>
      <c r="T7" s="459">
        <f t="shared" si="0"/>
        <v>11518.43</v>
      </c>
      <c r="U7" s="47">
        <v>439</v>
      </c>
      <c r="V7" s="464">
        <v>46063</v>
      </c>
      <c r="W7" s="147" t="s">
        <v>1490</v>
      </c>
      <c r="X7" s="47"/>
      <c r="Y7" s="47"/>
      <c r="Z7" s="459">
        <f t="shared" si="1"/>
        <v>9981.34</v>
      </c>
      <c r="AA7" s="205">
        <v>479.1</v>
      </c>
      <c r="AB7" s="47"/>
      <c r="AC7" s="205">
        <v>9502.24</v>
      </c>
      <c r="AD7" s="47">
        <v>369</v>
      </c>
      <c r="AE7" s="182">
        <v>46091</v>
      </c>
      <c r="AF7" s="47" t="s">
        <v>1491</v>
      </c>
      <c r="AG7" s="156" t="b">
        <v>1</v>
      </c>
      <c r="AH7" s="156" t="b">
        <v>1</v>
      </c>
      <c r="AI7" s="868">
        <f t="shared" si="2"/>
        <v>-0.15945330296127563</v>
      </c>
      <c r="AJ7" s="1127">
        <f t="shared" si="3"/>
        <v>-0.17504064321661206</v>
      </c>
      <c r="AK7" s="205">
        <f>AN7 + ABS(AM7) + ABS(AL7)</f>
        <v>10328.41</v>
      </c>
      <c r="AL7" s="47">
        <v>-495.76</v>
      </c>
      <c r="AM7" s="47">
        <v>0</v>
      </c>
      <c r="AN7" s="459">
        <v>9832.65</v>
      </c>
      <c r="AO7" s="47">
        <v>374</v>
      </c>
      <c r="AP7" s="463">
        <v>46122</v>
      </c>
      <c r="AQ7" s="47" t="s">
        <v>1492</v>
      </c>
      <c r="AR7" s="156" t="b">
        <v>1</v>
      </c>
      <c r="AS7" s="156" t="b">
        <v>0</v>
      </c>
      <c r="AT7" s="47"/>
      <c r="AU7" s="47"/>
      <c r="AV7" s="1132">
        <f t="shared" si="4"/>
        <v>0</v>
      </c>
      <c r="AW7" s="459"/>
      <c r="AX7" s="459"/>
      <c r="AY7" s="459"/>
      <c r="AZ7" s="47"/>
      <c r="BA7" s="463"/>
      <c r="BB7" s="47"/>
      <c r="BC7" s="156" t="b">
        <v>0</v>
      </c>
      <c r="BD7" s="156" t="b">
        <v>0</v>
      </c>
      <c r="BE7" s="47"/>
      <c r="BF7" s="47"/>
      <c r="BG7" s="205">
        <f t="shared" si="5"/>
        <v>0</v>
      </c>
      <c r="BH7" s="47"/>
      <c r="BI7" s="47"/>
      <c r="BJ7" s="47"/>
      <c r="BK7" s="47"/>
      <c r="BL7" s="47"/>
      <c r="BM7" s="47"/>
      <c r="BN7" s="156" t="b">
        <v>0</v>
      </c>
      <c r="BO7" s="156" t="b">
        <v>0</v>
      </c>
      <c r="BP7" s="47"/>
      <c r="BQ7" s="47"/>
      <c r="BR7" s="205">
        <f t="shared" si="6"/>
        <v>0</v>
      </c>
      <c r="BS7" s="47"/>
      <c r="BT7" s="47"/>
      <c r="BU7" s="47"/>
      <c r="BV7" s="47"/>
      <c r="BW7" s="47"/>
      <c r="BX7" s="47"/>
      <c r="BY7" s="156" t="b">
        <v>0</v>
      </c>
      <c r="BZ7" s="156" t="b">
        <v>0</v>
      </c>
      <c r="CA7" s="47"/>
      <c r="CB7" s="47"/>
      <c r="CC7" s="205">
        <f t="shared" si="7"/>
        <v>0</v>
      </c>
      <c r="CD7" s="47"/>
      <c r="CE7" s="47"/>
      <c r="CF7" s="47"/>
      <c r="CG7" s="47"/>
      <c r="CH7" s="47"/>
      <c r="CI7" s="47"/>
      <c r="CJ7" s="156" t="b">
        <v>0</v>
      </c>
      <c r="CK7" s="156" t="b">
        <v>0</v>
      </c>
      <c r="CL7" s="47"/>
      <c r="CM7" s="47"/>
      <c r="CN7" s="205">
        <f t="shared" si="8"/>
        <v>0</v>
      </c>
      <c r="CO7" s="47"/>
      <c r="CP7" s="47"/>
      <c r="CQ7" s="47"/>
      <c r="CR7" s="47"/>
      <c r="CS7" s="47"/>
      <c r="CT7" s="47"/>
      <c r="CU7" s="156" t="b">
        <v>0</v>
      </c>
      <c r="CV7" s="156" t="b">
        <v>0</v>
      </c>
      <c r="CW7" s="47"/>
      <c r="CX7" s="47"/>
      <c r="CY7" s="205">
        <f t="shared" si="9"/>
        <v>0</v>
      </c>
      <c r="CZ7" s="47"/>
      <c r="DA7" s="47"/>
      <c r="DB7" s="47"/>
      <c r="DC7" s="47"/>
      <c r="DD7" s="47"/>
      <c r="DE7" s="47"/>
      <c r="DF7" s="156" t="b">
        <v>0</v>
      </c>
      <c r="DG7" s="156" t="b">
        <v>0</v>
      </c>
      <c r="DH7" s="47"/>
      <c r="DI7" s="47"/>
      <c r="DJ7" s="205">
        <f t="shared" si="10"/>
        <v>0</v>
      </c>
      <c r="DK7" s="47"/>
      <c r="DL7" s="47"/>
      <c r="DM7" s="47"/>
      <c r="DN7" s="47"/>
      <c r="DO7" s="47"/>
      <c r="DP7" s="47"/>
      <c r="DQ7" s="156" t="b">
        <v>0</v>
      </c>
      <c r="DR7" s="156" t="b">
        <v>0</v>
      </c>
      <c r="DS7" s="47"/>
      <c r="DT7" s="47"/>
      <c r="DU7" s="205">
        <f t="shared" si="11"/>
        <v>0</v>
      </c>
      <c r="DV7" s="47"/>
      <c r="DW7" s="47"/>
      <c r="DX7" s="47"/>
      <c r="DY7" s="47"/>
      <c r="DZ7" s="47"/>
      <c r="EA7" s="47"/>
      <c r="EB7" s="156" t="b">
        <v>0</v>
      </c>
      <c r="EC7" s="156" t="b">
        <v>0</v>
      </c>
      <c r="ED7" s="47"/>
      <c r="EE7" s="47"/>
      <c r="EF7" s="205">
        <f t="shared" si="12"/>
        <v>0</v>
      </c>
      <c r="EG7" s="47"/>
      <c r="EH7" s="47"/>
      <c r="EI7" s="47"/>
      <c r="EJ7" s="47"/>
      <c r="EK7" s="47"/>
      <c r="EL7" s="47"/>
      <c r="EM7" s="156" t="b">
        <v>0</v>
      </c>
      <c r="EN7" s="156" t="b">
        <v>0</v>
      </c>
      <c r="EO7" s="47"/>
      <c r="EP7" s="47"/>
      <c r="EQ7" s="205">
        <f t="shared" si="13"/>
        <v>0</v>
      </c>
      <c r="ER7" s="47"/>
      <c r="ES7" s="47"/>
      <c r="ET7" s="47"/>
      <c r="EU7" s="47"/>
      <c r="EV7" s="47"/>
      <c r="EW7" s="47"/>
      <c r="EX7" s="156" t="b">
        <v>0</v>
      </c>
      <c r="EY7" s="156" t="b">
        <v>0</v>
      </c>
      <c r="EZ7" s="47"/>
      <c r="FA7" s="47"/>
    </row>
    <row r="8" spans="1:157">
      <c r="C8" s="470" t="s">
        <v>1499</v>
      </c>
      <c r="D8" s="47">
        <v>1450015</v>
      </c>
      <c r="E8" s="47">
        <v>461</v>
      </c>
      <c r="F8" s="47" t="s">
        <v>1500</v>
      </c>
      <c r="G8" s="47" t="str">
        <f>_xlfn.TEXTBEFORE(SUINT[[#This Row],[CONCESSIONÁRIA]], " ", 1)</f>
        <v>COPASA</v>
      </c>
      <c r="H8" s="47" t="s">
        <v>1412</v>
      </c>
      <c r="I8" s="47" t="s">
        <v>170</v>
      </c>
      <c r="J8" s="47">
        <v>115982892</v>
      </c>
      <c r="K8" s="47">
        <v>118087452</v>
      </c>
      <c r="L8" s="47"/>
      <c r="M8" s="47"/>
      <c r="N8" s="470">
        <v>21</v>
      </c>
      <c r="O8" s="155"/>
      <c r="P8" s="163" t="s">
        <v>1501</v>
      </c>
      <c r="Q8" s="459">
        <v>2346.71</v>
      </c>
      <c r="R8" s="459">
        <v>112.64</v>
      </c>
      <c r="S8" s="459"/>
      <c r="T8" s="459">
        <f t="shared" si="0"/>
        <v>2234.0700000000002</v>
      </c>
      <c r="U8" s="47">
        <v>102</v>
      </c>
      <c r="V8" s="464">
        <v>46063</v>
      </c>
      <c r="W8" s="147" t="s">
        <v>1490</v>
      </c>
      <c r="X8" s="47"/>
      <c r="Y8" s="47"/>
      <c r="Z8" s="459">
        <f t="shared" si="1"/>
        <v>11584.86</v>
      </c>
      <c r="AA8" s="205">
        <v>556.07000000000005</v>
      </c>
      <c r="AB8" s="47"/>
      <c r="AC8" s="205">
        <v>11028.79</v>
      </c>
      <c r="AD8" s="47">
        <v>422</v>
      </c>
      <c r="AE8" s="182">
        <v>46091</v>
      </c>
      <c r="AF8" s="47" t="s">
        <v>1491</v>
      </c>
      <c r="AG8" s="156" t="b">
        <v>1</v>
      </c>
      <c r="AH8" s="156" t="b">
        <v>1</v>
      </c>
      <c r="AI8" s="868">
        <f t="shared" si="2"/>
        <v>3.1372549019607843</v>
      </c>
      <c r="AJ8" s="1127">
        <f t="shared" si="3"/>
        <v>3.9366389541102231</v>
      </c>
      <c r="AK8" s="205">
        <f>AN8 + ABS(AM8) + ABS(AL8)</f>
        <v>11223.119999999999</v>
      </c>
      <c r="AL8" s="47">
        <v>-538.71</v>
      </c>
      <c r="AM8" s="47">
        <v>0</v>
      </c>
      <c r="AN8" s="459">
        <v>10684.41</v>
      </c>
      <c r="AO8" s="47">
        <v>393</v>
      </c>
      <c r="AP8" s="463">
        <v>46122</v>
      </c>
      <c r="AQ8" s="47" t="s">
        <v>1492</v>
      </c>
      <c r="AR8" s="156" t="b">
        <v>1</v>
      </c>
      <c r="AS8" s="156" t="b">
        <v>0</v>
      </c>
      <c r="AT8" s="47"/>
      <c r="AU8" s="47"/>
      <c r="AV8" s="1132">
        <f t="shared" si="4"/>
        <v>0</v>
      </c>
      <c r="AW8" s="459"/>
      <c r="AX8" s="459"/>
      <c r="AY8" s="459"/>
      <c r="AZ8" s="47"/>
      <c r="BA8" s="463"/>
      <c r="BB8" s="47"/>
      <c r="BC8" s="156" t="b">
        <v>0</v>
      </c>
      <c r="BD8" s="156" t="b">
        <v>0</v>
      </c>
      <c r="BE8" s="47"/>
      <c r="BF8" s="47"/>
      <c r="BG8" s="205">
        <f t="shared" si="5"/>
        <v>0</v>
      </c>
      <c r="BH8" s="47"/>
      <c r="BI8" s="47"/>
      <c r="BJ8" s="47"/>
      <c r="BK8" s="47"/>
      <c r="BL8" s="47"/>
      <c r="BM8" s="47"/>
      <c r="BN8" s="156" t="b">
        <v>0</v>
      </c>
      <c r="BO8" s="156" t="b">
        <v>0</v>
      </c>
      <c r="BP8" s="47"/>
      <c r="BQ8" s="47"/>
      <c r="BR8" s="205">
        <f t="shared" si="6"/>
        <v>0</v>
      </c>
      <c r="BS8" s="47"/>
      <c r="BT8" s="47"/>
      <c r="BU8" s="47"/>
      <c r="BV8" s="47"/>
      <c r="BW8" s="47"/>
      <c r="BX8" s="47"/>
      <c r="BY8" s="156" t="b">
        <v>0</v>
      </c>
      <c r="BZ8" s="156" t="b">
        <v>0</v>
      </c>
      <c r="CA8" s="47"/>
      <c r="CB8" s="47"/>
      <c r="CC8" s="205">
        <f t="shared" si="7"/>
        <v>0</v>
      </c>
      <c r="CD8" s="47"/>
      <c r="CE8" s="47"/>
      <c r="CF8" s="47"/>
      <c r="CG8" s="47"/>
      <c r="CH8" s="47"/>
      <c r="CI8" s="47"/>
      <c r="CJ8" s="156" t="b">
        <v>0</v>
      </c>
      <c r="CK8" s="156" t="b">
        <v>0</v>
      </c>
      <c r="CL8" s="47"/>
      <c r="CM8" s="47"/>
      <c r="CN8" s="205">
        <f t="shared" si="8"/>
        <v>0</v>
      </c>
      <c r="CO8" s="47"/>
      <c r="CP8" s="47"/>
      <c r="CQ8" s="47"/>
      <c r="CR8" s="47"/>
      <c r="CS8" s="47"/>
      <c r="CT8" s="47"/>
      <c r="CU8" s="156" t="b">
        <v>0</v>
      </c>
      <c r="CV8" s="156" t="b">
        <v>0</v>
      </c>
      <c r="CW8" s="47"/>
      <c r="CX8" s="47"/>
      <c r="CY8" s="205">
        <f t="shared" si="9"/>
        <v>0</v>
      </c>
      <c r="CZ8" s="47"/>
      <c r="DA8" s="47"/>
      <c r="DB8" s="47"/>
      <c r="DC8" s="47"/>
      <c r="DD8" s="47"/>
      <c r="DE8" s="47"/>
      <c r="DF8" s="156" t="b">
        <v>0</v>
      </c>
      <c r="DG8" s="156" t="b">
        <v>0</v>
      </c>
      <c r="DH8" s="47"/>
      <c r="DI8" s="47"/>
      <c r="DJ8" s="205">
        <f t="shared" si="10"/>
        <v>0</v>
      </c>
      <c r="DK8" s="47"/>
      <c r="DL8" s="47"/>
      <c r="DM8" s="47"/>
      <c r="DN8" s="47"/>
      <c r="DO8" s="47"/>
      <c r="DP8" s="47"/>
      <c r="DQ8" s="156" t="b">
        <v>0</v>
      </c>
      <c r="DR8" s="156" t="b">
        <v>0</v>
      </c>
      <c r="DS8" s="47"/>
      <c r="DT8" s="47"/>
      <c r="DU8" s="205">
        <f t="shared" si="11"/>
        <v>0</v>
      </c>
      <c r="DV8" s="47"/>
      <c r="DW8" s="47"/>
      <c r="DX8" s="47"/>
      <c r="DY8" s="47"/>
      <c r="DZ8" s="47"/>
      <c r="EA8" s="47"/>
      <c r="EB8" s="156" t="b">
        <v>0</v>
      </c>
      <c r="EC8" s="156" t="b">
        <v>0</v>
      </c>
      <c r="ED8" s="47"/>
      <c r="EE8" s="47"/>
      <c r="EF8" s="205">
        <f t="shared" si="12"/>
        <v>0</v>
      </c>
      <c r="EG8" s="47"/>
      <c r="EH8" s="47"/>
      <c r="EI8" s="47"/>
      <c r="EJ8" s="47"/>
      <c r="EK8" s="47"/>
      <c r="EL8" s="47"/>
      <c r="EM8" s="156" t="b">
        <v>0</v>
      </c>
      <c r="EN8" s="156" t="b">
        <v>0</v>
      </c>
      <c r="EO8" s="47"/>
      <c r="EP8" s="47"/>
      <c r="EQ8" s="205">
        <f t="shared" si="13"/>
        <v>0</v>
      </c>
      <c r="ER8" s="47"/>
      <c r="ES8" s="47"/>
      <c r="ET8" s="47"/>
      <c r="EU8" s="47"/>
      <c r="EV8" s="47"/>
      <c r="EW8" s="47"/>
      <c r="EX8" s="156" t="b">
        <v>0</v>
      </c>
      <c r="EY8" s="156" t="b">
        <v>0</v>
      </c>
      <c r="EZ8" s="47"/>
      <c r="FA8" s="47"/>
    </row>
    <row r="9" spans="1:157">
      <c r="C9" s="470" t="s">
        <v>1502</v>
      </c>
      <c r="D9" s="47">
        <v>1450015</v>
      </c>
      <c r="E9" s="47">
        <v>462</v>
      </c>
      <c r="F9" s="47" t="s">
        <v>1503</v>
      </c>
      <c r="G9" s="47" t="str">
        <f>_xlfn.TEXTBEFORE(SUINT[[#This Row],[CONCESSIONÁRIA]], " ", 1)</f>
        <v>COPASA</v>
      </c>
      <c r="H9" s="47" t="s">
        <v>1412</v>
      </c>
      <c r="I9" s="47" t="s">
        <v>170</v>
      </c>
      <c r="J9" s="47">
        <v>115319531</v>
      </c>
      <c r="K9" s="47">
        <v>118087452</v>
      </c>
      <c r="L9" s="47"/>
      <c r="M9" s="47"/>
      <c r="N9" s="470">
        <v>21</v>
      </c>
      <c r="O9" s="155"/>
      <c r="P9" s="163" t="s">
        <v>1504</v>
      </c>
      <c r="Q9" s="459">
        <v>6441.51</v>
      </c>
      <c r="R9" s="459">
        <v>309.19</v>
      </c>
      <c r="S9" s="459"/>
      <c r="T9" s="459">
        <f t="shared" si="0"/>
        <v>6132.3200000000006</v>
      </c>
      <c r="U9" s="47">
        <v>252</v>
      </c>
      <c r="V9" s="464">
        <v>46063</v>
      </c>
      <c r="W9" s="147" t="s">
        <v>1490</v>
      </c>
      <c r="X9" s="47"/>
      <c r="Y9" s="47"/>
      <c r="Z9" s="459">
        <f t="shared" si="1"/>
        <v>5876.27</v>
      </c>
      <c r="AA9" s="205">
        <v>282.06</v>
      </c>
      <c r="AB9" s="47"/>
      <c r="AC9" s="205">
        <v>5594.21</v>
      </c>
      <c r="AD9" s="47">
        <v>233</v>
      </c>
      <c r="AE9" s="182">
        <v>46091</v>
      </c>
      <c r="AF9" s="47" t="s">
        <v>1491</v>
      </c>
      <c r="AG9" s="156" t="b">
        <v>1</v>
      </c>
      <c r="AH9" s="156" t="b">
        <v>1</v>
      </c>
      <c r="AI9" s="868">
        <f t="shared" si="2"/>
        <v>-7.5396825396825393E-2</v>
      </c>
      <c r="AJ9" s="1127">
        <f t="shared" si="3"/>
        <v>-8.7749611504134864E-2</v>
      </c>
      <c r="AK9" s="205">
        <f>AN9 + ABS(AM9) + ABS(AL9)</f>
        <v>5527.93</v>
      </c>
      <c r="AL9" s="47">
        <v>-265.33999999999997</v>
      </c>
      <c r="AM9" s="47">
        <v>0</v>
      </c>
      <c r="AN9" s="459">
        <v>5262.59</v>
      </c>
      <c r="AO9" s="47">
        <v>213</v>
      </c>
      <c r="AP9" s="463">
        <v>46122</v>
      </c>
      <c r="AQ9" s="47" t="s">
        <v>1492</v>
      </c>
      <c r="AR9" s="156" t="b">
        <v>1</v>
      </c>
      <c r="AS9" s="156" t="b">
        <v>0</v>
      </c>
      <c r="AT9" s="47"/>
      <c r="AU9" s="47"/>
      <c r="AV9" s="1132">
        <f t="shared" si="4"/>
        <v>0</v>
      </c>
      <c r="AW9" s="459"/>
      <c r="AX9" s="459"/>
      <c r="AY9" s="459"/>
      <c r="AZ9" s="47"/>
      <c r="BA9" s="463"/>
      <c r="BB9" s="47"/>
      <c r="BC9" s="156" t="b">
        <v>0</v>
      </c>
      <c r="BD9" s="156" t="b">
        <v>0</v>
      </c>
      <c r="BE9" s="47"/>
      <c r="BF9" s="47"/>
      <c r="BG9" s="205">
        <f t="shared" si="5"/>
        <v>0</v>
      </c>
      <c r="BH9" s="47"/>
      <c r="BI9" s="47"/>
      <c r="BJ9" s="47"/>
      <c r="BK9" s="47"/>
      <c r="BL9" s="47"/>
      <c r="BM9" s="47"/>
      <c r="BN9" s="156" t="b">
        <v>0</v>
      </c>
      <c r="BO9" s="156" t="b">
        <v>0</v>
      </c>
      <c r="BP9" s="47"/>
      <c r="BQ9" s="47"/>
      <c r="BR9" s="205">
        <f t="shared" si="6"/>
        <v>0</v>
      </c>
      <c r="BS9" s="47"/>
      <c r="BT9" s="47"/>
      <c r="BU9" s="47"/>
      <c r="BV9" s="47"/>
      <c r="BW9" s="47"/>
      <c r="BX9" s="47"/>
      <c r="BY9" s="156" t="b">
        <v>0</v>
      </c>
      <c r="BZ9" s="156" t="b">
        <v>0</v>
      </c>
      <c r="CA9" s="47"/>
      <c r="CB9" s="47"/>
      <c r="CC9" s="205">
        <f t="shared" si="7"/>
        <v>0</v>
      </c>
      <c r="CD9" s="47"/>
      <c r="CE9" s="47"/>
      <c r="CF9" s="47"/>
      <c r="CG9" s="47"/>
      <c r="CH9" s="47"/>
      <c r="CI9" s="47"/>
      <c r="CJ9" s="156" t="b">
        <v>0</v>
      </c>
      <c r="CK9" s="156" t="b">
        <v>0</v>
      </c>
      <c r="CL9" s="47"/>
      <c r="CM9" s="47"/>
      <c r="CN9" s="205">
        <f t="shared" si="8"/>
        <v>0</v>
      </c>
      <c r="CO9" s="47"/>
      <c r="CP9" s="47"/>
      <c r="CQ9" s="47"/>
      <c r="CR9" s="47"/>
      <c r="CS9" s="47"/>
      <c r="CT9" s="47"/>
      <c r="CU9" s="156" t="b">
        <v>0</v>
      </c>
      <c r="CV9" s="156" t="b">
        <v>0</v>
      </c>
      <c r="CW9" s="47"/>
      <c r="CX9" s="47"/>
      <c r="CY9" s="205">
        <f t="shared" si="9"/>
        <v>0</v>
      </c>
      <c r="CZ9" s="47"/>
      <c r="DA9" s="47"/>
      <c r="DB9" s="47"/>
      <c r="DC9" s="47"/>
      <c r="DD9" s="47"/>
      <c r="DE9" s="47"/>
      <c r="DF9" s="156" t="b">
        <v>0</v>
      </c>
      <c r="DG9" s="156" t="b">
        <v>0</v>
      </c>
      <c r="DH9" s="47"/>
      <c r="DI9" s="47"/>
      <c r="DJ9" s="205">
        <f t="shared" si="10"/>
        <v>0</v>
      </c>
      <c r="DK9" s="47"/>
      <c r="DL9" s="47"/>
      <c r="DM9" s="47"/>
      <c r="DN9" s="47"/>
      <c r="DO9" s="47"/>
      <c r="DP9" s="47"/>
      <c r="DQ9" s="156" t="b">
        <v>0</v>
      </c>
      <c r="DR9" s="156" t="b">
        <v>0</v>
      </c>
      <c r="DS9" s="47"/>
      <c r="DT9" s="47"/>
      <c r="DU9" s="205">
        <f t="shared" si="11"/>
        <v>0</v>
      </c>
      <c r="DV9" s="47"/>
      <c r="DW9" s="47"/>
      <c r="DX9" s="47"/>
      <c r="DY9" s="47"/>
      <c r="DZ9" s="47"/>
      <c r="EA9" s="47"/>
      <c r="EB9" s="156" t="b">
        <v>0</v>
      </c>
      <c r="EC9" s="156" t="b">
        <v>0</v>
      </c>
      <c r="ED9" s="47"/>
      <c r="EE9" s="47"/>
      <c r="EF9" s="205">
        <f t="shared" si="12"/>
        <v>0</v>
      </c>
      <c r="EG9" s="47"/>
      <c r="EH9" s="47"/>
      <c r="EI9" s="47"/>
      <c r="EJ9" s="47"/>
      <c r="EK9" s="47"/>
      <c r="EL9" s="47"/>
      <c r="EM9" s="156" t="b">
        <v>0</v>
      </c>
      <c r="EN9" s="156" t="b">
        <v>0</v>
      </c>
      <c r="EO9" s="47"/>
      <c r="EP9" s="47"/>
      <c r="EQ9" s="205">
        <f t="shared" si="13"/>
        <v>0</v>
      </c>
      <c r="ER9" s="47"/>
      <c r="ES9" s="47"/>
      <c r="ET9" s="47"/>
      <c r="EU9" s="47"/>
      <c r="EV9" s="47"/>
      <c r="EW9" s="47"/>
      <c r="EX9" s="156" t="b">
        <v>0</v>
      </c>
      <c r="EY9" s="156" t="b">
        <v>0</v>
      </c>
      <c r="EZ9" s="47"/>
      <c r="FA9" s="47"/>
    </row>
    <row r="10" spans="1:157">
      <c r="C10" s="470" t="s">
        <v>1505</v>
      </c>
      <c r="D10" s="47">
        <v>1450015</v>
      </c>
      <c r="E10" s="47">
        <v>459</v>
      </c>
      <c r="F10" s="47" t="s">
        <v>1506</v>
      </c>
      <c r="G10" s="47" t="str">
        <f>_xlfn.TEXTBEFORE(SUINT[[#This Row],[CONCESSIONÁRIA]], " ", 1)</f>
        <v>COPASA</v>
      </c>
      <c r="H10" s="47" t="s">
        <v>1412</v>
      </c>
      <c r="I10" s="47" t="s">
        <v>170</v>
      </c>
      <c r="J10" s="47">
        <v>114901961</v>
      </c>
      <c r="K10" s="47">
        <v>118087452</v>
      </c>
      <c r="L10" s="47"/>
      <c r="M10" s="47"/>
      <c r="N10" s="470">
        <v>21</v>
      </c>
      <c r="O10" s="155"/>
      <c r="P10" s="163" t="s">
        <v>1507</v>
      </c>
      <c r="Q10" s="459">
        <v>6108.71</v>
      </c>
      <c r="R10" s="459">
        <v>293.22000000000003</v>
      </c>
      <c r="S10" s="459"/>
      <c r="T10" s="459">
        <f t="shared" si="0"/>
        <v>5815.49</v>
      </c>
      <c r="U10" s="47">
        <v>241</v>
      </c>
      <c r="V10" s="464">
        <v>46063</v>
      </c>
      <c r="W10" s="147" t="s">
        <v>1490</v>
      </c>
      <c r="X10" s="47"/>
      <c r="Y10" s="47"/>
      <c r="Z10" s="459">
        <f t="shared" si="1"/>
        <v>7312.28</v>
      </c>
      <c r="AA10" s="205">
        <v>350.99</v>
      </c>
      <c r="AB10" s="47"/>
      <c r="AC10" s="205">
        <v>6961.29</v>
      </c>
      <c r="AD10" s="47">
        <v>280</v>
      </c>
      <c r="AE10" s="182">
        <v>46091</v>
      </c>
      <c r="AF10" s="47" t="s">
        <v>1491</v>
      </c>
      <c r="AG10" s="156" t="b">
        <v>1</v>
      </c>
      <c r="AH10" s="156" t="b">
        <v>1</v>
      </c>
      <c r="AI10" s="868">
        <f t="shared" si="2"/>
        <v>0.16182572614107885</v>
      </c>
      <c r="AJ10" s="1127">
        <f t="shared" si="3"/>
        <v>0.1970252311862897</v>
      </c>
      <c r="AK10" s="205">
        <f>AN10 + ABS(AM10) + ABS(AL10)</f>
        <v>5972.31</v>
      </c>
      <c r="AL10" s="47">
        <v>-286.67</v>
      </c>
      <c r="AM10" s="47">
        <v>0</v>
      </c>
      <c r="AN10" s="459">
        <v>5685.64</v>
      </c>
      <c r="AO10" s="47">
        <v>227</v>
      </c>
      <c r="AP10" s="463">
        <v>46122</v>
      </c>
      <c r="AQ10" s="47" t="s">
        <v>1492</v>
      </c>
      <c r="AR10" s="156" t="b">
        <v>1</v>
      </c>
      <c r="AS10" s="156" t="b">
        <v>0</v>
      </c>
      <c r="AT10" s="47"/>
      <c r="AU10" s="47"/>
      <c r="AV10" s="1132">
        <f t="shared" si="4"/>
        <v>0</v>
      </c>
      <c r="AW10" s="459"/>
      <c r="AX10" s="459"/>
      <c r="AY10" s="459"/>
      <c r="AZ10" s="47"/>
      <c r="BA10" s="463"/>
      <c r="BB10" s="47"/>
      <c r="BC10" s="156" t="b">
        <v>0</v>
      </c>
      <c r="BD10" s="156" t="b">
        <v>0</v>
      </c>
      <c r="BE10" s="47"/>
      <c r="BF10" s="47"/>
      <c r="BG10" s="205">
        <f t="shared" si="5"/>
        <v>0</v>
      </c>
      <c r="BH10" s="47"/>
      <c r="BI10" s="47"/>
      <c r="BJ10" s="47"/>
      <c r="BK10" s="47"/>
      <c r="BL10" s="47"/>
      <c r="BM10" s="47"/>
      <c r="BN10" s="156" t="b">
        <v>0</v>
      </c>
      <c r="BO10" s="156" t="b">
        <v>0</v>
      </c>
      <c r="BP10" s="47"/>
      <c r="BQ10" s="47"/>
      <c r="BR10" s="205">
        <f t="shared" si="6"/>
        <v>0</v>
      </c>
      <c r="BS10" s="47"/>
      <c r="BT10" s="47"/>
      <c r="BU10" s="47"/>
      <c r="BV10" s="47"/>
      <c r="BW10" s="47"/>
      <c r="BX10" s="47"/>
      <c r="BY10" s="156" t="b">
        <v>0</v>
      </c>
      <c r="BZ10" s="156" t="b">
        <v>0</v>
      </c>
      <c r="CA10" s="47"/>
      <c r="CB10" s="47"/>
      <c r="CC10" s="205">
        <f t="shared" si="7"/>
        <v>0</v>
      </c>
      <c r="CD10" s="47"/>
      <c r="CE10" s="47"/>
      <c r="CF10" s="47"/>
      <c r="CG10" s="47"/>
      <c r="CH10" s="47"/>
      <c r="CI10" s="47"/>
      <c r="CJ10" s="156" t="b">
        <v>0</v>
      </c>
      <c r="CK10" s="156" t="b">
        <v>0</v>
      </c>
      <c r="CL10" s="47"/>
      <c r="CM10" s="47"/>
      <c r="CN10" s="205">
        <f t="shared" si="8"/>
        <v>0</v>
      </c>
      <c r="CO10" s="47"/>
      <c r="CP10" s="47"/>
      <c r="CQ10" s="47"/>
      <c r="CR10" s="47"/>
      <c r="CS10" s="47"/>
      <c r="CT10" s="47"/>
      <c r="CU10" s="156" t="b">
        <v>0</v>
      </c>
      <c r="CV10" s="156" t="b">
        <v>0</v>
      </c>
      <c r="CW10" s="47"/>
      <c r="CX10" s="47"/>
      <c r="CY10" s="205">
        <f t="shared" si="9"/>
        <v>0</v>
      </c>
      <c r="CZ10" s="47"/>
      <c r="DA10" s="47"/>
      <c r="DB10" s="47"/>
      <c r="DC10" s="47"/>
      <c r="DD10" s="47"/>
      <c r="DE10" s="47"/>
      <c r="DF10" s="156" t="b">
        <v>0</v>
      </c>
      <c r="DG10" s="156" t="b">
        <v>0</v>
      </c>
      <c r="DH10" s="47"/>
      <c r="DI10" s="47"/>
      <c r="DJ10" s="205">
        <f t="shared" si="10"/>
        <v>0</v>
      </c>
      <c r="DK10" s="47"/>
      <c r="DL10" s="47"/>
      <c r="DM10" s="47"/>
      <c r="DN10" s="47"/>
      <c r="DO10" s="47"/>
      <c r="DP10" s="47"/>
      <c r="DQ10" s="156" t="b">
        <v>0</v>
      </c>
      <c r="DR10" s="156" t="b">
        <v>0</v>
      </c>
      <c r="DS10" s="47"/>
      <c r="DT10" s="47"/>
      <c r="DU10" s="205">
        <f t="shared" si="11"/>
        <v>0</v>
      </c>
      <c r="DV10" s="47"/>
      <c r="DW10" s="47"/>
      <c r="DX10" s="47"/>
      <c r="DY10" s="47"/>
      <c r="DZ10" s="47"/>
      <c r="EA10" s="47"/>
      <c r="EB10" s="156" t="b">
        <v>0</v>
      </c>
      <c r="EC10" s="156" t="b">
        <v>0</v>
      </c>
      <c r="ED10" s="47"/>
      <c r="EE10" s="47"/>
      <c r="EF10" s="205">
        <f t="shared" si="12"/>
        <v>0</v>
      </c>
      <c r="EG10" s="47"/>
      <c r="EH10" s="47"/>
      <c r="EI10" s="47"/>
      <c r="EJ10" s="47"/>
      <c r="EK10" s="47"/>
      <c r="EL10" s="47"/>
      <c r="EM10" s="156" t="b">
        <v>0</v>
      </c>
      <c r="EN10" s="156" t="b">
        <v>0</v>
      </c>
      <c r="EO10" s="47"/>
      <c r="EP10" s="47"/>
      <c r="EQ10" s="205">
        <f t="shared" si="13"/>
        <v>0</v>
      </c>
      <c r="ER10" s="47"/>
      <c r="ES10" s="47"/>
      <c r="ET10" s="47"/>
      <c r="EU10" s="47"/>
      <c r="EV10" s="47"/>
      <c r="EW10" s="47"/>
      <c r="EX10" s="156" t="b">
        <v>0</v>
      </c>
      <c r="EY10" s="156" t="b">
        <v>0</v>
      </c>
      <c r="EZ10" s="47"/>
      <c r="FA10" s="47"/>
    </row>
    <row r="11" spans="1:157">
      <c r="C11" s="470" t="s">
        <v>1508</v>
      </c>
      <c r="D11" s="47">
        <v>1450015</v>
      </c>
      <c r="E11" s="47">
        <v>464</v>
      </c>
      <c r="F11" s="47" t="s">
        <v>1509</v>
      </c>
      <c r="G11" s="47" t="str">
        <f>_xlfn.TEXTBEFORE(SUINT[[#This Row],[CONCESSIONÁRIA]], " ", 1)</f>
        <v>COPASA</v>
      </c>
      <c r="H11" s="47" t="s">
        <v>1412</v>
      </c>
      <c r="I11" s="47" t="s">
        <v>170</v>
      </c>
      <c r="J11" s="47">
        <v>115431683</v>
      </c>
      <c r="K11" s="47">
        <v>118087452</v>
      </c>
      <c r="L11" s="47"/>
      <c r="M11" s="47"/>
      <c r="N11" s="470">
        <v>21</v>
      </c>
      <c r="O11" s="155"/>
      <c r="P11" s="163" t="s">
        <v>1510</v>
      </c>
      <c r="Q11" s="459">
        <v>1317.51</v>
      </c>
      <c r="R11" s="459">
        <v>63.24</v>
      </c>
      <c r="S11" s="459"/>
      <c r="T11" s="459">
        <f t="shared" si="0"/>
        <v>1254.27</v>
      </c>
      <c r="U11" s="47">
        <v>62</v>
      </c>
      <c r="V11" s="464">
        <v>46063</v>
      </c>
      <c r="W11" s="147" t="s">
        <v>1490</v>
      </c>
      <c r="X11" s="47"/>
      <c r="Y11" s="47"/>
      <c r="Z11" s="459">
        <f t="shared" si="1"/>
        <v>1227.3700000000001</v>
      </c>
      <c r="AA11" s="205">
        <v>58.91</v>
      </c>
      <c r="AB11" s="47"/>
      <c r="AC11" s="205">
        <v>1168.46</v>
      </c>
      <c r="AD11" s="47">
        <v>58</v>
      </c>
      <c r="AE11" s="41">
        <v>46091</v>
      </c>
      <c r="AF11" s="47" t="s">
        <v>1491</v>
      </c>
      <c r="AG11" s="156" t="b">
        <v>1</v>
      </c>
      <c r="AH11" s="156" t="b">
        <v>1</v>
      </c>
      <c r="AI11" s="868">
        <f t="shared" si="2"/>
        <v>-6.4516129032258063E-2</v>
      </c>
      <c r="AJ11" s="1127">
        <f t="shared" si="3"/>
        <v>-6.8416938011855596E-2</v>
      </c>
      <c r="AK11" s="205">
        <f>AN11 + ABS(AM11) + ABS(AL11)</f>
        <v>1552.6</v>
      </c>
      <c r="AL11" s="47">
        <v>-74.52</v>
      </c>
      <c r="AM11" s="47">
        <v>0</v>
      </c>
      <c r="AN11" s="459">
        <v>1478.08</v>
      </c>
      <c r="AO11" s="47">
        <v>68</v>
      </c>
      <c r="AP11" s="463">
        <v>46122</v>
      </c>
      <c r="AQ11" s="47" t="s">
        <v>1492</v>
      </c>
      <c r="AR11" s="156" t="b">
        <v>1</v>
      </c>
      <c r="AS11" s="156" t="b">
        <v>0</v>
      </c>
      <c r="AT11" s="47"/>
      <c r="AU11" s="47"/>
      <c r="AV11" s="1132">
        <f t="shared" si="4"/>
        <v>0</v>
      </c>
      <c r="AW11" s="459"/>
      <c r="AX11" s="459"/>
      <c r="AY11" s="459"/>
      <c r="AZ11" s="47"/>
      <c r="BA11" s="463"/>
      <c r="BB11" s="47"/>
      <c r="BC11" s="156" t="b">
        <v>0</v>
      </c>
      <c r="BD11" s="156" t="b">
        <v>0</v>
      </c>
      <c r="BE11" s="47"/>
      <c r="BF11" s="47"/>
      <c r="BG11" s="205">
        <f t="shared" si="5"/>
        <v>0</v>
      </c>
      <c r="BH11" s="47"/>
      <c r="BI11" s="47"/>
      <c r="BJ11" s="47"/>
      <c r="BK11" s="47"/>
      <c r="BL11" s="47"/>
      <c r="BM11" s="47"/>
      <c r="BN11" s="156" t="b">
        <v>0</v>
      </c>
      <c r="BO11" s="156" t="b">
        <v>0</v>
      </c>
      <c r="BP11" s="47"/>
      <c r="BQ11" s="47"/>
      <c r="BR11" s="205">
        <f t="shared" si="6"/>
        <v>0</v>
      </c>
      <c r="BS11" s="47"/>
      <c r="BT11" s="47"/>
      <c r="BU11" s="47"/>
      <c r="BV11" s="47"/>
      <c r="BW11" s="47"/>
      <c r="BX11" s="47"/>
      <c r="BY11" s="156" t="b">
        <v>0</v>
      </c>
      <c r="BZ11" s="156" t="b">
        <v>0</v>
      </c>
      <c r="CA11" s="47"/>
      <c r="CB11" s="47"/>
      <c r="CC11" s="205">
        <f t="shared" si="7"/>
        <v>0</v>
      </c>
      <c r="CD11" s="47"/>
      <c r="CE11" s="47"/>
      <c r="CF11" s="47"/>
      <c r="CG11" s="47"/>
      <c r="CH11" s="47"/>
      <c r="CI11" s="47"/>
      <c r="CJ11" s="156" t="b">
        <v>0</v>
      </c>
      <c r="CK11" s="156" t="b">
        <v>0</v>
      </c>
      <c r="CL11" s="47"/>
      <c r="CM11" s="47"/>
      <c r="CN11" s="205">
        <f t="shared" si="8"/>
        <v>0</v>
      </c>
      <c r="CO11" s="47"/>
      <c r="CP11" s="47"/>
      <c r="CQ11" s="47"/>
      <c r="CR11" s="47"/>
      <c r="CS11" s="47"/>
      <c r="CT11" s="47"/>
      <c r="CU11" s="156" t="b">
        <v>0</v>
      </c>
      <c r="CV11" s="156" t="b">
        <v>0</v>
      </c>
      <c r="CW11" s="47"/>
      <c r="CX11" s="47"/>
      <c r="CY11" s="205">
        <f t="shared" si="9"/>
        <v>0</v>
      </c>
      <c r="CZ11" s="47"/>
      <c r="DA11" s="47"/>
      <c r="DB11" s="47"/>
      <c r="DC11" s="47"/>
      <c r="DD11" s="47"/>
      <c r="DE11" s="47"/>
      <c r="DF11" s="156" t="b">
        <v>0</v>
      </c>
      <c r="DG11" s="156" t="b">
        <v>0</v>
      </c>
      <c r="DH11" s="47"/>
      <c r="DI11" s="47"/>
      <c r="DJ11" s="205">
        <f t="shared" si="10"/>
        <v>0</v>
      </c>
      <c r="DK11" s="47"/>
      <c r="DL11" s="47"/>
      <c r="DM11" s="47"/>
      <c r="DN11" s="47"/>
      <c r="DO11" s="47"/>
      <c r="DP11" s="47"/>
      <c r="DQ11" s="156" t="b">
        <v>0</v>
      </c>
      <c r="DR11" s="156" t="b">
        <v>0</v>
      </c>
      <c r="DS11" s="47"/>
      <c r="DT11" s="47"/>
      <c r="DU11" s="205">
        <f t="shared" si="11"/>
        <v>0</v>
      </c>
      <c r="DV11" s="47"/>
      <c r="DW11" s="47"/>
      <c r="DX11" s="47"/>
      <c r="DY11" s="47"/>
      <c r="DZ11" s="47"/>
      <c r="EA11" s="47"/>
      <c r="EB11" s="156" t="b">
        <v>0</v>
      </c>
      <c r="EC11" s="156" t="b">
        <v>0</v>
      </c>
      <c r="ED11" s="47"/>
      <c r="EE11" s="47"/>
      <c r="EF11" s="205">
        <f t="shared" si="12"/>
        <v>0</v>
      </c>
      <c r="EG11" s="47"/>
      <c r="EH11" s="47"/>
      <c r="EI11" s="47"/>
      <c r="EJ11" s="47"/>
      <c r="EK11" s="47"/>
      <c r="EL11" s="47"/>
      <c r="EM11" s="156" t="b">
        <v>0</v>
      </c>
      <c r="EN11" s="156" t="b">
        <v>0</v>
      </c>
      <c r="EO11" s="47"/>
      <c r="EP11" s="47"/>
      <c r="EQ11" s="205">
        <f t="shared" si="13"/>
        <v>0</v>
      </c>
      <c r="ER11" s="47"/>
      <c r="ES11" s="47"/>
      <c r="ET11" s="47"/>
      <c r="EU11" s="47"/>
      <c r="EV11" s="47"/>
      <c r="EW11" s="47"/>
      <c r="EX11" s="156" t="b">
        <v>0</v>
      </c>
      <c r="EY11" s="156" t="b">
        <v>0</v>
      </c>
      <c r="EZ11" s="47"/>
      <c r="FA11" s="47"/>
    </row>
    <row r="12" spans="1:157">
      <c r="C12" s="470" t="s">
        <v>1511</v>
      </c>
      <c r="D12" s="47">
        <v>1450015</v>
      </c>
      <c r="E12" s="47">
        <v>465</v>
      </c>
      <c r="F12" s="47" t="s">
        <v>1512</v>
      </c>
      <c r="G12" s="47" t="str">
        <f>_xlfn.TEXTBEFORE(SUINT[[#This Row],[CONCESSIONÁRIA]], " ", 1)</f>
        <v>COPASA</v>
      </c>
      <c r="H12" s="47" t="s">
        <v>1412</v>
      </c>
      <c r="I12" s="47" t="s">
        <v>170</v>
      </c>
      <c r="J12" s="47">
        <v>115485741</v>
      </c>
      <c r="K12" s="47">
        <v>118087452</v>
      </c>
      <c r="L12" s="47"/>
      <c r="M12" s="47"/>
      <c r="N12" s="470">
        <v>21</v>
      </c>
      <c r="O12" s="155"/>
      <c r="P12" s="163" t="s">
        <v>1513</v>
      </c>
      <c r="Q12" s="459">
        <v>2423.91</v>
      </c>
      <c r="R12" s="459">
        <v>116.35</v>
      </c>
      <c r="S12" s="459"/>
      <c r="T12" s="459">
        <f t="shared" si="0"/>
        <v>2307.56</v>
      </c>
      <c r="U12" s="47">
        <v>105</v>
      </c>
      <c r="V12" s="464">
        <v>46063</v>
      </c>
      <c r="W12" s="147" t="s">
        <v>1490</v>
      </c>
      <c r="X12" s="47"/>
      <c r="Y12" s="47"/>
      <c r="Z12" s="459">
        <f t="shared" si="1"/>
        <v>3427.37</v>
      </c>
      <c r="AA12" s="205">
        <v>164.51</v>
      </c>
      <c r="AB12" s="47"/>
      <c r="AC12" s="205">
        <v>3262.86</v>
      </c>
      <c r="AD12" s="47">
        <v>144</v>
      </c>
      <c r="AE12" s="182">
        <v>46091</v>
      </c>
      <c r="AF12" s="47" t="s">
        <v>1491</v>
      </c>
      <c r="AG12" s="156" t="b">
        <v>1</v>
      </c>
      <c r="AH12" s="156" t="b">
        <v>1</v>
      </c>
      <c r="AI12" s="868">
        <f t="shared" si="2"/>
        <v>0.37142857142857144</v>
      </c>
      <c r="AJ12" s="1127">
        <f t="shared" si="3"/>
        <v>0.41398401755840775</v>
      </c>
      <c r="AK12" s="205">
        <f>AN12 + ABS(AM12) + ABS(AL12)</f>
        <v>2811.48</v>
      </c>
      <c r="AL12" s="47">
        <v>-134.94999999999999</v>
      </c>
      <c r="AM12" s="47">
        <v>0</v>
      </c>
      <c r="AN12" s="459">
        <v>2676.53</v>
      </c>
      <c r="AO12" s="47">
        <v>115</v>
      </c>
      <c r="AP12" s="463">
        <v>46122</v>
      </c>
      <c r="AQ12" s="47" t="s">
        <v>1492</v>
      </c>
      <c r="AR12" s="156" t="b">
        <v>1</v>
      </c>
      <c r="AS12" s="156" t="b">
        <v>0</v>
      </c>
      <c r="AT12" s="47"/>
      <c r="AU12" s="47"/>
      <c r="AV12" s="1132">
        <f t="shared" si="4"/>
        <v>0</v>
      </c>
      <c r="AW12" s="459"/>
      <c r="AX12" s="459"/>
      <c r="AY12" s="459"/>
      <c r="AZ12" s="47"/>
      <c r="BA12" s="463"/>
      <c r="BB12" s="47"/>
      <c r="BC12" s="156" t="b">
        <v>0</v>
      </c>
      <c r="BD12" s="156" t="b">
        <v>0</v>
      </c>
      <c r="BE12" s="47"/>
      <c r="BF12" s="47"/>
      <c r="BG12" s="205">
        <f t="shared" si="5"/>
        <v>0</v>
      </c>
      <c r="BH12" s="47"/>
      <c r="BI12" s="47"/>
      <c r="BJ12" s="47"/>
      <c r="BK12" s="47"/>
      <c r="BL12" s="47"/>
      <c r="BM12" s="47"/>
      <c r="BN12" s="156" t="b">
        <v>0</v>
      </c>
      <c r="BO12" s="156" t="b">
        <v>0</v>
      </c>
      <c r="BP12" s="47"/>
      <c r="BQ12" s="47"/>
      <c r="BR12" s="205">
        <f t="shared" si="6"/>
        <v>0</v>
      </c>
      <c r="BS12" s="47"/>
      <c r="BT12" s="47"/>
      <c r="BU12" s="47"/>
      <c r="BV12" s="47"/>
      <c r="BW12" s="47"/>
      <c r="BX12" s="47"/>
      <c r="BY12" s="156" t="b">
        <v>0</v>
      </c>
      <c r="BZ12" s="156" t="b">
        <v>0</v>
      </c>
      <c r="CA12" s="47"/>
      <c r="CB12" s="47"/>
      <c r="CC12" s="205">
        <f t="shared" si="7"/>
        <v>0</v>
      </c>
      <c r="CD12" s="47"/>
      <c r="CE12" s="47"/>
      <c r="CF12" s="47"/>
      <c r="CG12" s="47"/>
      <c r="CH12" s="47"/>
      <c r="CI12" s="47"/>
      <c r="CJ12" s="156" t="b">
        <v>0</v>
      </c>
      <c r="CK12" s="156" t="b">
        <v>0</v>
      </c>
      <c r="CL12" s="47"/>
      <c r="CM12" s="47"/>
      <c r="CN12" s="205">
        <f t="shared" si="8"/>
        <v>0</v>
      </c>
      <c r="CO12" s="47"/>
      <c r="CP12" s="47"/>
      <c r="CQ12" s="47"/>
      <c r="CR12" s="47"/>
      <c r="CS12" s="47"/>
      <c r="CT12" s="47"/>
      <c r="CU12" s="156" t="b">
        <v>0</v>
      </c>
      <c r="CV12" s="156" t="b">
        <v>0</v>
      </c>
      <c r="CW12" s="47"/>
      <c r="CX12" s="47"/>
      <c r="CY12" s="205">
        <f t="shared" si="9"/>
        <v>0</v>
      </c>
      <c r="CZ12" s="47"/>
      <c r="DA12" s="47"/>
      <c r="DB12" s="47"/>
      <c r="DC12" s="47"/>
      <c r="DD12" s="47"/>
      <c r="DE12" s="47"/>
      <c r="DF12" s="156" t="b">
        <v>0</v>
      </c>
      <c r="DG12" s="156" t="b">
        <v>0</v>
      </c>
      <c r="DH12" s="47"/>
      <c r="DI12" s="47"/>
      <c r="DJ12" s="205">
        <f t="shared" si="10"/>
        <v>0</v>
      </c>
      <c r="DK12" s="47"/>
      <c r="DL12" s="47"/>
      <c r="DM12" s="47"/>
      <c r="DN12" s="47"/>
      <c r="DO12" s="47"/>
      <c r="DP12" s="47"/>
      <c r="DQ12" s="156" t="b">
        <v>0</v>
      </c>
      <c r="DR12" s="156" t="b">
        <v>0</v>
      </c>
      <c r="DS12" s="47"/>
      <c r="DT12" s="47"/>
      <c r="DU12" s="205">
        <f t="shared" si="11"/>
        <v>0</v>
      </c>
      <c r="DV12" s="47"/>
      <c r="DW12" s="47"/>
      <c r="DX12" s="47"/>
      <c r="DY12" s="47"/>
      <c r="DZ12" s="47"/>
      <c r="EA12" s="47"/>
      <c r="EB12" s="156" t="b">
        <v>0</v>
      </c>
      <c r="EC12" s="156" t="b">
        <v>0</v>
      </c>
      <c r="ED12" s="47"/>
      <c r="EE12" s="47"/>
      <c r="EF12" s="205">
        <f t="shared" si="12"/>
        <v>0</v>
      </c>
      <c r="EG12" s="47"/>
      <c r="EH12" s="47"/>
      <c r="EI12" s="47"/>
      <c r="EJ12" s="47"/>
      <c r="EK12" s="47"/>
      <c r="EL12" s="47"/>
      <c r="EM12" s="156" t="b">
        <v>0</v>
      </c>
      <c r="EN12" s="156" t="b">
        <v>0</v>
      </c>
      <c r="EO12" s="47"/>
      <c r="EP12" s="47"/>
      <c r="EQ12" s="205">
        <f t="shared" si="13"/>
        <v>0</v>
      </c>
      <c r="ER12" s="47"/>
      <c r="ES12" s="47"/>
      <c r="ET12" s="47"/>
      <c r="EU12" s="47"/>
      <c r="EV12" s="47"/>
      <c r="EW12" s="47"/>
      <c r="EX12" s="156" t="b">
        <v>0</v>
      </c>
      <c r="EY12" s="156" t="b">
        <v>0</v>
      </c>
      <c r="EZ12" s="47"/>
      <c r="FA12" s="47"/>
    </row>
    <row r="13" spans="1:157">
      <c r="C13" s="470" t="s">
        <v>1514</v>
      </c>
      <c r="D13" s="47">
        <v>1450015</v>
      </c>
      <c r="E13" s="47">
        <v>471</v>
      </c>
      <c r="F13" s="47" t="s">
        <v>1515</v>
      </c>
      <c r="G13" s="47" t="str">
        <f>_xlfn.TEXTBEFORE(SUINT[[#This Row],[CONCESSIONÁRIA]], " ", 1)</f>
        <v>COPASA</v>
      </c>
      <c r="H13" s="47" t="s">
        <v>1412</v>
      </c>
      <c r="I13" s="47" t="s">
        <v>170</v>
      </c>
      <c r="J13" s="47">
        <v>23410426</v>
      </c>
      <c r="K13" s="47">
        <v>118087452</v>
      </c>
      <c r="L13" s="47"/>
      <c r="M13" s="47"/>
      <c r="N13" s="470">
        <v>21</v>
      </c>
      <c r="O13" s="155"/>
      <c r="P13" s="163" t="s">
        <v>1516</v>
      </c>
      <c r="Q13" s="459">
        <v>91.09</v>
      </c>
      <c r="R13" s="459">
        <v>4.37</v>
      </c>
      <c r="S13" s="459"/>
      <c r="T13" s="459">
        <f t="shared" si="0"/>
        <v>86.72</v>
      </c>
      <c r="U13" s="47">
        <v>10</v>
      </c>
      <c r="V13" s="464">
        <v>46063</v>
      </c>
      <c r="W13" s="147" t="s">
        <v>1490</v>
      </c>
      <c r="X13" s="47"/>
      <c r="Y13" s="47"/>
      <c r="Z13" s="459">
        <f t="shared" si="1"/>
        <v>62.300000000000004</v>
      </c>
      <c r="AA13" s="205">
        <v>2.99</v>
      </c>
      <c r="AB13" s="47"/>
      <c r="AC13" s="205">
        <v>59.31</v>
      </c>
      <c r="AD13" s="47">
        <v>6</v>
      </c>
      <c r="AE13" s="182">
        <v>46091</v>
      </c>
      <c r="AF13" s="47" t="s">
        <v>1491</v>
      </c>
      <c r="AG13" s="156" t="b">
        <v>1</v>
      </c>
      <c r="AH13" s="156" t="b">
        <v>1</v>
      </c>
      <c r="AI13" s="868">
        <f t="shared" si="2"/>
        <v>-0.4</v>
      </c>
      <c r="AJ13" s="1127">
        <f t="shared" si="3"/>
        <v>-0.31606103853331868</v>
      </c>
      <c r="AK13" s="205">
        <f>AN13 + ABS(AM13) + ABS(AL13)</f>
        <v>58.76</v>
      </c>
      <c r="AL13" s="47">
        <v>-2.82</v>
      </c>
      <c r="AM13" s="47">
        <v>0</v>
      </c>
      <c r="AN13" s="459">
        <v>55.94</v>
      </c>
      <c r="AO13" s="47">
        <v>5</v>
      </c>
      <c r="AP13" s="463">
        <v>46122</v>
      </c>
      <c r="AQ13" s="47" t="s">
        <v>1492</v>
      </c>
      <c r="AR13" s="156" t="b">
        <v>1</v>
      </c>
      <c r="AS13" s="156" t="b">
        <v>0</v>
      </c>
      <c r="AT13" s="47"/>
      <c r="AU13" s="47"/>
      <c r="AV13" s="1132">
        <f t="shared" si="4"/>
        <v>0</v>
      </c>
      <c r="AW13" s="459"/>
      <c r="AX13" s="459"/>
      <c r="AY13" s="459"/>
      <c r="AZ13" s="47"/>
      <c r="BA13" s="463"/>
      <c r="BB13" s="47"/>
      <c r="BC13" s="156" t="b">
        <v>0</v>
      </c>
      <c r="BD13" s="156" t="b">
        <v>0</v>
      </c>
      <c r="BE13" s="47"/>
      <c r="BF13" s="47"/>
      <c r="BG13" s="205">
        <f t="shared" si="5"/>
        <v>0</v>
      </c>
      <c r="BH13" s="47"/>
      <c r="BI13" s="47"/>
      <c r="BJ13" s="47"/>
      <c r="BK13" s="47"/>
      <c r="BL13" s="47"/>
      <c r="BM13" s="47"/>
      <c r="BN13" s="156" t="b">
        <v>0</v>
      </c>
      <c r="BO13" s="156" t="b">
        <v>0</v>
      </c>
      <c r="BP13" s="47"/>
      <c r="BQ13" s="47"/>
      <c r="BR13" s="205">
        <f t="shared" si="6"/>
        <v>0</v>
      </c>
      <c r="BS13" s="47"/>
      <c r="BT13" s="47"/>
      <c r="BU13" s="47"/>
      <c r="BV13" s="47"/>
      <c r="BW13" s="47"/>
      <c r="BX13" s="47"/>
      <c r="BY13" s="156" t="b">
        <v>0</v>
      </c>
      <c r="BZ13" s="156" t="b">
        <v>0</v>
      </c>
      <c r="CA13" s="47"/>
      <c r="CB13" s="47"/>
      <c r="CC13" s="205">
        <f t="shared" si="7"/>
        <v>0</v>
      </c>
      <c r="CD13" s="47"/>
      <c r="CE13" s="47"/>
      <c r="CF13" s="47"/>
      <c r="CG13" s="47"/>
      <c r="CH13" s="47"/>
      <c r="CI13" s="47"/>
      <c r="CJ13" s="156" t="b">
        <v>0</v>
      </c>
      <c r="CK13" s="156" t="b">
        <v>0</v>
      </c>
      <c r="CL13" s="47"/>
      <c r="CM13" s="47"/>
      <c r="CN13" s="205">
        <f t="shared" si="8"/>
        <v>0</v>
      </c>
      <c r="CO13" s="47"/>
      <c r="CP13" s="47"/>
      <c r="CQ13" s="47"/>
      <c r="CR13" s="47"/>
      <c r="CS13" s="47"/>
      <c r="CT13" s="47"/>
      <c r="CU13" s="156" t="b">
        <v>0</v>
      </c>
      <c r="CV13" s="156" t="b">
        <v>0</v>
      </c>
      <c r="CW13" s="47"/>
      <c r="CX13" s="47"/>
      <c r="CY13" s="205">
        <f t="shared" si="9"/>
        <v>0</v>
      </c>
      <c r="CZ13" s="47"/>
      <c r="DA13" s="47"/>
      <c r="DB13" s="47"/>
      <c r="DC13" s="47"/>
      <c r="DD13" s="47"/>
      <c r="DE13" s="47"/>
      <c r="DF13" s="156" t="b">
        <v>0</v>
      </c>
      <c r="DG13" s="156" t="b">
        <v>0</v>
      </c>
      <c r="DH13" s="47"/>
      <c r="DI13" s="47"/>
      <c r="DJ13" s="205">
        <f t="shared" si="10"/>
        <v>0</v>
      </c>
      <c r="DK13" s="47"/>
      <c r="DL13" s="47"/>
      <c r="DM13" s="47"/>
      <c r="DN13" s="47"/>
      <c r="DO13" s="47"/>
      <c r="DP13" s="47"/>
      <c r="DQ13" s="156" t="b">
        <v>0</v>
      </c>
      <c r="DR13" s="156" t="b">
        <v>0</v>
      </c>
      <c r="DS13" s="47"/>
      <c r="DT13" s="47"/>
      <c r="DU13" s="205">
        <f t="shared" si="11"/>
        <v>0</v>
      </c>
      <c r="DV13" s="47"/>
      <c r="DW13" s="47"/>
      <c r="DX13" s="47"/>
      <c r="DY13" s="47"/>
      <c r="DZ13" s="47"/>
      <c r="EA13" s="47"/>
      <c r="EB13" s="156" t="b">
        <v>0</v>
      </c>
      <c r="EC13" s="156" t="b">
        <v>0</v>
      </c>
      <c r="ED13" s="47"/>
      <c r="EE13" s="47"/>
      <c r="EF13" s="205">
        <f t="shared" si="12"/>
        <v>0</v>
      </c>
      <c r="EG13" s="47"/>
      <c r="EH13" s="47"/>
      <c r="EI13" s="47"/>
      <c r="EJ13" s="47"/>
      <c r="EK13" s="47"/>
      <c r="EL13" s="47"/>
      <c r="EM13" s="156" t="b">
        <v>0</v>
      </c>
      <c r="EN13" s="156" t="b">
        <v>0</v>
      </c>
      <c r="EO13" s="47"/>
      <c r="EP13" s="47"/>
      <c r="EQ13" s="205">
        <f t="shared" si="13"/>
        <v>0</v>
      </c>
      <c r="ER13" s="47"/>
      <c r="ES13" s="47"/>
      <c r="ET13" s="47"/>
      <c r="EU13" s="47"/>
      <c r="EV13" s="47"/>
      <c r="EW13" s="47"/>
      <c r="EX13" s="156" t="b">
        <v>0</v>
      </c>
      <c r="EY13" s="156" t="b">
        <v>0</v>
      </c>
      <c r="EZ13" s="47"/>
      <c r="FA13" s="47"/>
    </row>
    <row r="14" spans="1:157">
      <c r="C14" s="470" t="s">
        <v>1517</v>
      </c>
      <c r="D14" s="47">
        <v>1450015</v>
      </c>
      <c r="E14" s="47">
        <v>15</v>
      </c>
      <c r="F14" s="47" t="s">
        <v>1518</v>
      </c>
      <c r="G14" s="47" t="str">
        <f>_xlfn.TEXTBEFORE(SUINT[[#This Row],[CONCESSIONÁRIA]], " ", 1)</f>
        <v>COPASA</v>
      </c>
      <c r="H14" s="47" t="s">
        <v>1412</v>
      </c>
      <c r="I14" s="47" t="s">
        <v>170</v>
      </c>
      <c r="J14" s="47">
        <v>126337136</v>
      </c>
      <c r="K14" s="47">
        <v>118087452</v>
      </c>
      <c r="L14" s="47"/>
      <c r="M14" s="47"/>
      <c r="N14" s="470">
        <v>21</v>
      </c>
      <c r="O14" s="155"/>
      <c r="P14" s="163" t="s">
        <v>1519</v>
      </c>
      <c r="Q14" s="459">
        <v>108.35</v>
      </c>
      <c r="R14" s="459">
        <v>5.2</v>
      </c>
      <c r="S14" s="459"/>
      <c r="T14" s="459">
        <f t="shared" si="0"/>
        <v>103.14999999999999</v>
      </c>
      <c r="U14" s="47">
        <v>6</v>
      </c>
      <c r="V14" s="464">
        <v>46063</v>
      </c>
      <c r="W14" s="147" t="s">
        <v>1490</v>
      </c>
      <c r="X14" s="47"/>
      <c r="Y14" s="47"/>
      <c r="Z14" s="459">
        <f t="shared" si="1"/>
        <v>120.86999999999999</v>
      </c>
      <c r="AA14" s="205">
        <v>5.8</v>
      </c>
      <c r="AB14" s="47"/>
      <c r="AC14" s="205">
        <v>115.07</v>
      </c>
      <c r="AD14" s="47">
        <v>7</v>
      </c>
      <c r="AE14" s="182">
        <v>46091</v>
      </c>
      <c r="AF14" s="47" t="s">
        <v>1491</v>
      </c>
      <c r="AG14" s="156" t="b">
        <v>1</v>
      </c>
      <c r="AH14" s="156" t="b">
        <v>1</v>
      </c>
      <c r="AI14" s="868">
        <f t="shared" si="2"/>
        <v>0.16666666666666666</v>
      </c>
      <c r="AJ14" s="1127">
        <f t="shared" si="3"/>
        <v>0.11555145362251958</v>
      </c>
      <c r="AK14" s="205">
        <f>AN14 + ABS(AM14) + ABS(AL14)</f>
        <v>60.83</v>
      </c>
      <c r="AL14" s="47">
        <v>-2.92</v>
      </c>
      <c r="AM14" s="47">
        <v>0</v>
      </c>
      <c r="AN14" s="459">
        <v>57.91</v>
      </c>
      <c r="AO14" s="47">
        <v>0</v>
      </c>
      <c r="AP14" s="463">
        <v>46122</v>
      </c>
      <c r="AQ14" s="47" t="s">
        <v>1492</v>
      </c>
      <c r="AR14" s="156" t="b">
        <v>1</v>
      </c>
      <c r="AS14" s="156" t="b">
        <v>0</v>
      </c>
      <c r="AT14" s="47"/>
      <c r="AU14" s="47"/>
      <c r="AV14" s="1132">
        <f t="shared" si="4"/>
        <v>0</v>
      </c>
      <c r="AW14" s="459"/>
      <c r="AX14" s="459"/>
      <c r="AY14" s="459"/>
      <c r="AZ14" s="47"/>
      <c r="BA14" s="463"/>
      <c r="BB14" s="47"/>
      <c r="BC14" s="156" t="b">
        <v>0</v>
      </c>
      <c r="BD14" s="156" t="b">
        <v>0</v>
      </c>
      <c r="BE14" s="47"/>
      <c r="BF14" s="47"/>
      <c r="BG14" s="205">
        <f t="shared" si="5"/>
        <v>0</v>
      </c>
      <c r="BH14" s="47"/>
      <c r="BI14" s="47"/>
      <c r="BJ14" s="47"/>
      <c r="BK14" s="47"/>
      <c r="BL14" s="47"/>
      <c r="BM14" s="47"/>
      <c r="BN14" s="156" t="b">
        <v>0</v>
      </c>
      <c r="BO14" s="156" t="b">
        <v>0</v>
      </c>
      <c r="BP14" s="47"/>
      <c r="BQ14" s="47"/>
      <c r="BR14" s="205">
        <f t="shared" si="6"/>
        <v>0</v>
      </c>
      <c r="BS14" s="47"/>
      <c r="BT14" s="47"/>
      <c r="BU14" s="47"/>
      <c r="BV14" s="47"/>
      <c r="BW14" s="47"/>
      <c r="BX14" s="47"/>
      <c r="BY14" s="156" t="b">
        <v>0</v>
      </c>
      <c r="BZ14" s="156" t="b">
        <v>0</v>
      </c>
      <c r="CA14" s="47"/>
      <c r="CB14" s="47"/>
      <c r="CC14" s="205">
        <f t="shared" si="7"/>
        <v>0</v>
      </c>
      <c r="CD14" s="47"/>
      <c r="CE14" s="47"/>
      <c r="CF14" s="47"/>
      <c r="CG14" s="47"/>
      <c r="CH14" s="47"/>
      <c r="CI14" s="47"/>
      <c r="CJ14" s="156" t="b">
        <v>0</v>
      </c>
      <c r="CK14" s="156" t="b">
        <v>0</v>
      </c>
      <c r="CL14" s="47"/>
      <c r="CM14" s="47"/>
      <c r="CN14" s="205">
        <f t="shared" si="8"/>
        <v>0</v>
      </c>
      <c r="CO14" s="47"/>
      <c r="CP14" s="47"/>
      <c r="CQ14" s="47"/>
      <c r="CR14" s="47"/>
      <c r="CS14" s="47"/>
      <c r="CT14" s="47"/>
      <c r="CU14" s="156" t="b">
        <v>0</v>
      </c>
      <c r="CV14" s="156" t="b">
        <v>0</v>
      </c>
      <c r="CW14" s="47"/>
      <c r="CX14" s="47"/>
      <c r="CY14" s="205">
        <f t="shared" si="9"/>
        <v>0</v>
      </c>
      <c r="CZ14" s="47"/>
      <c r="DA14" s="47"/>
      <c r="DB14" s="47"/>
      <c r="DC14" s="47"/>
      <c r="DD14" s="47"/>
      <c r="DE14" s="47"/>
      <c r="DF14" s="156" t="b">
        <v>0</v>
      </c>
      <c r="DG14" s="156" t="b">
        <v>0</v>
      </c>
      <c r="DH14" s="47"/>
      <c r="DI14" s="47"/>
      <c r="DJ14" s="205">
        <f t="shared" si="10"/>
        <v>0</v>
      </c>
      <c r="DK14" s="47"/>
      <c r="DL14" s="47"/>
      <c r="DM14" s="47"/>
      <c r="DN14" s="47"/>
      <c r="DO14" s="47"/>
      <c r="DP14" s="47"/>
      <c r="DQ14" s="156" t="b">
        <v>0</v>
      </c>
      <c r="DR14" s="156" t="b">
        <v>0</v>
      </c>
      <c r="DS14" s="47"/>
      <c r="DT14" s="47"/>
      <c r="DU14" s="205">
        <f t="shared" si="11"/>
        <v>0</v>
      </c>
      <c r="DV14" s="47"/>
      <c r="DW14" s="47"/>
      <c r="DX14" s="47"/>
      <c r="DY14" s="47"/>
      <c r="DZ14" s="47"/>
      <c r="EA14" s="47"/>
      <c r="EB14" s="156" t="b">
        <v>0</v>
      </c>
      <c r="EC14" s="156" t="b">
        <v>0</v>
      </c>
      <c r="ED14" s="47"/>
      <c r="EE14" s="47"/>
      <c r="EF14" s="205">
        <f t="shared" si="12"/>
        <v>0</v>
      </c>
      <c r="EG14" s="47"/>
      <c r="EH14" s="47"/>
      <c r="EI14" s="47"/>
      <c r="EJ14" s="47"/>
      <c r="EK14" s="47"/>
      <c r="EL14" s="47"/>
      <c r="EM14" s="156" t="b">
        <v>0</v>
      </c>
      <c r="EN14" s="156" t="b">
        <v>0</v>
      </c>
      <c r="EO14" s="47"/>
      <c r="EP14" s="47"/>
      <c r="EQ14" s="205">
        <f t="shared" si="13"/>
        <v>0</v>
      </c>
      <c r="ER14" s="47"/>
      <c r="ES14" s="47"/>
      <c r="ET14" s="47"/>
      <c r="EU14" s="47"/>
      <c r="EV14" s="47"/>
      <c r="EW14" s="47"/>
      <c r="EX14" s="156" t="b">
        <v>0</v>
      </c>
      <c r="EY14" s="156" t="b">
        <v>0</v>
      </c>
      <c r="EZ14" s="47"/>
      <c r="FA14" s="47"/>
    </row>
    <row r="15" spans="1:157">
      <c r="C15" s="470" t="s">
        <v>1520</v>
      </c>
      <c r="D15" s="47">
        <v>1450015</v>
      </c>
      <c r="E15" s="47">
        <v>9</v>
      </c>
      <c r="F15" s="47" t="s">
        <v>1521</v>
      </c>
      <c r="G15" s="47" t="str">
        <f>_xlfn.TEXTBEFORE(SUINT[[#This Row],[CONCESSIONÁRIA]], " ", 1)</f>
        <v>COPASA</v>
      </c>
      <c r="H15" s="47" t="s">
        <v>1412</v>
      </c>
      <c r="I15" s="47" t="s">
        <v>170</v>
      </c>
      <c r="J15" s="47">
        <v>23146648</v>
      </c>
      <c r="K15" s="47">
        <v>118087452</v>
      </c>
      <c r="L15" s="47"/>
      <c r="M15" s="47"/>
      <c r="N15" s="470">
        <v>21</v>
      </c>
      <c r="O15" s="155"/>
      <c r="P15" s="163" t="s">
        <v>1522</v>
      </c>
      <c r="Q15" s="459">
        <v>7167.63</v>
      </c>
      <c r="R15" s="459">
        <v>344.05</v>
      </c>
      <c r="S15" s="459"/>
      <c r="T15" s="459">
        <f t="shared" si="0"/>
        <v>6823.58</v>
      </c>
      <c r="U15" s="47">
        <v>276</v>
      </c>
      <c r="V15" s="464">
        <v>46063</v>
      </c>
      <c r="W15" s="147" t="s">
        <v>1490</v>
      </c>
      <c r="X15" s="47"/>
      <c r="Y15" s="47"/>
      <c r="Z15" s="459">
        <f t="shared" si="1"/>
        <v>54.120000000000005</v>
      </c>
      <c r="AA15" s="205">
        <v>2.6</v>
      </c>
      <c r="AB15" s="47"/>
      <c r="AC15" s="205">
        <v>51.52</v>
      </c>
      <c r="AD15" s="47">
        <v>0</v>
      </c>
      <c r="AE15" s="41">
        <v>46091</v>
      </c>
      <c r="AF15" s="47" t="s">
        <v>1491</v>
      </c>
      <c r="AG15" s="156" t="b">
        <v>1</v>
      </c>
      <c r="AH15" s="156" t="b">
        <v>1</v>
      </c>
      <c r="AI15" s="868">
        <f t="shared" si="2"/>
        <v>-1</v>
      </c>
      <c r="AJ15" s="1127">
        <f t="shared" si="3"/>
        <v>-0.99244938703588215</v>
      </c>
      <c r="AK15" s="205">
        <f>AN15 + ABS(AM15) + ABS(AL15)</f>
        <v>2937.2799999999997</v>
      </c>
      <c r="AL15" s="47">
        <v>-140.99</v>
      </c>
      <c r="AM15" s="47">
        <v>0</v>
      </c>
      <c r="AN15" s="459">
        <v>2796.29</v>
      </c>
      <c r="AO15" s="47">
        <v>121</v>
      </c>
      <c r="AP15" s="463">
        <v>46122</v>
      </c>
      <c r="AQ15" s="47" t="s">
        <v>1492</v>
      </c>
      <c r="AR15" s="156" t="b">
        <v>1</v>
      </c>
      <c r="AS15" s="156" t="b">
        <v>0</v>
      </c>
      <c r="AT15" s="47"/>
      <c r="AU15" s="47"/>
      <c r="AV15" s="1132">
        <f t="shared" si="4"/>
        <v>0</v>
      </c>
      <c r="AW15" s="459"/>
      <c r="AX15" s="459"/>
      <c r="AY15" s="459"/>
      <c r="AZ15" s="47"/>
      <c r="BA15" s="463"/>
      <c r="BB15" s="47"/>
      <c r="BC15" s="156" t="b">
        <v>0</v>
      </c>
      <c r="BD15" s="156" t="b">
        <v>0</v>
      </c>
      <c r="BE15" s="47"/>
      <c r="BF15" s="47"/>
      <c r="BG15" s="205">
        <f t="shared" si="5"/>
        <v>0</v>
      </c>
      <c r="BH15" s="47"/>
      <c r="BI15" s="47"/>
      <c r="BJ15" s="47"/>
      <c r="BK15" s="47"/>
      <c r="BL15" s="47"/>
      <c r="BM15" s="47"/>
      <c r="BN15" s="156" t="b">
        <v>0</v>
      </c>
      <c r="BO15" s="156" t="b">
        <v>0</v>
      </c>
      <c r="BP15" s="47"/>
      <c r="BQ15" s="47"/>
      <c r="BR15" s="205">
        <f t="shared" si="6"/>
        <v>0</v>
      </c>
      <c r="BS15" s="47"/>
      <c r="BT15" s="47"/>
      <c r="BU15" s="47"/>
      <c r="BV15" s="47"/>
      <c r="BW15" s="47"/>
      <c r="BX15" s="47"/>
      <c r="BY15" s="156" t="b">
        <v>0</v>
      </c>
      <c r="BZ15" s="156" t="b">
        <v>0</v>
      </c>
      <c r="CA15" s="47"/>
      <c r="CB15" s="47"/>
      <c r="CC15" s="205">
        <f t="shared" si="7"/>
        <v>0</v>
      </c>
      <c r="CD15" s="47"/>
      <c r="CE15" s="47"/>
      <c r="CF15" s="47"/>
      <c r="CG15" s="47"/>
      <c r="CH15" s="47"/>
      <c r="CI15" s="47"/>
      <c r="CJ15" s="156" t="b">
        <v>0</v>
      </c>
      <c r="CK15" s="156" t="b">
        <v>0</v>
      </c>
      <c r="CL15" s="47"/>
      <c r="CM15" s="47"/>
      <c r="CN15" s="205">
        <f t="shared" si="8"/>
        <v>0</v>
      </c>
      <c r="CO15" s="47"/>
      <c r="CP15" s="47"/>
      <c r="CQ15" s="47"/>
      <c r="CR15" s="47"/>
      <c r="CS15" s="47"/>
      <c r="CT15" s="47"/>
      <c r="CU15" s="156" t="b">
        <v>0</v>
      </c>
      <c r="CV15" s="156" t="b">
        <v>0</v>
      </c>
      <c r="CW15" s="47"/>
      <c r="CX15" s="47"/>
      <c r="CY15" s="205">
        <f t="shared" si="9"/>
        <v>0</v>
      </c>
      <c r="CZ15" s="47"/>
      <c r="DA15" s="47"/>
      <c r="DB15" s="47"/>
      <c r="DC15" s="47"/>
      <c r="DD15" s="47"/>
      <c r="DE15" s="47"/>
      <c r="DF15" s="156" t="b">
        <v>0</v>
      </c>
      <c r="DG15" s="156" t="b">
        <v>0</v>
      </c>
      <c r="DH15" s="47"/>
      <c r="DI15" s="47"/>
      <c r="DJ15" s="205">
        <f t="shared" si="10"/>
        <v>0</v>
      </c>
      <c r="DK15" s="47"/>
      <c r="DL15" s="47"/>
      <c r="DM15" s="47"/>
      <c r="DN15" s="47"/>
      <c r="DO15" s="47"/>
      <c r="DP15" s="47"/>
      <c r="DQ15" s="156" t="b">
        <v>0</v>
      </c>
      <c r="DR15" s="156" t="b">
        <v>0</v>
      </c>
      <c r="DS15" s="47"/>
      <c r="DT15" s="47"/>
      <c r="DU15" s="205">
        <f t="shared" si="11"/>
        <v>0</v>
      </c>
      <c r="DV15" s="47"/>
      <c r="DW15" s="47"/>
      <c r="DX15" s="47"/>
      <c r="DY15" s="47"/>
      <c r="DZ15" s="47"/>
      <c r="EA15" s="47"/>
      <c r="EB15" s="156" t="b">
        <v>0</v>
      </c>
      <c r="EC15" s="156" t="b">
        <v>0</v>
      </c>
      <c r="ED15" s="47"/>
      <c r="EE15" s="47"/>
      <c r="EF15" s="205">
        <f t="shared" si="12"/>
        <v>0</v>
      </c>
      <c r="EG15" s="47"/>
      <c r="EH15" s="47"/>
      <c r="EI15" s="47"/>
      <c r="EJ15" s="47"/>
      <c r="EK15" s="47"/>
      <c r="EL15" s="47"/>
      <c r="EM15" s="156" t="b">
        <v>0</v>
      </c>
      <c r="EN15" s="156" t="b">
        <v>0</v>
      </c>
      <c r="EO15" s="47"/>
      <c r="EP15" s="47"/>
      <c r="EQ15" s="205">
        <f t="shared" si="13"/>
        <v>0</v>
      </c>
      <c r="ER15" s="47"/>
      <c r="ES15" s="47"/>
      <c r="ET15" s="47"/>
      <c r="EU15" s="47"/>
      <c r="EV15" s="47"/>
      <c r="EW15" s="47"/>
      <c r="EX15" s="156" t="b">
        <v>0</v>
      </c>
      <c r="EY15" s="156" t="b">
        <v>0</v>
      </c>
      <c r="EZ15" s="47"/>
      <c r="FA15" s="47"/>
    </row>
    <row r="16" spans="1:157">
      <c r="C16" s="1101" t="s">
        <v>1523</v>
      </c>
      <c r="D16" s="171">
        <v>1450015</v>
      </c>
      <c r="E16" s="171">
        <v>452</v>
      </c>
      <c r="F16" s="171" t="s">
        <v>1524</v>
      </c>
      <c r="G16" s="171" t="str">
        <f>_xlfn.TEXTBEFORE(SUINT[[#This Row],[CONCESSIONÁRIA]], " ", 1)</f>
        <v>CESAMA</v>
      </c>
      <c r="H16" s="171" t="s">
        <v>780</v>
      </c>
      <c r="I16" s="1102" t="s">
        <v>781</v>
      </c>
      <c r="J16" s="171">
        <v>150973667</v>
      </c>
      <c r="K16" s="171">
        <v>150973667</v>
      </c>
      <c r="L16" s="171"/>
      <c r="M16" s="171"/>
      <c r="N16" s="1101">
        <v>24</v>
      </c>
      <c r="O16" s="859"/>
      <c r="P16" s="1103">
        <v>150973667</v>
      </c>
      <c r="Q16" s="368">
        <v>933.22</v>
      </c>
      <c r="R16" s="368"/>
      <c r="S16" s="368"/>
      <c r="T16" s="368">
        <f t="shared" si="0"/>
        <v>933.22</v>
      </c>
      <c r="U16" s="171">
        <v>87</v>
      </c>
      <c r="V16" s="172">
        <v>46081</v>
      </c>
      <c r="W16" s="786" t="s">
        <v>1525</v>
      </c>
      <c r="X16" s="171"/>
      <c r="Y16" s="171"/>
      <c r="Z16" s="368">
        <f t="shared" si="1"/>
        <v>3897.61</v>
      </c>
      <c r="AA16" s="170">
        <v>0</v>
      </c>
      <c r="AB16" s="171">
        <v>265.48</v>
      </c>
      <c r="AC16" s="170">
        <v>3632.13</v>
      </c>
      <c r="AD16" s="171">
        <v>337</v>
      </c>
      <c r="AE16" s="172">
        <v>46111</v>
      </c>
      <c r="AF16" s="171" t="s">
        <v>1526</v>
      </c>
      <c r="AG16" s="177" t="b">
        <v>1</v>
      </c>
      <c r="AH16" s="177" t="b">
        <v>0</v>
      </c>
      <c r="AI16" s="1104">
        <f t="shared" si="2"/>
        <v>2.8735632183908044</v>
      </c>
      <c r="AJ16" s="1128">
        <f t="shared" si="3"/>
        <v>3.1765178628833506</v>
      </c>
      <c r="AK16" s="170">
        <f>AN16 + ABS(AM16) + ABS(AL16)</f>
        <v>0</v>
      </c>
      <c r="AL16" s="171"/>
      <c r="AM16" s="171"/>
      <c r="AN16" s="368"/>
      <c r="AO16" s="171"/>
      <c r="AP16" s="925">
        <v>46142</v>
      </c>
      <c r="AQ16" s="171"/>
      <c r="AR16" s="177" t="b">
        <v>0</v>
      </c>
      <c r="AS16" s="177" t="b">
        <v>0</v>
      </c>
      <c r="AT16" s="171"/>
      <c r="AU16" s="171"/>
      <c r="AV16" s="1133">
        <f t="shared" si="4"/>
        <v>0</v>
      </c>
      <c r="AW16" s="368"/>
      <c r="AX16" s="368"/>
      <c r="AY16" s="368"/>
      <c r="AZ16" s="171"/>
      <c r="BA16" s="172">
        <v>46172</v>
      </c>
      <c r="BB16" s="171"/>
      <c r="BC16" s="177" t="b">
        <v>0</v>
      </c>
      <c r="BD16" s="153" t="b">
        <v>0</v>
      </c>
      <c r="BE16" s="6"/>
      <c r="BF16" s="6"/>
      <c r="BG16" s="43">
        <f t="shared" si="5"/>
        <v>0</v>
      </c>
      <c r="BH16" s="6"/>
      <c r="BI16" s="6"/>
      <c r="BJ16" s="6"/>
      <c r="BK16" s="6"/>
      <c r="BL16" s="6"/>
      <c r="BM16" s="6"/>
      <c r="BN16" s="153" t="b">
        <v>0</v>
      </c>
      <c r="BO16" s="153" t="b">
        <v>0</v>
      </c>
      <c r="BP16" s="6"/>
      <c r="BQ16" s="6"/>
      <c r="BR16" s="43">
        <f t="shared" si="6"/>
        <v>0</v>
      </c>
      <c r="BS16" s="6"/>
      <c r="BT16" s="6"/>
      <c r="BU16" s="6"/>
      <c r="BV16" s="6"/>
      <c r="BW16" s="6"/>
      <c r="BX16" s="6"/>
      <c r="BY16" s="153" t="b">
        <v>0</v>
      </c>
      <c r="BZ16" s="153" t="b">
        <v>0</v>
      </c>
      <c r="CA16" s="6"/>
      <c r="CB16" s="6"/>
      <c r="CC16" s="43">
        <f t="shared" si="7"/>
        <v>0</v>
      </c>
      <c r="CD16" s="6"/>
      <c r="CE16" s="6"/>
      <c r="CF16" s="6"/>
      <c r="CG16" s="6"/>
      <c r="CH16" s="6"/>
      <c r="CI16" s="6"/>
      <c r="CJ16" s="153" t="b">
        <v>0</v>
      </c>
      <c r="CK16" s="153" t="b">
        <v>0</v>
      </c>
      <c r="CL16" s="6"/>
      <c r="CM16" s="6"/>
      <c r="CN16" s="43">
        <f t="shared" si="8"/>
        <v>0</v>
      </c>
      <c r="CO16" s="6"/>
      <c r="CP16" s="6"/>
      <c r="CQ16" s="6"/>
      <c r="CR16" s="6"/>
      <c r="CS16" s="6"/>
      <c r="CT16" s="6"/>
      <c r="CU16" s="153" t="b">
        <v>0</v>
      </c>
      <c r="CV16" s="153" t="b">
        <v>0</v>
      </c>
      <c r="CW16" s="6"/>
      <c r="CX16" s="6"/>
      <c r="CY16" s="43">
        <f t="shared" si="9"/>
        <v>0</v>
      </c>
      <c r="CZ16" s="6"/>
      <c r="DA16" s="6"/>
      <c r="DB16" s="6"/>
      <c r="DC16" s="6"/>
      <c r="DD16" s="6"/>
      <c r="DE16" s="6"/>
      <c r="DF16" s="153" t="b">
        <v>0</v>
      </c>
      <c r="DG16" s="153" t="b">
        <v>0</v>
      </c>
      <c r="DH16" s="6"/>
      <c r="DI16" s="6"/>
      <c r="DJ16" s="43">
        <f t="shared" si="10"/>
        <v>0</v>
      </c>
      <c r="DK16" s="6"/>
      <c r="DL16" s="6"/>
      <c r="DM16" s="6"/>
      <c r="DN16" s="6"/>
      <c r="DO16" s="6"/>
      <c r="DP16" s="6"/>
      <c r="DQ16" s="153" t="b">
        <v>0</v>
      </c>
      <c r="DR16" s="153" t="b">
        <v>0</v>
      </c>
      <c r="DS16" s="6"/>
      <c r="DT16" s="6"/>
      <c r="DU16" s="43">
        <f t="shared" si="11"/>
        <v>0</v>
      </c>
      <c r="DV16" s="6"/>
      <c r="DW16" s="6"/>
      <c r="DX16" s="6"/>
      <c r="DY16" s="6"/>
      <c r="DZ16" s="6"/>
      <c r="EA16" s="6"/>
      <c r="EB16" s="153" t="b">
        <v>0</v>
      </c>
      <c r="EC16" s="153" t="b">
        <v>0</v>
      </c>
      <c r="ED16" s="6"/>
      <c r="EE16" s="6"/>
      <c r="EF16" s="43">
        <f t="shared" si="12"/>
        <v>0</v>
      </c>
      <c r="EG16" s="6"/>
      <c r="EH16" s="6"/>
      <c r="EI16" s="6"/>
      <c r="EJ16" s="6"/>
      <c r="EK16" s="6"/>
      <c r="EL16" s="6"/>
      <c r="EM16" s="153" t="b">
        <v>0</v>
      </c>
      <c r="EN16" s="153" t="b">
        <v>0</v>
      </c>
      <c r="EO16" s="6"/>
      <c r="EP16" s="6"/>
      <c r="EQ16" s="43">
        <f t="shared" si="13"/>
        <v>0</v>
      </c>
      <c r="ER16" s="6"/>
      <c r="ES16" s="6"/>
      <c r="ET16" s="6"/>
      <c r="EU16" s="6"/>
      <c r="EV16" s="6"/>
      <c r="EW16" s="6"/>
      <c r="EX16" s="153" t="b">
        <v>0</v>
      </c>
      <c r="EY16" s="153" t="b">
        <v>0</v>
      </c>
      <c r="EZ16" s="6"/>
      <c r="FA16" s="6"/>
    </row>
    <row r="17" spans="3:157">
      <c r="C17" s="1101" t="s">
        <v>1527</v>
      </c>
      <c r="D17" s="171">
        <v>1450015</v>
      </c>
      <c r="E17" s="171">
        <v>470</v>
      </c>
      <c r="F17" s="171" t="s">
        <v>1528</v>
      </c>
      <c r="G17" s="456" t="str">
        <f>_xlfn.TEXTBEFORE(SUINT[[#This Row],[CONCESSIONÁRIA]], " ", 1)</f>
        <v>CESAMA</v>
      </c>
      <c r="H17" s="456" t="s">
        <v>780</v>
      </c>
      <c r="I17" s="1102" t="s">
        <v>781</v>
      </c>
      <c r="J17" s="171">
        <v>401901378</v>
      </c>
      <c r="K17" s="171">
        <v>401901378</v>
      </c>
      <c r="L17" s="171"/>
      <c r="M17" s="171"/>
      <c r="N17" s="1101">
        <v>24</v>
      </c>
      <c r="O17" s="859"/>
      <c r="P17" s="1103">
        <v>401901378</v>
      </c>
      <c r="Q17" s="368">
        <v>2141.1799999999998</v>
      </c>
      <c r="R17" s="368"/>
      <c r="S17" s="368"/>
      <c r="T17" s="368">
        <f t="shared" si="0"/>
        <v>2141.1799999999998</v>
      </c>
      <c r="U17" s="171">
        <v>192</v>
      </c>
      <c r="V17" s="172">
        <v>46081</v>
      </c>
      <c r="W17" s="786" t="s">
        <v>1525</v>
      </c>
      <c r="X17" s="171"/>
      <c r="Y17" s="171"/>
      <c r="Z17" s="368">
        <f t="shared" si="1"/>
        <v>0</v>
      </c>
      <c r="AA17" s="170"/>
      <c r="AB17" s="171"/>
      <c r="AC17" s="170"/>
      <c r="AD17" s="171"/>
      <c r="AE17" s="172">
        <v>46111</v>
      </c>
      <c r="AF17" s="171" t="s">
        <v>1526</v>
      </c>
      <c r="AG17" s="177" t="b">
        <v>1</v>
      </c>
      <c r="AH17" s="177" t="b">
        <v>0</v>
      </c>
      <c r="AI17" s="1104">
        <f t="shared" si="2"/>
        <v>-1</v>
      </c>
      <c r="AJ17" s="1128">
        <f t="shared" si="3"/>
        <v>-1</v>
      </c>
      <c r="AK17" s="170">
        <f>AN17 + ABS(AM17) + ABS(AL17)</f>
        <v>0</v>
      </c>
      <c r="AL17" s="171"/>
      <c r="AM17" s="171"/>
      <c r="AN17" s="368"/>
      <c r="AO17" s="171"/>
      <c r="AP17" s="925">
        <v>46142</v>
      </c>
      <c r="AQ17" s="171"/>
      <c r="AR17" s="177" t="b">
        <v>0</v>
      </c>
      <c r="AS17" s="177" t="b">
        <v>0</v>
      </c>
      <c r="AT17" s="171"/>
      <c r="AU17" s="171"/>
      <c r="AV17" s="1133">
        <f t="shared" si="4"/>
        <v>0</v>
      </c>
      <c r="AW17" s="368"/>
      <c r="AX17" s="368"/>
      <c r="AY17" s="368"/>
      <c r="AZ17" s="171"/>
      <c r="BA17" s="172"/>
      <c r="BB17" s="171"/>
      <c r="BC17" s="177" t="b">
        <v>0</v>
      </c>
      <c r="BD17" s="162" t="b">
        <v>0</v>
      </c>
      <c r="BE17" s="49"/>
      <c r="BF17" s="49"/>
      <c r="BG17" s="397">
        <f t="shared" si="5"/>
        <v>0</v>
      </c>
      <c r="BH17" s="49"/>
      <c r="BI17" s="49"/>
      <c r="BJ17" s="49"/>
      <c r="BK17" s="49"/>
      <c r="BL17" s="49"/>
      <c r="BM17" s="49"/>
      <c r="BN17" s="162" t="b">
        <v>0</v>
      </c>
      <c r="BO17" s="162" t="b">
        <v>0</v>
      </c>
      <c r="BP17" s="49"/>
      <c r="BQ17" s="49"/>
      <c r="BR17" s="397">
        <f t="shared" si="6"/>
        <v>0</v>
      </c>
      <c r="BS17" s="49"/>
      <c r="BT17" s="49"/>
      <c r="BU17" s="49"/>
      <c r="BV17" s="49"/>
      <c r="BW17" s="49"/>
      <c r="BX17" s="49"/>
      <c r="BY17" s="162" t="b">
        <v>0</v>
      </c>
      <c r="BZ17" s="162" t="b">
        <v>0</v>
      </c>
      <c r="CA17" s="49"/>
      <c r="CB17" s="49"/>
      <c r="CC17" s="397">
        <f t="shared" si="7"/>
        <v>0</v>
      </c>
      <c r="CD17" s="49"/>
      <c r="CE17" s="49"/>
      <c r="CF17" s="49"/>
      <c r="CG17" s="49"/>
      <c r="CH17" s="49"/>
      <c r="CI17" s="49"/>
      <c r="CJ17" s="162" t="b">
        <v>0</v>
      </c>
      <c r="CK17" s="162" t="b">
        <v>0</v>
      </c>
      <c r="CL17" s="49"/>
      <c r="CM17" s="49"/>
      <c r="CN17" s="397">
        <f t="shared" si="8"/>
        <v>0</v>
      </c>
      <c r="CO17" s="49"/>
      <c r="CP17" s="49"/>
      <c r="CQ17" s="49"/>
      <c r="CR17" s="49"/>
      <c r="CS17" s="49"/>
      <c r="CT17" s="49"/>
      <c r="CU17" s="162" t="b">
        <v>0</v>
      </c>
      <c r="CV17" s="162" t="b">
        <v>0</v>
      </c>
      <c r="CW17" s="49"/>
      <c r="CX17" s="49"/>
      <c r="CY17" s="397">
        <f t="shared" si="9"/>
        <v>0</v>
      </c>
      <c r="CZ17" s="49"/>
      <c r="DA17" s="49"/>
      <c r="DB17" s="49"/>
      <c r="DC17" s="49"/>
      <c r="DD17" s="49"/>
      <c r="DE17" s="49"/>
      <c r="DF17" s="162" t="b">
        <v>0</v>
      </c>
      <c r="DG17" s="162" t="b">
        <v>0</v>
      </c>
      <c r="DH17" s="49"/>
      <c r="DI17" s="49"/>
      <c r="DJ17" s="397">
        <f t="shared" si="10"/>
        <v>0</v>
      </c>
      <c r="DK17" s="49"/>
      <c r="DL17" s="49"/>
      <c r="DM17" s="49"/>
      <c r="DN17" s="49"/>
      <c r="DO17" s="49"/>
      <c r="DP17" s="49"/>
      <c r="DQ17" s="162" t="b">
        <v>0</v>
      </c>
      <c r="DR17" s="162" t="b">
        <v>0</v>
      </c>
      <c r="DS17" s="49"/>
      <c r="DT17" s="49"/>
      <c r="DU17" s="397">
        <f t="shared" si="11"/>
        <v>0</v>
      </c>
      <c r="DV17" s="49"/>
      <c r="DW17" s="49"/>
      <c r="DX17" s="49"/>
      <c r="DY17" s="49"/>
      <c r="DZ17" s="49"/>
      <c r="EA17" s="49"/>
      <c r="EB17" s="162" t="b">
        <v>0</v>
      </c>
      <c r="EC17" s="162" t="b">
        <v>0</v>
      </c>
      <c r="ED17" s="49"/>
      <c r="EE17" s="49"/>
      <c r="EF17" s="397">
        <f t="shared" si="12"/>
        <v>0</v>
      </c>
      <c r="EG17" s="49"/>
      <c r="EH17" s="49"/>
      <c r="EI17" s="49"/>
      <c r="EJ17" s="49"/>
      <c r="EK17" s="49"/>
      <c r="EL17" s="49"/>
      <c r="EM17" s="162" t="b">
        <v>0</v>
      </c>
      <c r="EN17" s="162" t="b">
        <v>0</v>
      </c>
      <c r="EO17" s="49"/>
      <c r="EP17" s="49"/>
      <c r="EQ17" s="397">
        <f t="shared" si="13"/>
        <v>0</v>
      </c>
      <c r="ER17" s="49"/>
      <c r="ES17" s="49"/>
      <c r="ET17" s="49"/>
      <c r="EU17" s="49"/>
      <c r="EV17" s="49"/>
      <c r="EW17" s="49"/>
      <c r="EX17" s="162" t="b">
        <v>0</v>
      </c>
      <c r="EY17" s="162" t="b">
        <v>0</v>
      </c>
      <c r="EZ17" s="49"/>
      <c r="FA17" s="49"/>
    </row>
    <row r="18" spans="3:157">
      <c r="C18" s="470" t="s">
        <v>1529</v>
      </c>
      <c r="D18" s="47">
        <v>1450015</v>
      </c>
      <c r="E18" s="47">
        <v>473</v>
      </c>
      <c r="F18" s="47" t="s">
        <v>1530</v>
      </c>
      <c r="G18" s="145" t="s">
        <v>889</v>
      </c>
      <c r="H18" s="145" t="s">
        <v>890</v>
      </c>
      <c r="I18" s="47" t="s">
        <v>891</v>
      </c>
      <c r="J18" s="47" t="s">
        <v>1531</v>
      </c>
      <c r="K18" s="163" t="s">
        <v>1530</v>
      </c>
      <c r="L18" s="47"/>
      <c r="M18" s="47"/>
      <c r="N18" s="470">
        <v>20</v>
      </c>
      <c r="O18" s="155"/>
      <c r="P18" s="163" t="s">
        <v>1532</v>
      </c>
      <c r="Q18" s="459">
        <v>1900.26</v>
      </c>
      <c r="R18" s="459"/>
      <c r="S18" s="459"/>
      <c r="T18" s="459">
        <f t="shared" si="0"/>
        <v>1900.26</v>
      </c>
      <c r="U18" s="163" t="s">
        <v>1533</v>
      </c>
      <c r="V18" s="463">
        <v>46038</v>
      </c>
      <c r="W18" s="163" t="s">
        <v>1534</v>
      </c>
      <c r="X18" s="163"/>
      <c r="Y18" s="163"/>
      <c r="Z18" s="459">
        <f t="shared" si="1"/>
        <v>2504.27</v>
      </c>
      <c r="AA18" s="205"/>
      <c r="AB18" s="47"/>
      <c r="AC18" s="205">
        <v>2504.27</v>
      </c>
      <c r="AD18" s="47">
        <v>186</v>
      </c>
      <c r="AE18" s="182">
        <v>46069</v>
      </c>
      <c r="AF18" s="47" t="s">
        <v>1535</v>
      </c>
      <c r="AG18" s="156" t="b">
        <v>1</v>
      </c>
      <c r="AH18" s="156" t="b">
        <v>1</v>
      </c>
      <c r="AI18" s="868">
        <f t="shared" si="2"/>
        <v>0.29166666666666669</v>
      </c>
      <c r="AJ18" s="1127">
        <f t="shared" si="3"/>
        <v>0.317856503846842</v>
      </c>
      <c r="AK18" s="205">
        <f>AN18 + ABS(AM18) + ABS(AL18)</f>
        <v>2331.6999999999998</v>
      </c>
      <c r="AL18" s="47"/>
      <c r="AM18" s="47"/>
      <c r="AN18" s="459">
        <v>2331.6999999999998</v>
      </c>
      <c r="AO18" s="47">
        <v>174</v>
      </c>
      <c r="AP18" s="463">
        <v>46097</v>
      </c>
      <c r="AQ18" s="47" t="s">
        <v>1536</v>
      </c>
      <c r="AR18" s="156" t="b">
        <v>1</v>
      </c>
      <c r="AS18" s="156" t="b">
        <v>1</v>
      </c>
      <c r="AT18" s="47"/>
      <c r="AU18" s="47"/>
      <c r="AV18" s="1132">
        <f t="shared" si="4"/>
        <v>2009.19</v>
      </c>
      <c r="AW18" s="459">
        <v>0</v>
      </c>
      <c r="AX18" s="459">
        <v>0</v>
      </c>
      <c r="AY18" s="459">
        <v>2009.19</v>
      </c>
      <c r="AZ18" s="47">
        <v>152</v>
      </c>
      <c r="BA18" s="463">
        <v>46128</v>
      </c>
      <c r="BB18" s="47" t="s">
        <v>1537</v>
      </c>
      <c r="BC18" s="156" t="b">
        <v>1</v>
      </c>
      <c r="BD18" s="156" t="b">
        <v>1</v>
      </c>
      <c r="BE18" s="47"/>
      <c r="BF18" s="47"/>
      <c r="BG18" s="205">
        <f t="shared" si="5"/>
        <v>0</v>
      </c>
      <c r="BH18" s="47"/>
      <c r="BI18" s="47"/>
      <c r="BJ18" s="47"/>
      <c r="BK18" s="47"/>
      <c r="BL18" s="47"/>
      <c r="BM18" s="47"/>
      <c r="BN18" s="156" t="b">
        <v>0</v>
      </c>
      <c r="BO18" s="156" t="b">
        <v>0</v>
      </c>
      <c r="BP18" s="47"/>
      <c r="BQ18" s="47"/>
      <c r="BR18" s="205">
        <f t="shared" si="6"/>
        <v>0</v>
      </c>
      <c r="BS18" s="47"/>
      <c r="BT18" s="47"/>
      <c r="BU18" s="47"/>
      <c r="BV18" s="47"/>
      <c r="BW18" s="47"/>
      <c r="BX18" s="47"/>
      <c r="BY18" s="156" t="b">
        <v>0</v>
      </c>
      <c r="BZ18" s="156" t="b">
        <v>0</v>
      </c>
      <c r="CA18" s="47"/>
      <c r="CB18" s="47"/>
      <c r="CC18" s="205">
        <f t="shared" si="7"/>
        <v>0</v>
      </c>
      <c r="CD18" s="47"/>
      <c r="CE18" s="47"/>
      <c r="CF18" s="47"/>
      <c r="CG18" s="47"/>
      <c r="CH18" s="47"/>
      <c r="CI18" s="47"/>
      <c r="CJ18" s="156" t="b">
        <v>0</v>
      </c>
      <c r="CK18" s="156" t="b">
        <v>0</v>
      </c>
      <c r="CL18" s="47"/>
      <c r="CM18" s="47"/>
      <c r="CN18" s="205">
        <f t="shared" si="8"/>
        <v>0</v>
      </c>
      <c r="CO18" s="47"/>
      <c r="CP18" s="47"/>
      <c r="CQ18" s="47"/>
      <c r="CR18" s="47"/>
      <c r="CS18" s="47"/>
      <c r="CT18" s="47"/>
      <c r="CU18" s="156" t="b">
        <v>0</v>
      </c>
      <c r="CV18" s="156" t="b">
        <v>0</v>
      </c>
      <c r="CW18" s="47"/>
      <c r="CX18" s="47"/>
      <c r="CY18" s="205">
        <f t="shared" si="9"/>
        <v>0</v>
      </c>
      <c r="CZ18" s="47"/>
      <c r="DA18" s="47"/>
      <c r="DB18" s="47"/>
      <c r="DC18" s="47"/>
      <c r="DD18" s="47"/>
      <c r="DE18" s="47"/>
      <c r="DF18" s="156" t="b">
        <v>0</v>
      </c>
      <c r="DG18" s="156" t="b">
        <v>0</v>
      </c>
      <c r="DH18" s="47"/>
      <c r="DI18" s="47"/>
      <c r="DJ18" s="205">
        <f t="shared" si="10"/>
        <v>0</v>
      </c>
      <c r="DK18" s="47"/>
      <c r="DL18" s="47"/>
      <c r="DM18" s="47"/>
      <c r="DN18" s="47"/>
      <c r="DO18" s="47"/>
      <c r="DP18" s="47"/>
      <c r="DQ18" s="156" t="b">
        <v>0</v>
      </c>
      <c r="DR18" s="156" t="b">
        <v>0</v>
      </c>
      <c r="DS18" s="47"/>
      <c r="DT18" s="47"/>
      <c r="DU18" s="205">
        <f t="shared" si="11"/>
        <v>0</v>
      </c>
      <c r="DV18" s="47"/>
      <c r="DW18" s="47"/>
      <c r="DX18" s="47"/>
      <c r="DY18" s="47"/>
      <c r="DZ18" s="47"/>
      <c r="EA18" s="47"/>
      <c r="EB18" s="156" t="b">
        <v>0</v>
      </c>
      <c r="EC18" s="156" t="b">
        <v>0</v>
      </c>
      <c r="ED18" s="47"/>
      <c r="EE18" s="47"/>
      <c r="EF18" s="205">
        <f t="shared" si="12"/>
        <v>0</v>
      </c>
      <c r="EG18" s="47"/>
      <c r="EH18" s="47"/>
      <c r="EI18" s="47"/>
      <c r="EJ18" s="47"/>
      <c r="EK18" s="47"/>
      <c r="EL18" s="47"/>
      <c r="EM18" s="156" t="b">
        <v>0</v>
      </c>
      <c r="EN18" s="156" t="b">
        <v>0</v>
      </c>
      <c r="EO18" s="47"/>
      <c r="EP18" s="47"/>
      <c r="EQ18" s="205">
        <f t="shared" si="13"/>
        <v>0</v>
      </c>
      <c r="ER18" s="47"/>
      <c r="ES18" s="47"/>
      <c r="ET18" s="47"/>
      <c r="EU18" s="47"/>
      <c r="EV18" s="47"/>
      <c r="EW18" s="47"/>
      <c r="EX18" s="156" t="b">
        <v>0</v>
      </c>
      <c r="EY18" s="156" t="b">
        <v>0</v>
      </c>
      <c r="EZ18" s="47"/>
      <c r="FA18" s="47"/>
    </row>
    <row r="19" spans="3:157">
      <c r="C19" s="471" t="s">
        <v>1538</v>
      </c>
      <c r="D19" s="49">
        <v>1450015</v>
      </c>
      <c r="E19" s="49">
        <v>453</v>
      </c>
      <c r="F19" s="49" t="s">
        <v>1539</v>
      </c>
      <c r="G19" s="49" t="s">
        <v>929</v>
      </c>
      <c r="H19" s="49" t="s">
        <v>930</v>
      </c>
      <c r="I19" s="49" t="s">
        <v>931</v>
      </c>
      <c r="J19" s="49" t="s">
        <v>1540</v>
      </c>
      <c r="K19" s="160" t="s">
        <v>1539</v>
      </c>
      <c r="L19" s="49"/>
      <c r="M19" s="49"/>
      <c r="N19" s="471">
        <v>19</v>
      </c>
      <c r="O19" s="161"/>
      <c r="P19" s="160" t="s">
        <v>1540</v>
      </c>
      <c r="Q19" s="460">
        <v>5039</v>
      </c>
      <c r="R19" s="460">
        <v>241.87</v>
      </c>
      <c r="S19" s="460"/>
      <c r="T19" s="460">
        <f t="shared" si="0"/>
        <v>4797.13</v>
      </c>
      <c r="U19" s="160" t="s">
        <v>1541</v>
      </c>
      <c r="V19" s="399">
        <v>46386</v>
      </c>
      <c r="W19" s="160" t="s">
        <v>1542</v>
      </c>
      <c r="X19" s="160"/>
      <c r="Y19" s="160"/>
      <c r="Z19" s="460">
        <f t="shared" si="1"/>
        <v>4414.33</v>
      </c>
      <c r="AA19" s="397">
        <v>211.89</v>
      </c>
      <c r="AB19" s="49"/>
      <c r="AC19" s="397">
        <v>4202.4399999999996</v>
      </c>
      <c r="AD19" s="49">
        <v>304</v>
      </c>
      <c r="AE19" s="399">
        <v>46052</v>
      </c>
      <c r="AF19" s="49" t="s">
        <v>1543</v>
      </c>
      <c r="AG19" s="162" t="b">
        <v>1</v>
      </c>
      <c r="AH19" s="162" t="b">
        <v>1</v>
      </c>
      <c r="AI19" s="869">
        <f t="shared" si="2"/>
        <v>-0.15789473684210525</v>
      </c>
      <c r="AJ19" s="1129">
        <f t="shared" si="3"/>
        <v>-0.1239670569557452</v>
      </c>
      <c r="AK19" s="205">
        <f>AN19 + ABS(AM19) + ABS(AL19)</f>
        <v>3994.95</v>
      </c>
      <c r="AL19" s="49">
        <v>191.76</v>
      </c>
      <c r="AM19" s="49">
        <v>0</v>
      </c>
      <c r="AN19" s="460">
        <v>3803.19</v>
      </c>
      <c r="AO19" s="49">
        <v>276</v>
      </c>
      <c r="AP19" s="399">
        <v>46076</v>
      </c>
      <c r="AQ19" s="49" t="s">
        <v>1544</v>
      </c>
      <c r="AR19" s="162" t="b">
        <v>1</v>
      </c>
      <c r="AS19" s="162" t="b">
        <v>1</v>
      </c>
      <c r="AT19" s="49"/>
      <c r="AU19" s="49"/>
      <c r="AV19" s="1134">
        <f t="shared" si="4"/>
        <v>3441.4900000000002</v>
      </c>
      <c r="AW19" s="460">
        <v>165.19</v>
      </c>
      <c r="AX19" s="460">
        <v>0</v>
      </c>
      <c r="AY19" s="460">
        <v>3276.3</v>
      </c>
      <c r="AZ19" s="49">
        <v>239</v>
      </c>
      <c r="BA19" s="1105">
        <v>46106</v>
      </c>
      <c r="BB19" s="49" t="s">
        <v>1545</v>
      </c>
      <c r="BC19" s="162" t="b">
        <v>1</v>
      </c>
      <c r="BD19" s="162" t="b">
        <v>1</v>
      </c>
      <c r="BE19" s="49"/>
      <c r="BF19" s="49"/>
      <c r="BG19" s="397">
        <f t="shared" si="5"/>
        <v>0</v>
      </c>
      <c r="BH19" s="49"/>
      <c r="BI19" s="49"/>
      <c r="BJ19" s="49"/>
      <c r="BK19" s="49"/>
      <c r="BL19" s="49"/>
      <c r="BM19" s="49"/>
      <c r="BN19" s="162" t="b">
        <v>0</v>
      </c>
      <c r="BO19" s="162" t="b">
        <v>0</v>
      </c>
      <c r="BP19" s="49"/>
      <c r="BQ19" s="49"/>
      <c r="BR19" s="397">
        <f t="shared" si="6"/>
        <v>0</v>
      </c>
      <c r="BS19" s="49"/>
      <c r="BT19" s="49"/>
      <c r="BU19" s="49"/>
      <c r="BV19" s="49"/>
      <c r="BW19" s="49"/>
      <c r="BX19" s="49"/>
      <c r="BY19" s="162" t="b">
        <v>0</v>
      </c>
      <c r="BZ19" s="162" t="b">
        <v>0</v>
      </c>
      <c r="CA19" s="49"/>
      <c r="CB19" s="49"/>
      <c r="CC19" s="397">
        <f t="shared" si="7"/>
        <v>0</v>
      </c>
      <c r="CD19" s="49"/>
      <c r="CE19" s="49"/>
      <c r="CF19" s="49"/>
      <c r="CG19" s="49"/>
      <c r="CH19" s="49"/>
      <c r="CI19" s="49"/>
      <c r="CJ19" s="162" t="b">
        <v>0</v>
      </c>
      <c r="CK19" s="162" t="b">
        <v>0</v>
      </c>
      <c r="CL19" s="49"/>
      <c r="CM19" s="49"/>
      <c r="CN19" s="397">
        <f t="shared" si="8"/>
        <v>0</v>
      </c>
      <c r="CO19" s="49"/>
      <c r="CP19" s="49"/>
      <c r="CQ19" s="49"/>
      <c r="CR19" s="49"/>
      <c r="CS19" s="49"/>
      <c r="CT19" s="49"/>
      <c r="CU19" s="162" t="b">
        <v>0</v>
      </c>
      <c r="CV19" s="162" t="b">
        <v>0</v>
      </c>
      <c r="CW19" s="49"/>
      <c r="CX19" s="49"/>
      <c r="CY19" s="397">
        <f t="shared" si="9"/>
        <v>0</v>
      </c>
      <c r="CZ19" s="49"/>
      <c r="DA19" s="49"/>
      <c r="DB19" s="49"/>
      <c r="DC19" s="49"/>
      <c r="DD19" s="49"/>
      <c r="DE19" s="49"/>
      <c r="DF19" s="162" t="b">
        <v>0</v>
      </c>
      <c r="DG19" s="162" t="b">
        <v>0</v>
      </c>
      <c r="DH19" s="49"/>
      <c r="DI19" s="49"/>
      <c r="DJ19" s="397">
        <f t="shared" si="10"/>
        <v>0</v>
      </c>
      <c r="DK19" s="49"/>
      <c r="DL19" s="49"/>
      <c r="DM19" s="49"/>
      <c r="DN19" s="49"/>
      <c r="DO19" s="49"/>
      <c r="DP19" s="49"/>
      <c r="DQ19" s="162" t="b">
        <v>0</v>
      </c>
      <c r="DR19" s="162" t="b">
        <v>0</v>
      </c>
      <c r="DS19" s="49"/>
      <c r="DT19" s="49"/>
      <c r="DU19" s="397">
        <f t="shared" si="11"/>
        <v>0</v>
      </c>
      <c r="DV19" s="49"/>
      <c r="DW19" s="49"/>
      <c r="DX19" s="49"/>
      <c r="DY19" s="49"/>
      <c r="DZ19" s="49"/>
      <c r="EA19" s="49"/>
      <c r="EB19" s="162" t="b">
        <v>0</v>
      </c>
      <c r="EC19" s="162" t="b">
        <v>0</v>
      </c>
      <c r="ED19" s="49"/>
      <c r="EE19" s="49"/>
      <c r="EF19" s="397">
        <f t="shared" si="12"/>
        <v>0</v>
      </c>
      <c r="EG19" s="49"/>
      <c r="EH19" s="49"/>
      <c r="EI19" s="49"/>
      <c r="EJ19" s="49"/>
      <c r="EK19" s="49"/>
      <c r="EL19" s="49"/>
      <c r="EM19" s="162" t="b">
        <v>0</v>
      </c>
      <c r="EN19" s="162" t="b">
        <v>0</v>
      </c>
      <c r="EO19" s="49"/>
      <c r="EP19" s="49"/>
      <c r="EQ19" s="397">
        <f t="shared" si="13"/>
        <v>0</v>
      </c>
      <c r="ER19" s="49"/>
      <c r="ES19" s="49"/>
      <c r="ET19" s="49"/>
      <c r="EU19" s="49"/>
      <c r="EV19" s="49"/>
      <c r="EW19" s="49"/>
      <c r="EX19" s="162" t="b">
        <v>0</v>
      </c>
      <c r="EY19" s="162" t="b">
        <v>0</v>
      </c>
      <c r="EZ19" s="49"/>
      <c r="FA19" s="49"/>
    </row>
    <row r="20" spans="3:157">
      <c r="C20" s="1072" t="s">
        <v>1546</v>
      </c>
      <c r="D20" s="47">
        <v>1450015</v>
      </c>
      <c r="E20" s="147">
        <v>455</v>
      </c>
      <c r="F20" s="147" t="s">
        <v>1547</v>
      </c>
      <c r="G20" s="147" t="s">
        <v>1179</v>
      </c>
      <c r="H20" s="147" t="s">
        <v>939</v>
      </c>
      <c r="I20" s="147" t="s">
        <v>940</v>
      </c>
      <c r="J20" s="147" t="s">
        <v>1548</v>
      </c>
      <c r="K20" s="157" t="s">
        <v>1549</v>
      </c>
      <c r="L20" s="147"/>
      <c r="M20" s="147"/>
      <c r="N20" s="470">
        <v>22</v>
      </c>
      <c r="O20" s="979">
        <v>23</v>
      </c>
      <c r="P20" s="157">
        <v>1379968</v>
      </c>
      <c r="Q20" s="461">
        <v>55.6</v>
      </c>
      <c r="R20" s="461"/>
      <c r="S20" s="461"/>
      <c r="T20" s="461">
        <f t="shared" si="0"/>
        <v>55.6</v>
      </c>
      <c r="U20" s="157" t="s">
        <v>1550</v>
      </c>
      <c r="V20" s="464">
        <v>46081</v>
      </c>
      <c r="W20" s="157" t="s">
        <v>1551</v>
      </c>
      <c r="X20" s="157"/>
      <c r="Y20" s="157"/>
      <c r="Z20" s="461">
        <f t="shared" si="1"/>
        <v>104.31</v>
      </c>
      <c r="AA20" s="398">
        <v>0</v>
      </c>
      <c r="AB20" s="398">
        <v>48.71</v>
      </c>
      <c r="AC20" s="398">
        <v>55.6</v>
      </c>
      <c r="AD20" s="147"/>
      <c r="AE20" s="182">
        <v>46112</v>
      </c>
      <c r="AF20" s="147" t="s">
        <v>1552</v>
      </c>
      <c r="AG20" s="158" t="b">
        <v>1</v>
      </c>
      <c r="AH20" s="158" t="b">
        <v>1</v>
      </c>
      <c r="AI20" s="870">
        <f t="shared" si="2"/>
        <v>-1</v>
      </c>
      <c r="AJ20" s="1130">
        <f t="shared" si="3"/>
        <v>0.87607913669064752</v>
      </c>
      <c r="AK20" s="205">
        <f>AN20 + ABS(AM20) + ABS(AL20)</f>
        <v>55.6</v>
      </c>
      <c r="AL20" s="47">
        <v>0</v>
      </c>
      <c r="AM20" s="47">
        <v>0</v>
      </c>
      <c r="AN20" s="459">
        <v>55.6</v>
      </c>
      <c r="AO20" s="47"/>
      <c r="AP20" s="463">
        <v>46140</v>
      </c>
      <c r="AQ20" s="47" t="s">
        <v>1553</v>
      </c>
      <c r="AR20" s="156" t="b">
        <v>1</v>
      </c>
      <c r="AS20" s="156" t="b">
        <v>1</v>
      </c>
      <c r="AT20" s="47"/>
      <c r="AU20" s="47"/>
      <c r="AV20" s="1135">
        <f t="shared" si="4"/>
        <v>0</v>
      </c>
      <c r="AW20" s="461"/>
      <c r="AX20" s="461"/>
      <c r="AY20" s="461"/>
      <c r="AZ20" s="147"/>
      <c r="BA20" s="464">
        <v>46170</v>
      </c>
      <c r="BB20" s="147"/>
      <c r="BC20" s="158" t="b">
        <v>0</v>
      </c>
      <c r="BD20" s="158" t="b">
        <v>0</v>
      </c>
      <c r="BE20" s="147"/>
      <c r="BF20" s="147"/>
      <c r="BG20" s="398">
        <f t="shared" si="5"/>
        <v>0</v>
      </c>
      <c r="BH20" s="147"/>
      <c r="BI20" s="147"/>
      <c r="BJ20" s="147"/>
      <c r="BK20" s="147"/>
      <c r="BL20" s="147"/>
      <c r="BM20" s="147"/>
      <c r="BN20" s="158" t="b">
        <v>0</v>
      </c>
      <c r="BO20" s="158" t="b">
        <v>0</v>
      </c>
      <c r="BP20" s="147"/>
      <c r="BQ20" s="147"/>
      <c r="BR20" s="398">
        <f t="shared" si="6"/>
        <v>0</v>
      </c>
      <c r="BS20" s="147"/>
      <c r="BT20" s="147"/>
      <c r="BU20" s="147"/>
      <c r="BV20" s="147"/>
      <c r="BW20" s="147"/>
      <c r="BX20" s="147"/>
      <c r="BY20" s="158" t="b">
        <v>0</v>
      </c>
      <c r="BZ20" s="158" t="b">
        <v>0</v>
      </c>
      <c r="CA20" s="147"/>
      <c r="CB20" s="147"/>
      <c r="CC20" s="398">
        <f t="shared" si="7"/>
        <v>0</v>
      </c>
      <c r="CD20" s="147"/>
      <c r="CE20" s="147"/>
      <c r="CF20" s="147"/>
      <c r="CG20" s="147"/>
      <c r="CH20" s="147"/>
      <c r="CI20" s="147"/>
      <c r="CJ20" s="158" t="b">
        <v>0</v>
      </c>
      <c r="CK20" s="158" t="b">
        <v>0</v>
      </c>
      <c r="CL20" s="147"/>
      <c r="CM20" s="147"/>
      <c r="CN20" s="398">
        <f t="shared" si="8"/>
        <v>0</v>
      </c>
      <c r="CO20" s="147"/>
      <c r="CP20" s="147"/>
      <c r="CQ20" s="147"/>
      <c r="CR20" s="147"/>
      <c r="CS20" s="147"/>
      <c r="CT20" s="147"/>
      <c r="CU20" s="158" t="b">
        <v>0</v>
      </c>
      <c r="CV20" s="158" t="b">
        <v>0</v>
      </c>
      <c r="CW20" s="147"/>
      <c r="CX20" s="147"/>
      <c r="CY20" s="398">
        <f t="shared" si="9"/>
        <v>0</v>
      </c>
      <c r="CZ20" s="147"/>
      <c r="DA20" s="147"/>
      <c r="DB20" s="147"/>
      <c r="DC20" s="147"/>
      <c r="DD20" s="147"/>
      <c r="DE20" s="147"/>
      <c r="DF20" s="158" t="b">
        <v>0</v>
      </c>
      <c r="DG20" s="158" t="b">
        <v>0</v>
      </c>
      <c r="DH20" s="147"/>
      <c r="DI20" s="147"/>
      <c r="DJ20" s="398">
        <f t="shared" si="10"/>
        <v>0</v>
      </c>
      <c r="DK20" s="147"/>
      <c r="DL20" s="147"/>
      <c r="DM20" s="147"/>
      <c r="DN20" s="147"/>
      <c r="DO20" s="147"/>
      <c r="DP20" s="147"/>
      <c r="DQ20" s="158" t="b">
        <v>0</v>
      </c>
      <c r="DR20" s="158" t="b">
        <v>0</v>
      </c>
      <c r="DS20" s="147"/>
      <c r="DT20" s="147"/>
      <c r="DU20" s="398">
        <f t="shared" si="11"/>
        <v>0</v>
      </c>
      <c r="DV20" s="147"/>
      <c r="DW20" s="147"/>
      <c r="DX20" s="147"/>
      <c r="DY20" s="147"/>
      <c r="DZ20" s="147"/>
      <c r="EA20" s="147"/>
      <c r="EB20" s="158" t="b">
        <v>0</v>
      </c>
      <c r="EC20" s="158" t="b">
        <v>0</v>
      </c>
      <c r="ED20" s="147"/>
      <c r="EE20" s="147"/>
      <c r="EF20" s="398">
        <f t="shared" si="12"/>
        <v>0</v>
      </c>
      <c r="EG20" s="147"/>
      <c r="EH20" s="147"/>
      <c r="EI20" s="147"/>
      <c r="EJ20" s="147"/>
      <c r="EK20" s="147"/>
      <c r="EL20" s="147"/>
      <c r="EM20" s="158" t="b">
        <v>0</v>
      </c>
      <c r="EN20" s="158" t="b">
        <v>0</v>
      </c>
      <c r="EO20" s="147"/>
      <c r="EP20" s="147"/>
      <c r="EQ20" s="398">
        <f t="shared" si="13"/>
        <v>0</v>
      </c>
      <c r="ER20" s="147"/>
      <c r="ES20" s="147"/>
      <c r="ET20" s="147"/>
      <c r="EU20" s="147"/>
      <c r="EV20" s="147"/>
      <c r="EW20" s="147"/>
      <c r="EX20" s="158" t="b">
        <v>0</v>
      </c>
      <c r="EY20" s="158" t="b">
        <v>0</v>
      </c>
      <c r="EZ20" s="147"/>
      <c r="FA20" s="147"/>
    </row>
    <row r="21" spans="3:157">
      <c r="C21" s="472" t="s">
        <v>1554</v>
      </c>
      <c r="D21" s="147">
        <v>1450015</v>
      </c>
      <c r="E21" s="147">
        <v>455</v>
      </c>
      <c r="F21" s="147" t="s">
        <v>1555</v>
      </c>
      <c r="G21" s="147" t="s">
        <v>1179</v>
      </c>
      <c r="H21" s="147" t="s">
        <v>939</v>
      </c>
      <c r="I21" s="147" t="s">
        <v>940</v>
      </c>
      <c r="J21" s="147" t="s">
        <v>1556</v>
      </c>
      <c r="K21" s="157" t="s">
        <v>1557</v>
      </c>
      <c r="L21" s="147"/>
      <c r="M21" s="147"/>
      <c r="N21" s="470">
        <v>22</v>
      </c>
      <c r="O21" s="979">
        <v>23</v>
      </c>
      <c r="P21" s="157">
        <v>2606216</v>
      </c>
      <c r="Q21" s="461">
        <v>11437.16</v>
      </c>
      <c r="R21" s="461"/>
      <c r="S21" s="461"/>
      <c r="T21" s="461">
        <f t="shared" si="0"/>
        <v>11437.16</v>
      </c>
      <c r="U21" s="157" t="s">
        <v>1558</v>
      </c>
      <c r="V21" s="464">
        <v>46051</v>
      </c>
      <c r="W21" s="157" t="s">
        <v>1551</v>
      </c>
      <c r="X21" s="157"/>
      <c r="Y21" s="157"/>
      <c r="Z21" s="461">
        <f t="shared" si="1"/>
        <v>23891.35</v>
      </c>
      <c r="AA21" s="398">
        <v>0</v>
      </c>
      <c r="AB21" s="398">
        <v>12454.19</v>
      </c>
      <c r="AC21" s="398">
        <v>11437.16</v>
      </c>
      <c r="AD21" s="147"/>
      <c r="AE21" s="182">
        <v>46081</v>
      </c>
      <c r="AF21" s="147" t="s">
        <v>1552</v>
      </c>
      <c r="AG21" s="159" t="b">
        <v>1</v>
      </c>
      <c r="AH21" s="158" t="b">
        <v>1</v>
      </c>
      <c r="AI21" s="870">
        <f t="shared" si="2"/>
        <v>-1</v>
      </c>
      <c r="AJ21" s="1130">
        <f t="shared" si="3"/>
        <v>1.0889232991406956</v>
      </c>
      <c r="AK21" s="205">
        <f>AN21 + ABS(AM21) + ABS(AL21)</f>
        <v>10102.42</v>
      </c>
      <c r="AL21" s="47">
        <v>0</v>
      </c>
      <c r="AM21" s="47"/>
      <c r="AN21" s="459">
        <v>10102.42</v>
      </c>
      <c r="AO21" s="47"/>
      <c r="AP21" s="463">
        <v>46112</v>
      </c>
      <c r="AQ21" s="47" t="s">
        <v>1553</v>
      </c>
      <c r="AR21" s="156" t="b">
        <v>1</v>
      </c>
      <c r="AS21" s="156" t="b">
        <v>1</v>
      </c>
      <c r="AT21" s="47"/>
      <c r="AU21" s="47"/>
      <c r="AV21" s="1135">
        <f t="shared" si="4"/>
        <v>0</v>
      </c>
      <c r="AW21" s="461"/>
      <c r="AX21" s="461"/>
      <c r="AY21" s="461"/>
      <c r="AZ21" s="147"/>
      <c r="BA21" s="464">
        <v>46142</v>
      </c>
      <c r="BB21" s="147"/>
      <c r="BC21" s="158" t="b">
        <v>0</v>
      </c>
      <c r="BD21" s="158" t="b">
        <v>0</v>
      </c>
      <c r="BE21" s="147"/>
      <c r="BF21" s="147"/>
      <c r="BG21" s="398">
        <f t="shared" si="5"/>
        <v>0</v>
      </c>
      <c r="BH21" s="147"/>
      <c r="BI21" s="147"/>
      <c r="BJ21" s="147"/>
      <c r="BK21" s="147"/>
      <c r="BL21" s="147"/>
      <c r="BM21" s="147"/>
      <c r="BN21" s="158" t="b">
        <v>0</v>
      </c>
      <c r="BO21" s="158" t="b">
        <v>0</v>
      </c>
      <c r="BP21" s="147"/>
      <c r="BQ21" s="147"/>
      <c r="BR21" s="398">
        <f t="shared" si="6"/>
        <v>0</v>
      </c>
      <c r="BS21" s="147"/>
      <c r="BT21" s="147"/>
      <c r="BU21" s="147"/>
      <c r="BV21" s="147"/>
      <c r="BW21" s="147"/>
      <c r="BX21" s="147"/>
      <c r="BY21" s="158" t="b">
        <v>0</v>
      </c>
      <c r="BZ21" s="158" t="b">
        <v>0</v>
      </c>
      <c r="CA21" s="147"/>
      <c r="CB21" s="147"/>
      <c r="CC21" s="398">
        <f t="shared" si="7"/>
        <v>0</v>
      </c>
      <c r="CD21" s="147"/>
      <c r="CE21" s="147"/>
      <c r="CF21" s="147"/>
      <c r="CG21" s="147"/>
      <c r="CH21" s="147"/>
      <c r="CI21" s="147"/>
      <c r="CJ21" s="158" t="b">
        <v>0</v>
      </c>
      <c r="CK21" s="158" t="b">
        <v>0</v>
      </c>
      <c r="CL21" s="147"/>
      <c r="CM21" s="147"/>
      <c r="CN21" s="398">
        <f t="shared" si="8"/>
        <v>0</v>
      </c>
      <c r="CO21" s="147"/>
      <c r="CP21" s="147"/>
      <c r="CQ21" s="147"/>
      <c r="CR21" s="147"/>
      <c r="CS21" s="147"/>
      <c r="CT21" s="147"/>
      <c r="CU21" s="158" t="b">
        <v>0</v>
      </c>
      <c r="CV21" s="158" t="b">
        <v>0</v>
      </c>
      <c r="CW21" s="147"/>
      <c r="CX21" s="147"/>
      <c r="CY21" s="398">
        <f t="shared" si="9"/>
        <v>0</v>
      </c>
      <c r="CZ21" s="147"/>
      <c r="DA21" s="147"/>
      <c r="DB21" s="147"/>
      <c r="DC21" s="147"/>
      <c r="DD21" s="147"/>
      <c r="DE21" s="147"/>
      <c r="DF21" s="158" t="b">
        <v>0</v>
      </c>
      <c r="DG21" s="158" t="b">
        <v>0</v>
      </c>
      <c r="DH21" s="147"/>
      <c r="DI21" s="147"/>
      <c r="DJ21" s="398">
        <f t="shared" si="10"/>
        <v>0</v>
      </c>
      <c r="DK21" s="147"/>
      <c r="DL21" s="147"/>
      <c r="DM21" s="147"/>
      <c r="DN21" s="147"/>
      <c r="DO21" s="147"/>
      <c r="DP21" s="147"/>
      <c r="DQ21" s="158" t="b">
        <v>0</v>
      </c>
      <c r="DR21" s="158" t="b">
        <v>0</v>
      </c>
      <c r="DS21" s="147"/>
      <c r="DT21" s="147"/>
      <c r="DU21" s="398">
        <f t="shared" si="11"/>
        <v>0</v>
      </c>
      <c r="DV21" s="147"/>
      <c r="DW21" s="147"/>
      <c r="DX21" s="147"/>
      <c r="DY21" s="147"/>
      <c r="DZ21" s="147"/>
      <c r="EA21" s="147"/>
      <c r="EB21" s="158" t="b">
        <v>0</v>
      </c>
      <c r="EC21" s="158" t="b">
        <v>0</v>
      </c>
      <c r="ED21" s="147"/>
      <c r="EE21" s="147"/>
      <c r="EF21" s="398">
        <f t="shared" si="12"/>
        <v>0</v>
      </c>
      <c r="EG21" s="147"/>
      <c r="EH21" s="147"/>
      <c r="EI21" s="147"/>
      <c r="EJ21" s="147"/>
      <c r="EK21" s="147"/>
      <c r="EL21" s="147"/>
      <c r="EM21" s="158" t="b">
        <v>0</v>
      </c>
      <c r="EN21" s="158" t="b">
        <v>0</v>
      </c>
      <c r="EO21" s="147"/>
      <c r="EP21" s="147"/>
      <c r="EQ21" s="398">
        <f t="shared" si="13"/>
        <v>0</v>
      </c>
      <c r="ER21" s="147"/>
      <c r="ES21" s="147"/>
      <c r="ET21" s="147"/>
      <c r="EU21" s="147"/>
      <c r="EV21" s="147"/>
      <c r="EW21" s="147"/>
      <c r="EX21" s="158" t="b">
        <v>0</v>
      </c>
      <c r="EY21" s="158" t="b">
        <v>0</v>
      </c>
      <c r="EZ21" s="147"/>
      <c r="FA21" s="147"/>
    </row>
    <row r="22" spans="3:157" ht="15" customHeight="1"/>
    <row r="23" spans="3:157" ht="15" customHeight="1"/>
    <row r="24" spans="3:157" ht="15" customHeight="1"/>
    <row r="25" spans="3:157" ht="15" customHeight="1"/>
    <row r="26" spans="3:157" ht="15" customHeight="1"/>
    <row r="27" spans="3:157" ht="15" customHeight="1"/>
    <row r="28" spans="3:157" ht="15" customHeight="1"/>
    <row r="29" spans="3:157" ht="15" customHeight="1"/>
    <row r="30" spans="3:157" ht="15" customHeight="1"/>
    <row r="31" spans="3:157" ht="15" customHeight="1"/>
    <row r="32" spans="3:15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182" spans="1:3" hidden="1">
      <c r="A182" s="3"/>
      <c r="B182" s="1"/>
      <c r="C182" s="1"/>
    </row>
    <row r="183" spans="1:3" hidden="1"/>
  </sheetData>
  <mergeCells count="14">
    <mergeCell ref="C2:P3"/>
    <mergeCell ref="DV2:EE3"/>
    <mergeCell ref="Z2:AJ3"/>
    <mergeCell ref="AV2:BF3"/>
    <mergeCell ref="AK2:AU3"/>
    <mergeCell ref="BG2:BQ3"/>
    <mergeCell ref="Q2:Y3"/>
    <mergeCell ref="EF2:EP3"/>
    <mergeCell ref="EQ2:FA3"/>
    <mergeCell ref="BR2:CB3"/>
    <mergeCell ref="CC2:CM3"/>
    <mergeCell ref="CN2:CX3"/>
    <mergeCell ref="CY2:DI3"/>
    <mergeCell ref="DJ2:DT3"/>
  </mergeCells>
  <conditionalFormatting sqref="AI5:AJ21">
    <cfRule type="cellIs" dxfId="208" priority="1" operator="greaterThanOrEqual">
      <formula>0.15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943D-67ED-47F8-90D6-DB6DCD18513F}">
  <dimension ref="A1:BB227"/>
  <sheetViews>
    <sheetView workbookViewId="0">
      <selection activeCell="E16" sqref="E16"/>
    </sheetView>
  </sheetViews>
  <sheetFormatPr defaultRowHeight="15"/>
  <cols>
    <col min="1" max="1" width="9.28515625" bestFit="1" customWidth="1"/>
    <col min="2" max="2" width="55.140625" customWidth="1"/>
    <col min="3" max="3" width="69.42578125" bestFit="1" customWidth="1"/>
    <col min="4" max="5" width="18.7109375" bestFit="1" customWidth="1"/>
    <col min="6" max="6" width="19.42578125" customWidth="1"/>
    <col min="7" max="7" width="19.5703125" customWidth="1"/>
    <col min="8" max="8" width="20" customWidth="1"/>
    <col min="9" max="9" width="18.7109375" customWidth="1"/>
    <col min="10" max="10" width="17.85546875" customWidth="1"/>
    <col min="11" max="11" width="18.28515625" customWidth="1"/>
    <col min="12" max="12" width="24.140625" customWidth="1"/>
    <col min="13" max="13" width="19.42578125" customWidth="1"/>
    <col min="14" max="14" width="19.5703125" customWidth="1"/>
    <col min="15" max="15" width="24.5703125" customWidth="1"/>
    <col min="16" max="16" width="15.28515625" customWidth="1"/>
    <col min="17" max="17" width="14.140625" customWidth="1"/>
    <col min="18" max="18" width="22.85546875" customWidth="1"/>
    <col min="19" max="19" width="16.42578125" customWidth="1"/>
    <col min="20" max="20" width="14.85546875" customWidth="1"/>
    <col min="21" max="21" width="24.140625" customWidth="1"/>
    <col min="22" max="22" width="11.140625" customWidth="1"/>
    <col min="23" max="23" width="13.140625" customWidth="1"/>
    <col min="24" max="24" width="24.28515625" customWidth="1"/>
    <col min="25" max="25" width="11.42578125" customWidth="1"/>
    <col min="26" max="26" width="12.42578125" customWidth="1"/>
    <col min="27" max="27" width="20" customWidth="1"/>
    <col min="29" max="29" width="13.140625" customWidth="1"/>
    <col min="30" max="30" width="20" customWidth="1"/>
    <col min="32" max="32" width="13.140625" customWidth="1"/>
    <col min="33" max="33" width="20" customWidth="1"/>
    <col min="35" max="35" width="13.28515625" customWidth="1"/>
    <col min="36" max="36" width="20" customWidth="1"/>
    <col min="37" max="37" width="13" customWidth="1"/>
    <col min="38" max="38" width="15.140625" customWidth="1"/>
    <col min="39" max="39" width="20" customWidth="1"/>
    <col min="40" max="40" width="12.85546875" customWidth="1"/>
    <col min="41" max="41" width="14.5703125" customWidth="1"/>
    <col min="42" max="42" width="20" customWidth="1"/>
    <col min="43" max="43" width="13.85546875" customWidth="1"/>
    <col min="44" max="44" width="15.7109375" customWidth="1"/>
    <col min="45" max="45" width="20" customWidth="1"/>
    <col min="46" max="46" width="14.7109375" customWidth="1"/>
    <col min="47" max="47" width="15.42578125" customWidth="1"/>
    <col min="48" max="48" width="20" customWidth="1"/>
    <col min="49" max="49" width="12" customWidth="1"/>
    <col min="51" max="51" width="12" bestFit="1" customWidth="1"/>
    <col min="52" max="52" width="9.7109375" bestFit="1" customWidth="1"/>
  </cols>
  <sheetData>
    <row r="1" spans="1:54" ht="27">
      <c r="A1" s="50" t="s">
        <v>1559</v>
      </c>
      <c r="B1" s="51" t="s">
        <v>1560</v>
      </c>
      <c r="C1" s="51" t="s">
        <v>18</v>
      </c>
      <c r="D1" s="52" t="s">
        <v>15</v>
      </c>
      <c r="E1" s="51" t="s">
        <v>19</v>
      </c>
      <c r="F1" s="1261" t="s">
        <v>1561</v>
      </c>
      <c r="G1" s="1262"/>
      <c r="H1" s="52" t="s">
        <v>1562</v>
      </c>
      <c r="I1" s="53" t="s">
        <v>1563</v>
      </c>
      <c r="J1" s="501">
        <v>45992</v>
      </c>
      <c r="K1" s="502" t="s">
        <v>31</v>
      </c>
      <c r="L1" s="506" t="s">
        <v>1564</v>
      </c>
      <c r="M1" s="489" t="s">
        <v>2</v>
      </c>
      <c r="N1" s="490" t="s">
        <v>31</v>
      </c>
      <c r="O1" s="510" t="s">
        <v>1564</v>
      </c>
      <c r="P1" s="505" t="s">
        <v>3</v>
      </c>
      <c r="Q1" s="508" t="s">
        <v>31</v>
      </c>
      <c r="R1" s="510" t="s">
        <v>1564</v>
      </c>
      <c r="S1" s="513" t="s">
        <v>4</v>
      </c>
      <c r="T1" s="502" t="s">
        <v>31</v>
      </c>
      <c r="U1" s="503" t="s">
        <v>1564</v>
      </c>
      <c r="V1" s="500" t="s">
        <v>5</v>
      </c>
      <c r="W1" s="490" t="s">
        <v>31</v>
      </c>
      <c r="X1" s="504" t="s">
        <v>1564</v>
      </c>
      <c r="Y1" s="489" t="s">
        <v>6</v>
      </c>
      <c r="Z1" s="55" t="s">
        <v>31</v>
      </c>
      <c r="AA1" s="504" t="s">
        <v>1564</v>
      </c>
      <c r="AB1" s="54" t="s">
        <v>7</v>
      </c>
      <c r="AC1" s="55" t="s">
        <v>31</v>
      </c>
      <c r="AD1" s="504" t="s">
        <v>1564</v>
      </c>
      <c r="AE1" s="54" t="s">
        <v>8</v>
      </c>
      <c r="AF1" s="55" t="s">
        <v>31</v>
      </c>
      <c r="AG1" s="504" t="s">
        <v>1564</v>
      </c>
      <c r="AH1" s="54" t="s">
        <v>9</v>
      </c>
      <c r="AI1" s="55" t="s">
        <v>31</v>
      </c>
      <c r="AJ1" s="504" t="s">
        <v>1564</v>
      </c>
      <c r="AK1" s="54" t="s">
        <v>10</v>
      </c>
      <c r="AL1" s="55" t="s">
        <v>31</v>
      </c>
      <c r="AM1" s="504" t="s">
        <v>1564</v>
      </c>
      <c r="AN1" s="54" t="s">
        <v>11</v>
      </c>
      <c r="AO1" s="55" t="s">
        <v>31</v>
      </c>
      <c r="AP1" s="504" t="s">
        <v>1564</v>
      </c>
      <c r="AQ1" s="54" t="s">
        <v>12</v>
      </c>
      <c r="AR1" s="55" t="s">
        <v>31</v>
      </c>
      <c r="AS1" s="504" t="s">
        <v>1564</v>
      </c>
      <c r="AT1" s="631" t="s">
        <v>1</v>
      </c>
      <c r="AU1" s="632" t="s">
        <v>31</v>
      </c>
      <c r="AV1" s="504" t="s">
        <v>1564</v>
      </c>
      <c r="AW1" s="56" t="s">
        <v>1565</v>
      </c>
      <c r="AX1" s="57" t="s">
        <v>1566</v>
      </c>
      <c r="AY1" s="58" t="s">
        <v>1567</v>
      </c>
      <c r="AZ1" s="59" t="s">
        <v>1568</v>
      </c>
      <c r="BA1" s="60"/>
      <c r="BB1" s="60"/>
    </row>
    <row r="2" spans="1:54" ht="15.75">
      <c r="A2" s="61">
        <v>1450022</v>
      </c>
      <c r="B2" s="62" t="s">
        <v>846</v>
      </c>
      <c r="C2" s="63" t="s">
        <v>850</v>
      </c>
      <c r="D2" s="64">
        <v>262</v>
      </c>
      <c r="E2" s="63" t="s">
        <v>851</v>
      </c>
      <c r="F2" s="64">
        <v>4348</v>
      </c>
      <c r="G2" s="64">
        <v>33903913</v>
      </c>
      <c r="H2" s="485">
        <v>17</v>
      </c>
      <c r="I2" s="491"/>
      <c r="J2" s="575">
        <v>5730.73</v>
      </c>
      <c r="K2" s="576">
        <v>46027</v>
      </c>
      <c r="L2" s="507" t="s">
        <v>852</v>
      </c>
      <c r="M2" s="577">
        <f>DIVERSAS!X5</f>
        <v>4232.9399999999996</v>
      </c>
      <c r="N2" s="578">
        <f>DIVERSAS!AC5</f>
        <v>46058</v>
      </c>
      <c r="O2" s="578" t="str">
        <f>DIVERSAS!AD5</f>
        <v>1450.01.0005965/2026-15</v>
      </c>
      <c r="P2" s="165">
        <f>DIVERSAS!AI5</f>
        <v>5612.39</v>
      </c>
      <c r="Q2" s="512">
        <f>DIVERSAS!AN5</f>
        <v>46086</v>
      </c>
      <c r="R2" s="169" t="str">
        <f>DIVERSAS!AO5</f>
        <v>1450.01.0025293/2026-19</v>
      </c>
      <c r="S2" s="509">
        <f>DIVERSAS!AT5</f>
        <v>5759.94</v>
      </c>
      <c r="T2" s="512">
        <f>DIVERSAS!AY5</f>
        <v>46117</v>
      </c>
      <c r="U2" s="514"/>
      <c r="V2" s="511">
        <f>DIVERSAS!BE5</f>
        <v>0</v>
      </c>
      <c r="W2" s="515">
        <f>DIVERSAS!BJ5</f>
        <v>46147</v>
      </c>
      <c r="X2" s="514"/>
      <c r="Y2" s="167">
        <f>DIVERSAS!BP5</f>
        <v>0</v>
      </c>
      <c r="Z2" s="515">
        <f>DIVERSAS!BU5</f>
        <v>46178</v>
      </c>
      <c r="AA2" s="514"/>
      <c r="AB2" s="167">
        <f>DIVERSAS!CA5</f>
        <v>0</v>
      </c>
      <c r="AC2" s="515">
        <f>DIVERSAS!CF5</f>
        <v>0</v>
      </c>
      <c r="AD2" s="514"/>
      <c r="AE2" s="516">
        <f>DIVERSAS!CL5</f>
        <v>0</v>
      </c>
      <c r="AF2" s="517">
        <f>DIVERSAS!CQ5</f>
        <v>0</v>
      </c>
      <c r="AG2" s="514"/>
      <c r="AH2" s="167">
        <f>DIVERSAS!CW5</f>
        <v>0</v>
      </c>
      <c r="AI2" s="515">
        <f>DIVERSAS!DB5</f>
        <v>0</v>
      </c>
      <c r="AJ2" s="514"/>
      <c r="AK2" s="167">
        <f>DIVERSAS!DI5</f>
        <v>0</v>
      </c>
      <c r="AL2" s="168">
        <f>DIVERSAS!DN5</f>
        <v>0</v>
      </c>
      <c r="AM2" s="514"/>
      <c r="AN2" s="167">
        <f>DIVERSAS!DT5</f>
        <v>0</v>
      </c>
      <c r="AO2" s="168">
        <f>DIVERSAS!DY5</f>
        <v>0</v>
      </c>
      <c r="AP2" s="514"/>
      <c r="AQ2" s="167">
        <f>DIVERSAS!EE5</f>
        <v>0</v>
      </c>
      <c r="AR2" s="168">
        <f>DIVERSAS!EJ5</f>
        <v>0</v>
      </c>
      <c r="AS2" s="169"/>
      <c r="AT2" s="633">
        <f>DIVERSAS!EP5</f>
        <v>0</v>
      </c>
      <c r="AU2" s="634">
        <f>DIVERSAS!EU5</f>
        <v>0</v>
      </c>
      <c r="AV2" s="635"/>
      <c r="AW2" s="621">
        <v>0</v>
      </c>
      <c r="AX2" s="518" t="s">
        <v>1569</v>
      </c>
      <c r="AY2" s="66">
        <v>0</v>
      </c>
      <c r="AZ2" s="519">
        <v>0</v>
      </c>
      <c r="BA2" s="60"/>
      <c r="BB2" s="60"/>
    </row>
    <row r="3" spans="1:54" ht="15.75">
      <c r="A3" s="61">
        <v>1450022</v>
      </c>
      <c r="B3" s="62" t="s">
        <v>1570</v>
      </c>
      <c r="C3" s="63" t="s">
        <v>1571</v>
      </c>
      <c r="D3" s="64">
        <v>40</v>
      </c>
      <c r="E3" s="63" t="s">
        <v>861</v>
      </c>
      <c r="F3" s="64">
        <v>4348</v>
      </c>
      <c r="G3" s="64">
        <v>33903913</v>
      </c>
      <c r="H3" s="485">
        <v>15</v>
      </c>
      <c r="I3" s="492"/>
      <c r="J3" s="575">
        <v>328368.73</v>
      </c>
      <c r="K3" s="576">
        <v>46027</v>
      </c>
      <c r="L3" s="507" t="s">
        <v>862</v>
      </c>
      <c r="M3" s="577">
        <f>DIVERSAS!X6</f>
        <v>350163.62</v>
      </c>
      <c r="N3" s="578">
        <f>DIVERSAS!AC6</f>
        <v>46058</v>
      </c>
      <c r="O3" s="578" t="str">
        <f>DIVERSAS!AD6</f>
        <v>1450.01.0008966/2026-80</v>
      </c>
      <c r="P3" s="165">
        <f>DIVERSAS!AI6</f>
        <v>350005.67</v>
      </c>
      <c r="Q3" s="512">
        <f>DIVERSAS!AN6</f>
        <v>46086</v>
      </c>
      <c r="R3" s="169" t="str">
        <f>DIVERSAS!AO6</f>
        <v>1450.01.0033438/2026-03</v>
      </c>
      <c r="S3" s="509">
        <f>DIVERSAS!AT6</f>
        <v>367235.42</v>
      </c>
      <c r="T3" s="512">
        <f>DIVERSAS!AY6</f>
        <v>46118</v>
      </c>
      <c r="U3" s="514"/>
      <c r="V3" s="511">
        <f>DIVERSAS!BE6</f>
        <v>0</v>
      </c>
      <c r="W3" s="515">
        <f>DIVERSAS!BJ6</f>
        <v>46148</v>
      </c>
      <c r="X3" s="514"/>
      <c r="Y3" s="167">
        <f>DIVERSAS!BP6</f>
        <v>0</v>
      </c>
      <c r="Z3" s="515">
        <f>DIVERSAS!BU6</f>
        <v>46179</v>
      </c>
      <c r="AA3" s="514"/>
      <c r="AB3" s="167">
        <f>DIVERSAS!CA6</f>
        <v>0</v>
      </c>
      <c r="AC3" s="515">
        <f>DIVERSAS!CF6</f>
        <v>0</v>
      </c>
      <c r="AD3" s="514"/>
      <c r="AE3" s="516">
        <f>DIVERSAS!CL6</f>
        <v>0</v>
      </c>
      <c r="AF3" s="517">
        <f>DIVERSAS!CQ6</f>
        <v>0</v>
      </c>
      <c r="AG3" s="514"/>
      <c r="AH3" s="167">
        <f>DIVERSAS!CW6</f>
        <v>0</v>
      </c>
      <c r="AI3" s="515">
        <f>DIVERSAS!DB6</f>
        <v>0</v>
      </c>
      <c r="AJ3" s="514"/>
      <c r="AK3" s="167">
        <f>DIVERSAS!DI6</f>
        <v>0</v>
      </c>
      <c r="AL3" s="168">
        <f>DIVERSAS!DN6</f>
        <v>0</v>
      </c>
      <c r="AM3" s="514"/>
      <c r="AN3" s="167">
        <f>DIVERSAS!DT6</f>
        <v>0</v>
      </c>
      <c r="AO3" s="168">
        <f>DIVERSAS!DY6</f>
        <v>0</v>
      </c>
      <c r="AP3" s="514"/>
      <c r="AQ3" s="167">
        <f>DIVERSAS!EE6</f>
        <v>0</v>
      </c>
      <c r="AR3" s="168">
        <f>DIVERSAS!EJ6</f>
        <v>0</v>
      </c>
      <c r="AS3" s="169"/>
      <c r="AT3" s="636">
        <f>DIVERSAS!EP6</f>
        <v>0</v>
      </c>
      <c r="AU3" s="556">
        <f>DIVERSAS!EU6</f>
        <v>0</v>
      </c>
      <c r="AV3" s="514"/>
      <c r="AW3" s="622">
        <v>0</v>
      </c>
      <c r="AX3" s="73" t="s">
        <v>1569</v>
      </c>
      <c r="AY3" s="67">
        <v>0</v>
      </c>
      <c r="AZ3" s="68">
        <v>0</v>
      </c>
      <c r="BA3" s="60"/>
      <c r="BB3" s="60"/>
    </row>
    <row r="4" spans="1:54">
      <c r="A4" s="61">
        <v>1450022</v>
      </c>
      <c r="B4" s="62" t="s">
        <v>1572</v>
      </c>
      <c r="C4" s="63" t="s">
        <v>1573</v>
      </c>
      <c r="D4" s="64">
        <v>62</v>
      </c>
      <c r="E4" s="63" t="s">
        <v>881</v>
      </c>
      <c r="F4" s="64">
        <v>4348</v>
      </c>
      <c r="G4" s="64">
        <v>33903913</v>
      </c>
      <c r="H4" s="485">
        <v>28</v>
      </c>
      <c r="I4" s="493"/>
      <c r="J4" s="575">
        <v>143880.6</v>
      </c>
      <c r="K4" s="576">
        <v>46035</v>
      </c>
      <c r="L4" s="507" t="s">
        <v>882</v>
      </c>
      <c r="M4" s="577">
        <f>DIVERSAS!X8</f>
        <v>146882.63</v>
      </c>
      <c r="N4" s="578">
        <f>DIVERSAS!AC8</f>
        <v>46064</v>
      </c>
      <c r="O4" s="578" t="str">
        <f>DIVERSAS!AD8</f>
        <v>1450.01.0006587/2026-02</v>
      </c>
      <c r="P4" s="165">
        <f>DIVERSAS!AI8</f>
        <v>164121.06</v>
      </c>
      <c r="Q4" s="512">
        <f>DIVERSAS!AN8</f>
        <v>46092</v>
      </c>
      <c r="R4" s="169" t="str">
        <f>DIVERSAS!AO8</f>
        <v>1450.01.0033157/2026-24</v>
      </c>
      <c r="S4" s="509">
        <f>DIVERSAS!AT6</f>
        <v>367235.42</v>
      </c>
      <c r="T4" s="512">
        <f>DIVERSAS!AY6</f>
        <v>46118</v>
      </c>
      <c r="U4" s="514"/>
      <c r="V4" s="511">
        <f>DIVERSAS!BE6</f>
        <v>0</v>
      </c>
      <c r="W4" s="515">
        <f>DIVERSAS!BJ6</f>
        <v>46148</v>
      </c>
      <c r="X4" s="514"/>
      <c r="Y4" s="167">
        <f>DIVERSAS!BP6</f>
        <v>0</v>
      </c>
      <c r="Z4" s="515">
        <f>DIVERSAS!BU6</f>
        <v>46179</v>
      </c>
      <c r="AA4" s="514"/>
      <c r="AB4" s="167">
        <f>DIVERSAS!CA6</f>
        <v>0</v>
      </c>
      <c r="AC4" s="515">
        <f>DIVERSAS!CF6</f>
        <v>0</v>
      </c>
      <c r="AD4" s="514"/>
      <c r="AE4" s="516">
        <f>DIVERSAS!CL6</f>
        <v>0</v>
      </c>
      <c r="AF4" s="517">
        <f>DIVERSAS!CQ6</f>
        <v>0</v>
      </c>
      <c r="AG4" s="514"/>
      <c r="AH4" s="167">
        <f>DIVERSAS!CW6</f>
        <v>0</v>
      </c>
      <c r="AI4" s="515">
        <f>DIVERSAS!DB6</f>
        <v>0</v>
      </c>
      <c r="AJ4" s="514"/>
      <c r="AK4" s="167">
        <f>DIVERSAS!DI6</f>
        <v>0</v>
      </c>
      <c r="AL4" s="168">
        <f>DIVERSAS!DN6</f>
        <v>0</v>
      </c>
      <c r="AM4" s="514"/>
      <c r="AN4" s="167">
        <f>DIVERSAS!DT6</f>
        <v>0</v>
      </c>
      <c r="AO4" s="168">
        <f>DIVERSAS!DY6</f>
        <v>0</v>
      </c>
      <c r="AP4" s="514"/>
      <c r="AQ4" s="167">
        <f>DIVERSAS!EE6</f>
        <v>0</v>
      </c>
      <c r="AR4" s="168">
        <f>DIVERSAS!EJ6</f>
        <v>0</v>
      </c>
      <c r="AS4" s="169"/>
      <c r="AT4" s="636">
        <f>DIVERSAS!EP6</f>
        <v>0</v>
      </c>
      <c r="AU4" s="556">
        <f>DIVERSAS!EU6</f>
        <v>0</v>
      </c>
      <c r="AV4" s="514"/>
      <c r="AW4" s="622">
        <v>0</v>
      </c>
      <c r="AX4" s="73" t="s">
        <v>1569</v>
      </c>
      <c r="AY4" s="67">
        <v>0</v>
      </c>
      <c r="AZ4" s="68">
        <v>0</v>
      </c>
      <c r="BA4" s="60"/>
      <c r="BB4" s="60"/>
    </row>
    <row r="5" spans="1:54" ht="15.75">
      <c r="A5" s="61">
        <v>1450022</v>
      </c>
      <c r="B5" s="653" t="s">
        <v>1574</v>
      </c>
      <c r="C5" s="63" t="s">
        <v>1575</v>
      </c>
      <c r="D5" s="64">
        <v>63</v>
      </c>
      <c r="E5" s="63" t="s">
        <v>891</v>
      </c>
      <c r="F5" s="64">
        <v>4348</v>
      </c>
      <c r="G5" s="64">
        <v>33903913</v>
      </c>
      <c r="H5" s="485">
        <v>45</v>
      </c>
      <c r="I5" s="494"/>
      <c r="J5" s="575">
        <v>243075.08</v>
      </c>
      <c r="K5" s="576">
        <v>46049</v>
      </c>
      <c r="L5" s="507" t="s">
        <v>892</v>
      </c>
      <c r="M5" s="577">
        <f>DIVERSAS!X9+DIVERSAS!X10</f>
        <v>238661.09999999998</v>
      </c>
      <c r="N5" s="578">
        <f>DIVERSAS!AC9</f>
        <v>46079</v>
      </c>
      <c r="O5" s="578" t="str">
        <f>DIVERSAS!AD9</f>
        <v>1450.01.0010765/2026-07</v>
      </c>
      <c r="P5" s="509">
        <f>DIVERSAS!AI9+DIVERSAS!AI10</f>
        <v>223617.57</v>
      </c>
      <c r="Q5" s="512">
        <f>DIVERSAS!AN9</f>
        <v>46107</v>
      </c>
      <c r="R5" s="169" t="str">
        <f>DIVERSAS!AO9</f>
        <v>1450.01.0033483/2026-49</v>
      </c>
      <c r="S5" s="509"/>
      <c r="T5" s="512"/>
      <c r="U5" s="514"/>
      <c r="V5" s="511"/>
      <c r="W5" s="515"/>
      <c r="X5" s="514"/>
      <c r="Y5" s="167"/>
      <c r="Z5" s="515"/>
      <c r="AA5" s="514"/>
      <c r="AB5" s="167"/>
      <c r="AC5" s="515"/>
      <c r="AD5" s="514"/>
      <c r="AE5" s="516"/>
      <c r="AF5" s="517"/>
      <c r="AG5" s="514"/>
      <c r="AH5" s="167"/>
      <c r="AI5" s="515"/>
      <c r="AJ5" s="514"/>
      <c r="AK5" s="167"/>
      <c r="AL5" s="168"/>
      <c r="AM5" s="514"/>
      <c r="AN5" s="167"/>
      <c r="AO5" s="168"/>
      <c r="AP5" s="514"/>
      <c r="AQ5" s="167"/>
      <c r="AR5" s="168"/>
      <c r="AS5" s="169"/>
      <c r="AT5" s="636"/>
      <c r="AU5" s="556"/>
      <c r="AV5" s="514"/>
      <c r="AW5" s="623">
        <v>176455.62</v>
      </c>
      <c r="AX5" s="73" t="s">
        <v>1569</v>
      </c>
      <c r="AY5" s="67">
        <v>0</v>
      </c>
      <c r="AZ5" s="69">
        <v>176455.62</v>
      </c>
      <c r="BA5" s="60"/>
      <c r="BB5" s="60"/>
    </row>
    <row r="6" spans="1:54" ht="15.75">
      <c r="A6" s="61">
        <v>1450022</v>
      </c>
      <c r="B6" s="657" t="s">
        <v>898</v>
      </c>
      <c r="C6" s="63" t="s">
        <v>902</v>
      </c>
      <c r="D6" s="64">
        <v>78</v>
      </c>
      <c r="E6" s="63" t="s">
        <v>903</v>
      </c>
      <c r="F6" s="64">
        <v>4348</v>
      </c>
      <c r="G6" s="64">
        <v>33903913</v>
      </c>
      <c r="H6" s="485">
        <v>29</v>
      </c>
      <c r="I6" s="491"/>
      <c r="J6" s="575">
        <v>58056.06</v>
      </c>
      <c r="K6" s="576">
        <v>46034</v>
      </c>
      <c r="L6" s="507" t="s">
        <v>906</v>
      </c>
      <c r="M6" s="577">
        <f>DIVERSAS!X11</f>
        <v>71939.77</v>
      </c>
      <c r="N6" s="578">
        <f>DIVERSAS!AC11</f>
        <v>46065</v>
      </c>
      <c r="O6" s="578" t="str">
        <f>DIVERSAS!AD11</f>
        <v>1450.01.0007574/2026-28</v>
      </c>
      <c r="P6" s="165">
        <f>DIVERSAS!AI11</f>
        <v>52132.62</v>
      </c>
      <c r="Q6" s="512">
        <f>DIVERSAS!AN11</f>
        <v>46111</v>
      </c>
      <c r="R6" s="169" t="str">
        <f>DIVERSAS!AO11</f>
        <v>1450.01.0033838/2026-67</v>
      </c>
      <c r="S6" s="509">
        <f>DIVERSAS!AT8</f>
        <v>159427.17000000001</v>
      </c>
      <c r="T6" s="512">
        <f>DIVERSAS!AY8</f>
        <v>46125</v>
      </c>
      <c r="U6" s="514"/>
      <c r="V6" s="511">
        <f>DIVERSAS!BE8</f>
        <v>0</v>
      </c>
      <c r="W6" s="515">
        <f>DIVERSAS!BJ8</f>
        <v>46155</v>
      </c>
      <c r="X6" s="514"/>
      <c r="Y6" s="167">
        <f>DIVERSAS!BP8</f>
        <v>0</v>
      </c>
      <c r="Z6" s="515">
        <f>DIVERSAS!BU8</f>
        <v>46186</v>
      </c>
      <c r="AA6" s="514"/>
      <c r="AB6" s="167">
        <f>DIVERSAS!CA8</f>
        <v>0</v>
      </c>
      <c r="AC6" s="515">
        <f>DIVERSAS!CF8</f>
        <v>0</v>
      </c>
      <c r="AD6" s="514"/>
      <c r="AE6" s="516">
        <f>DIVERSAS!CL8</f>
        <v>0</v>
      </c>
      <c r="AF6" s="517">
        <f>DIVERSAS!CQ8</f>
        <v>0</v>
      </c>
      <c r="AG6" s="514"/>
      <c r="AH6" s="167">
        <f>DIVERSAS!CW8</f>
        <v>0</v>
      </c>
      <c r="AI6" s="515">
        <f>DIVERSAS!DB7</f>
        <v>0</v>
      </c>
      <c r="AJ6" s="514"/>
      <c r="AK6" s="167">
        <f>DIVERSAS!DI8</f>
        <v>0</v>
      </c>
      <c r="AL6" s="168">
        <f>DIVERSAS!DN7</f>
        <v>0</v>
      </c>
      <c r="AM6" s="514"/>
      <c r="AN6" s="167">
        <f>DIVERSAS!DT8</f>
        <v>0</v>
      </c>
      <c r="AO6" s="168">
        <f>DIVERSAS!DY8</f>
        <v>0</v>
      </c>
      <c r="AP6" s="514"/>
      <c r="AQ6" s="167">
        <f>DIVERSAS!EE8</f>
        <v>0</v>
      </c>
      <c r="AR6" s="168">
        <f>DIVERSAS!EJ8</f>
        <v>0</v>
      </c>
      <c r="AS6" s="169"/>
      <c r="AT6" s="636">
        <f>DIVERSAS!EP8</f>
        <v>0</v>
      </c>
      <c r="AU6" s="556">
        <f>DIVERSAS!EU8</f>
        <v>0</v>
      </c>
      <c r="AV6" s="514"/>
      <c r="AW6" s="622">
        <v>0</v>
      </c>
      <c r="AX6" s="73" t="s">
        <v>1569</v>
      </c>
      <c r="AY6" s="67">
        <v>0</v>
      </c>
      <c r="AZ6" s="68">
        <v>0</v>
      </c>
      <c r="BA6" s="60"/>
      <c r="BB6" s="60"/>
    </row>
    <row r="7" spans="1:54" s="943" customFormat="1" ht="27">
      <c r="A7" s="76">
        <v>1450022</v>
      </c>
      <c r="B7" s="666" t="s">
        <v>1576</v>
      </c>
      <c r="C7" s="77" t="s">
        <v>912</v>
      </c>
      <c r="D7" s="78">
        <v>60</v>
      </c>
      <c r="E7" s="77" t="s">
        <v>913</v>
      </c>
      <c r="F7" s="78">
        <v>4348</v>
      </c>
      <c r="G7" s="78">
        <v>33903913</v>
      </c>
      <c r="H7" s="667">
        <v>117</v>
      </c>
      <c r="I7" s="495"/>
      <c r="J7" s="668">
        <v>33050.65</v>
      </c>
      <c r="K7" s="576">
        <v>46058</v>
      </c>
      <c r="L7" s="507" t="s">
        <v>914</v>
      </c>
      <c r="M7" s="939">
        <f>DIVERSAS!X12</f>
        <v>31984.5</v>
      </c>
      <c r="N7" s="578">
        <f>DIVERSAS!AC12</f>
        <v>46085</v>
      </c>
      <c r="O7" s="578" t="str">
        <f>DIVERSAS!AD12</f>
        <v>1450.01.0022683/2026-67</v>
      </c>
      <c r="P7" s="165">
        <f>DIVERSAS!AI12</f>
        <v>30918.35</v>
      </c>
      <c r="Q7" s="540">
        <f>DIVERSAS!AN12</f>
        <v>46118</v>
      </c>
      <c r="R7" s="619" t="str">
        <f>DIVERSAS!AO12</f>
        <v>1450.01.0048071/2026-90</v>
      </c>
      <c r="S7" s="549">
        <f>DIVERSAS!AT9</f>
        <v>127290.04</v>
      </c>
      <c r="T7" s="540">
        <f>DIVERSAS!AY9</f>
        <v>46139</v>
      </c>
      <c r="U7" s="541"/>
      <c r="V7" s="550">
        <f>DIVERSAS!BE9</f>
        <v>0</v>
      </c>
      <c r="W7" s="168">
        <f>DIVERSAS!BJ9</f>
        <v>46168</v>
      </c>
      <c r="X7" s="541"/>
      <c r="Y7" s="543">
        <f>DIVERSAS!BP9</f>
        <v>0</v>
      </c>
      <c r="Z7" s="168">
        <f>DIVERSAS!BU9</f>
        <v>46199</v>
      </c>
      <c r="AA7" s="541"/>
      <c r="AB7" s="543">
        <f>DIVERSAS!CA9</f>
        <v>0</v>
      </c>
      <c r="AC7" s="168">
        <f>DIVERSAS!CF9</f>
        <v>0</v>
      </c>
      <c r="AD7" s="541"/>
      <c r="AE7" s="545">
        <f>DIVERSAS!CL9</f>
        <v>0</v>
      </c>
      <c r="AF7" s="546">
        <f>DIVERSAS!CQ9</f>
        <v>0</v>
      </c>
      <c r="AG7" s="541"/>
      <c r="AH7" s="543">
        <f>DIVERSAS!CW9</f>
        <v>0</v>
      </c>
      <c r="AI7" s="168">
        <f>DIVERSAS!DB8</f>
        <v>0</v>
      </c>
      <c r="AJ7" s="541"/>
      <c r="AK7" s="543">
        <f>DIVERSAS!DI9</f>
        <v>0</v>
      </c>
      <c r="AL7" s="168">
        <f>DIVERSAS!DN8</f>
        <v>0</v>
      </c>
      <c r="AM7" s="541"/>
      <c r="AN7" s="543">
        <f>DIVERSAS!DT9</f>
        <v>0</v>
      </c>
      <c r="AO7" s="168">
        <f>DIVERSAS!DY9</f>
        <v>0</v>
      </c>
      <c r="AP7" s="541"/>
      <c r="AQ7" s="543">
        <f>DIVERSAS!EE9</f>
        <v>0</v>
      </c>
      <c r="AR7" s="168">
        <f>DIVERSAS!EJ9</f>
        <v>0</v>
      </c>
      <c r="AS7" s="619"/>
      <c r="AT7" s="645">
        <f>DIVERSAS!EP9</f>
        <v>0</v>
      </c>
      <c r="AU7" s="556">
        <f>DIVERSAS!EU9</f>
        <v>0</v>
      </c>
      <c r="AV7" s="541"/>
      <c r="AW7" s="940">
        <v>49081.65</v>
      </c>
      <c r="AX7" s="551" t="s">
        <v>1569</v>
      </c>
      <c r="AY7" s="941">
        <v>33050.65</v>
      </c>
      <c r="AZ7" s="942">
        <f>AW7-AY7</f>
        <v>16031</v>
      </c>
      <c r="BA7" s="80"/>
      <c r="BB7" s="80"/>
    </row>
    <row r="8" spans="1:54" ht="15.75">
      <c r="A8" s="61">
        <v>1450022</v>
      </c>
      <c r="B8" s="655" t="s">
        <v>917</v>
      </c>
      <c r="C8" s="63" t="s">
        <v>1577</v>
      </c>
      <c r="D8" s="64">
        <v>129</v>
      </c>
      <c r="E8" s="63" t="s">
        <v>922</v>
      </c>
      <c r="F8" s="64">
        <v>4348</v>
      </c>
      <c r="G8" s="64">
        <v>33903913</v>
      </c>
      <c r="H8" s="485">
        <v>126</v>
      </c>
      <c r="I8" s="491"/>
      <c r="J8" s="579">
        <v>214160.26</v>
      </c>
      <c r="K8" s="576">
        <v>46063</v>
      </c>
      <c r="L8" s="507" t="s">
        <v>924</v>
      </c>
      <c r="M8" s="577">
        <f>DIVERSAS!X13</f>
        <v>165881.01999999999</v>
      </c>
      <c r="N8" s="578">
        <f>DIVERSAS!AC13</f>
        <v>46091</v>
      </c>
      <c r="O8" s="578" t="str">
        <f>DIVERSAS!AD13</f>
        <v>1450.01.0024753/2026-49</v>
      </c>
      <c r="P8" s="165">
        <f>DIVERSAS!AI13</f>
        <v>157120.24</v>
      </c>
      <c r="Q8" s="512">
        <f>DIVERSAS!AN13</f>
        <v>46122</v>
      </c>
      <c r="R8" s="169" t="str">
        <f>DIVERSAS!AO13</f>
        <v>1450.01.0046036/2026-36</v>
      </c>
      <c r="S8" s="509">
        <f>DIVERSAS!AT10</f>
        <v>151082.54</v>
      </c>
      <c r="T8" s="512">
        <f>DIVERSAS!AY10</f>
        <v>46139</v>
      </c>
      <c r="U8" s="514"/>
      <c r="V8" s="511">
        <f>DIVERSAS!BE10</f>
        <v>0</v>
      </c>
      <c r="W8" s="515">
        <f>DIVERSAS!BJ10</f>
        <v>46168</v>
      </c>
      <c r="X8" s="514"/>
      <c r="Y8" s="167">
        <f>DIVERSAS!BP10</f>
        <v>0</v>
      </c>
      <c r="Z8" s="515">
        <f>DIVERSAS!BU10</f>
        <v>46199</v>
      </c>
      <c r="AA8" s="514"/>
      <c r="AB8" s="167">
        <f>DIVERSAS!CA10</f>
        <v>0</v>
      </c>
      <c r="AC8" s="515">
        <f>DIVERSAS!CF10</f>
        <v>0</v>
      </c>
      <c r="AD8" s="514"/>
      <c r="AE8" s="516">
        <f>DIVERSAS!CL10</f>
        <v>0</v>
      </c>
      <c r="AF8" s="517">
        <f>DIVERSAS!CQ10</f>
        <v>0</v>
      </c>
      <c r="AG8" s="514"/>
      <c r="AH8" s="167">
        <f>DIVERSAS!CW10</f>
        <v>0</v>
      </c>
      <c r="AI8" s="515">
        <f>DIVERSAS!DB9</f>
        <v>0</v>
      </c>
      <c r="AJ8" s="514"/>
      <c r="AK8" s="167">
        <f>DIVERSAS!DI10</f>
        <v>0</v>
      </c>
      <c r="AL8" s="168">
        <f>DIVERSAS!DN9</f>
        <v>0</v>
      </c>
      <c r="AM8" s="514"/>
      <c r="AN8" s="167">
        <f>DIVERSAS!DT10</f>
        <v>0</v>
      </c>
      <c r="AO8" s="168">
        <f>DIVERSAS!DY10</f>
        <v>0</v>
      </c>
      <c r="AP8" s="514"/>
      <c r="AQ8" s="167">
        <f>DIVERSAS!EE10</f>
        <v>0</v>
      </c>
      <c r="AR8" s="168">
        <f>DIVERSAS!EJ10</f>
        <v>0</v>
      </c>
      <c r="AS8" s="169"/>
      <c r="AT8" s="636">
        <f>DIVERSAS!EP10</f>
        <v>0</v>
      </c>
      <c r="AU8" s="556">
        <f>DIVERSAS!EU10</f>
        <v>0</v>
      </c>
      <c r="AV8" s="514"/>
      <c r="AW8" s="623">
        <v>323738.82</v>
      </c>
      <c r="AX8" s="73" t="s">
        <v>1578</v>
      </c>
      <c r="AY8" s="71">
        <v>214160.26</v>
      </c>
      <c r="AZ8" s="69">
        <f t="shared" ref="AZ8:AZ10" si="0">AW8-AY8</f>
        <v>109578.56</v>
      </c>
      <c r="BA8" s="60"/>
      <c r="BB8" s="60"/>
    </row>
    <row r="9" spans="1:54" ht="15.75">
      <c r="A9" s="61">
        <v>1450022</v>
      </c>
      <c r="B9" s="653" t="s">
        <v>927</v>
      </c>
      <c r="C9" s="63" t="s">
        <v>930</v>
      </c>
      <c r="D9" s="64">
        <v>31</v>
      </c>
      <c r="E9" s="63" t="s">
        <v>931</v>
      </c>
      <c r="F9" s="64">
        <v>4348</v>
      </c>
      <c r="G9" s="64">
        <v>33903913</v>
      </c>
      <c r="H9" s="485">
        <v>116</v>
      </c>
      <c r="I9" s="491"/>
      <c r="J9" s="579">
        <v>160239.1</v>
      </c>
      <c r="K9" s="576">
        <v>46052</v>
      </c>
      <c r="L9" s="507" t="s">
        <v>932</v>
      </c>
      <c r="M9" s="577">
        <f>DIVERSAS!X14</f>
        <v>168318.38</v>
      </c>
      <c r="N9" s="578">
        <f>DIVERSAS!AC14</f>
        <v>46080</v>
      </c>
      <c r="O9" s="578" t="str">
        <f>DIVERSAS!AD14</f>
        <v>1450.01.0025120/2026-34</v>
      </c>
      <c r="P9" s="165">
        <f>DIVERSAS!AI14</f>
        <v>152029.5</v>
      </c>
      <c r="Q9" s="652">
        <f>DIVERSAS!AN14</f>
        <v>46111</v>
      </c>
      <c r="R9" s="169" t="str">
        <f>DIVERSAS!AO14</f>
        <v>1450.01.0043020/2026-85</v>
      </c>
      <c r="S9" s="509">
        <f>DIVERSAS!AT11</f>
        <v>0</v>
      </c>
      <c r="T9" s="512">
        <f>DIVERSAS!AY11</f>
        <v>46125</v>
      </c>
      <c r="U9" s="514"/>
      <c r="V9" s="511">
        <f>DIVERSAS!BE11</f>
        <v>0</v>
      </c>
      <c r="W9" s="515">
        <f>DIVERSAS!BJ11</f>
        <v>46172</v>
      </c>
      <c r="X9" s="514"/>
      <c r="Y9" s="167">
        <f>DIVERSAS!BP11</f>
        <v>0</v>
      </c>
      <c r="Z9" s="515">
        <f>DIVERSAS!BU11</f>
        <v>46203</v>
      </c>
      <c r="AA9" s="514"/>
      <c r="AB9" s="167">
        <f>DIVERSAS!CA11</f>
        <v>0</v>
      </c>
      <c r="AC9" s="515">
        <f>DIVERSAS!CF11</f>
        <v>0</v>
      </c>
      <c r="AD9" s="514"/>
      <c r="AE9" s="516">
        <f>DIVERSAS!CL11</f>
        <v>0</v>
      </c>
      <c r="AF9" s="517">
        <f>DIVERSAS!CQ11</f>
        <v>0</v>
      </c>
      <c r="AG9" s="514"/>
      <c r="AH9" s="167">
        <f>DIVERSAS!CW11</f>
        <v>0</v>
      </c>
      <c r="AI9" s="515">
        <f>DIVERSAS!DB10</f>
        <v>0</v>
      </c>
      <c r="AJ9" s="514"/>
      <c r="AK9" s="167">
        <f>DIVERSAS!DI11</f>
        <v>0</v>
      </c>
      <c r="AL9" s="168">
        <f>DIVERSAS!DN10</f>
        <v>0</v>
      </c>
      <c r="AM9" s="514"/>
      <c r="AN9" s="167">
        <f>DIVERSAS!DT11</f>
        <v>0</v>
      </c>
      <c r="AO9" s="168">
        <f>DIVERSAS!DY11</f>
        <v>0</v>
      </c>
      <c r="AP9" s="514"/>
      <c r="AQ9" s="167">
        <f>DIVERSAS!EE11</f>
        <v>0</v>
      </c>
      <c r="AR9" s="168">
        <f>DIVERSAS!EJ11</f>
        <v>0</v>
      </c>
      <c r="AS9" s="169"/>
      <c r="AT9" s="636">
        <f>DIVERSAS!EP11</f>
        <v>0</v>
      </c>
      <c r="AU9" s="556">
        <f>DIVERSAS!EU11</f>
        <v>0</v>
      </c>
      <c r="AV9" s="514"/>
      <c r="AW9" s="623">
        <v>204393.75</v>
      </c>
      <c r="AX9" s="73" t="s">
        <v>1578</v>
      </c>
      <c r="AY9" s="71">
        <v>160239.1</v>
      </c>
      <c r="AZ9" s="69">
        <f t="shared" si="0"/>
        <v>44154.649999999994</v>
      </c>
      <c r="BA9" s="60"/>
      <c r="BB9" s="60"/>
    </row>
    <row r="10" spans="1:54" ht="15.75">
      <c r="A10" s="61">
        <v>1450022</v>
      </c>
      <c r="B10" s="657" t="s">
        <v>1579</v>
      </c>
      <c r="C10" s="63" t="s">
        <v>1580</v>
      </c>
      <c r="D10" s="64">
        <v>41</v>
      </c>
      <c r="E10" s="63" t="s">
        <v>940</v>
      </c>
      <c r="F10" s="64">
        <v>4348</v>
      </c>
      <c r="G10" s="64">
        <v>33903913</v>
      </c>
      <c r="H10" s="485">
        <v>127</v>
      </c>
      <c r="I10" s="491"/>
      <c r="J10" s="579">
        <v>57457.75</v>
      </c>
      <c r="K10" s="576">
        <v>46063</v>
      </c>
      <c r="L10" s="580" t="s">
        <v>941</v>
      </c>
      <c r="M10" s="577">
        <f>DIVERSAS!X15</f>
        <v>54306.29</v>
      </c>
      <c r="N10" s="578">
        <f>DIVERSAS!AC15</f>
        <v>46091</v>
      </c>
      <c r="O10" s="578" t="str">
        <f>DIVERSAS!AD15</f>
        <v>1450.01.0031199/2026-25</v>
      </c>
      <c r="P10" s="165">
        <f>DIVERSAS!AI15</f>
        <v>56998.33</v>
      </c>
      <c r="Q10" s="512">
        <f>DIVERSAS!AN15</f>
        <v>46122</v>
      </c>
      <c r="R10" s="169" t="str">
        <f>DIVERSAS!AO15</f>
        <v>1450.01.0056278/2026-49</v>
      </c>
      <c r="S10" s="509">
        <f>DIVERSAS!AT12</f>
        <v>0</v>
      </c>
      <c r="T10" s="512">
        <f>DIVERSAS!AY12</f>
        <v>46148</v>
      </c>
      <c r="U10" s="514"/>
      <c r="V10" s="511">
        <f>DIVERSAS!BE12</f>
        <v>0</v>
      </c>
      <c r="W10" s="515">
        <f>DIVERSAS!BJ12</f>
        <v>46179</v>
      </c>
      <c r="X10" s="514"/>
      <c r="Y10" s="167">
        <f>DIVERSAS!BP12</f>
        <v>0</v>
      </c>
      <c r="Z10" s="515">
        <f>DIVERSAS!BU12</f>
        <v>46209</v>
      </c>
      <c r="AA10" s="514"/>
      <c r="AB10" s="167">
        <f>DIVERSAS!CA12</f>
        <v>0</v>
      </c>
      <c r="AC10" s="515">
        <f>DIVERSAS!CF12</f>
        <v>0</v>
      </c>
      <c r="AD10" s="514"/>
      <c r="AE10" s="516">
        <f>DIVERSAS!CL12</f>
        <v>0</v>
      </c>
      <c r="AF10" s="517">
        <f>DIVERSAS!CQ12</f>
        <v>0</v>
      </c>
      <c r="AG10" s="514"/>
      <c r="AH10" s="167">
        <f>DIVERSAS!CW12</f>
        <v>0</v>
      </c>
      <c r="AI10" s="515">
        <f>DIVERSAS!DB11</f>
        <v>0</v>
      </c>
      <c r="AJ10" s="514"/>
      <c r="AK10" s="167">
        <f>DIVERSAS!DI12</f>
        <v>0</v>
      </c>
      <c r="AL10" s="168">
        <f>DIVERSAS!DN11</f>
        <v>0</v>
      </c>
      <c r="AM10" s="514"/>
      <c r="AN10" s="167">
        <f>DIVERSAS!DT12</f>
        <v>0</v>
      </c>
      <c r="AO10" s="168">
        <f>DIVERSAS!DY12</f>
        <v>0</v>
      </c>
      <c r="AP10" s="514"/>
      <c r="AQ10" s="167">
        <f>DIVERSAS!EE12</f>
        <v>0</v>
      </c>
      <c r="AR10" s="168">
        <f>DIVERSAS!EJ12</f>
        <v>0</v>
      </c>
      <c r="AS10" s="169"/>
      <c r="AT10" s="636">
        <f>DIVERSAS!EP12</f>
        <v>0</v>
      </c>
      <c r="AU10" s="556">
        <f>DIVERSAS!EU12</f>
        <v>0</v>
      </c>
      <c r="AV10" s="514"/>
      <c r="AW10" s="623">
        <v>87820.1</v>
      </c>
      <c r="AX10" s="73" t="s">
        <v>1578</v>
      </c>
      <c r="AY10" s="71">
        <v>57457.75</v>
      </c>
      <c r="AZ10" s="69">
        <f t="shared" si="0"/>
        <v>30362.350000000006</v>
      </c>
      <c r="BA10" s="60"/>
      <c r="BB10" s="60"/>
    </row>
    <row r="11" spans="1:54" ht="15.75">
      <c r="A11" s="61">
        <v>1450022</v>
      </c>
      <c r="B11" s="653" t="s">
        <v>944</v>
      </c>
      <c r="C11" s="63" t="s">
        <v>948</v>
      </c>
      <c r="D11" s="64">
        <v>218</v>
      </c>
      <c r="E11" s="63" t="s">
        <v>949</v>
      </c>
      <c r="F11" s="64">
        <v>4348</v>
      </c>
      <c r="G11" s="64">
        <v>33903913</v>
      </c>
      <c r="H11" s="485">
        <v>25</v>
      </c>
      <c r="I11" s="491"/>
      <c r="J11" s="575">
        <v>20275.97</v>
      </c>
      <c r="K11" s="576">
        <v>46032</v>
      </c>
      <c r="L11" s="507" t="s">
        <v>951</v>
      </c>
      <c r="M11" s="577">
        <f>DIVERSAS!X16</f>
        <v>21829.48</v>
      </c>
      <c r="N11" s="578">
        <f>DIVERSAS!AC16</f>
        <v>46063</v>
      </c>
      <c r="O11" s="578" t="str">
        <f>DIVERSAS!AD16</f>
        <v>1450.01.0003735/2026-85</v>
      </c>
      <c r="P11" s="165">
        <f>DIVERSAS!AI16</f>
        <v>21941.439999999999</v>
      </c>
      <c r="Q11" s="512">
        <f>DIVERSAS!AN16</f>
        <v>46091</v>
      </c>
      <c r="R11" s="169" t="str">
        <f>DIVERSAS!AO16</f>
        <v>1450.01.0026318/2026-86</v>
      </c>
      <c r="S11" s="509">
        <f>DIVERSAS!AT13</f>
        <v>0</v>
      </c>
      <c r="T11" s="512">
        <f>DIVERSAS!AY13</f>
        <v>46152</v>
      </c>
      <c r="U11" s="514"/>
      <c r="V11" s="511">
        <f>DIVERSAS!BE13</f>
        <v>0</v>
      </c>
      <c r="W11" s="515">
        <f>DIVERSAS!BJ13</f>
        <v>46183</v>
      </c>
      <c r="X11" s="514"/>
      <c r="Y11" s="167">
        <f>DIVERSAS!BP13</f>
        <v>0</v>
      </c>
      <c r="Z11" s="515">
        <f>DIVERSAS!BU13</f>
        <v>46213</v>
      </c>
      <c r="AA11" s="514"/>
      <c r="AB11" s="167">
        <f>DIVERSAS!CA13</f>
        <v>0</v>
      </c>
      <c r="AC11" s="515">
        <f>DIVERSAS!CF13</f>
        <v>0</v>
      </c>
      <c r="AD11" s="514"/>
      <c r="AE11" s="516">
        <f>DIVERSAS!CL13</f>
        <v>0</v>
      </c>
      <c r="AF11" s="517">
        <f>DIVERSAS!CQ13</f>
        <v>0</v>
      </c>
      <c r="AG11" s="514"/>
      <c r="AH11" s="167">
        <f>DIVERSAS!CW13</f>
        <v>0</v>
      </c>
      <c r="AI11" s="515">
        <f>DIVERSAS!DB12</f>
        <v>0</v>
      </c>
      <c r="AJ11" s="514"/>
      <c r="AK11" s="167">
        <f>DIVERSAS!DI13</f>
        <v>0</v>
      </c>
      <c r="AL11" s="168">
        <f>DIVERSAS!DN12</f>
        <v>0</v>
      </c>
      <c r="AM11" s="514"/>
      <c r="AN11" s="167">
        <f>DIVERSAS!DT13</f>
        <v>0</v>
      </c>
      <c r="AO11" s="168">
        <f>DIVERSAS!DY13</f>
        <v>0</v>
      </c>
      <c r="AP11" s="514"/>
      <c r="AQ11" s="167">
        <f>DIVERSAS!EE13</f>
        <v>0</v>
      </c>
      <c r="AR11" s="168">
        <f>DIVERSAS!EJ13</f>
        <v>0</v>
      </c>
      <c r="AS11" s="169"/>
      <c r="AT11" s="636">
        <f>DIVERSAS!EP13</f>
        <v>0</v>
      </c>
      <c r="AU11" s="556">
        <f>DIVERSAS!EU13</f>
        <v>0</v>
      </c>
      <c r="AV11" s="514"/>
      <c r="AW11" s="622">
        <v>0</v>
      </c>
      <c r="AX11" s="73" t="s">
        <v>1569</v>
      </c>
      <c r="AY11" s="67">
        <v>0</v>
      </c>
      <c r="AZ11" s="68">
        <v>0</v>
      </c>
      <c r="BA11" s="60"/>
      <c r="BB11" s="60"/>
    </row>
    <row r="12" spans="1:54" ht="15.75">
      <c r="A12" s="61">
        <v>1450022</v>
      </c>
      <c r="B12" s="653" t="s">
        <v>1581</v>
      </c>
      <c r="C12" s="63" t="s">
        <v>1582</v>
      </c>
      <c r="D12" s="64">
        <v>339</v>
      </c>
      <c r="E12" s="63" t="s">
        <v>959</v>
      </c>
      <c r="F12" s="64">
        <v>4348</v>
      </c>
      <c r="G12" s="64">
        <v>33903913</v>
      </c>
      <c r="H12" s="485">
        <v>14</v>
      </c>
      <c r="I12" s="491">
        <v>170</v>
      </c>
      <c r="J12" s="575">
        <v>10520.45</v>
      </c>
      <c r="K12" s="576">
        <v>46019</v>
      </c>
      <c r="L12" s="507" t="s">
        <v>961</v>
      </c>
      <c r="M12" s="577">
        <f>DIVERSAS!X17</f>
        <v>14146.89</v>
      </c>
      <c r="N12" s="578">
        <f>DIVERSAS!AC17</f>
        <v>46050</v>
      </c>
      <c r="O12" s="578" t="str">
        <f>DIVERSAS!AD17</f>
        <v>1450.01.0002814/2026-23</v>
      </c>
      <c r="P12" s="165">
        <f>DIVERSAS!AI17</f>
        <v>10920.14</v>
      </c>
      <c r="Q12" s="512">
        <f>DIVERSAS!AN17</f>
        <v>46083</v>
      </c>
      <c r="R12" s="169" t="str">
        <f>DIVERSAS!AO17</f>
        <v>1450.01.0021912/2026-29</v>
      </c>
      <c r="S12" s="509">
        <f>DIVERSAS!AT14</f>
        <v>0</v>
      </c>
      <c r="T12" s="512">
        <f>DIVERSAS!AY14</f>
        <v>46142</v>
      </c>
      <c r="U12" s="514"/>
      <c r="V12" s="511">
        <f>DIVERSAS!BE14</f>
        <v>0</v>
      </c>
      <c r="W12" s="515">
        <f>DIVERSAS!BJ14</f>
        <v>46172</v>
      </c>
      <c r="X12" s="514"/>
      <c r="Y12" s="167">
        <f>DIVERSAS!BP14</f>
        <v>0</v>
      </c>
      <c r="Z12" s="515">
        <f>DIVERSAS!BU14</f>
        <v>46203</v>
      </c>
      <c r="AA12" s="514"/>
      <c r="AB12" s="167">
        <f>DIVERSAS!CA14</f>
        <v>0</v>
      </c>
      <c r="AC12" s="515">
        <f>DIVERSAS!CF14</f>
        <v>0</v>
      </c>
      <c r="AD12" s="514"/>
      <c r="AE12" s="516">
        <f>DIVERSAS!CL14</f>
        <v>0</v>
      </c>
      <c r="AF12" s="517">
        <f>DIVERSAS!CQ14</f>
        <v>0</v>
      </c>
      <c r="AG12" s="514"/>
      <c r="AH12" s="167">
        <f>DIVERSAS!CW14</f>
        <v>0</v>
      </c>
      <c r="AI12" s="515">
        <f>DIVERSAS!DB13</f>
        <v>0</v>
      </c>
      <c r="AJ12" s="514"/>
      <c r="AK12" s="167">
        <f>DIVERSAS!DI14</f>
        <v>0</v>
      </c>
      <c r="AL12" s="168">
        <f>DIVERSAS!DN13</f>
        <v>0</v>
      </c>
      <c r="AM12" s="514"/>
      <c r="AN12" s="167">
        <f>DIVERSAS!DT14</f>
        <v>0</v>
      </c>
      <c r="AO12" s="168">
        <f>DIVERSAS!DY14</f>
        <v>0</v>
      </c>
      <c r="AP12" s="514"/>
      <c r="AQ12" s="167">
        <f>DIVERSAS!EE14</f>
        <v>0</v>
      </c>
      <c r="AR12" s="168">
        <f>DIVERSAS!EJ14</f>
        <v>0</v>
      </c>
      <c r="AS12" s="169"/>
      <c r="AT12" s="636">
        <f>DIVERSAS!EP14</f>
        <v>0</v>
      </c>
      <c r="AU12" s="556">
        <f>DIVERSAS!EU14</f>
        <v>0</v>
      </c>
      <c r="AV12" s="514"/>
      <c r="AW12" s="622">
        <v>0</v>
      </c>
      <c r="AX12" s="73" t="s">
        <v>1569</v>
      </c>
      <c r="AY12" s="67">
        <v>0</v>
      </c>
      <c r="AZ12" s="68">
        <v>0</v>
      </c>
      <c r="BA12" s="60"/>
      <c r="BB12" s="60"/>
    </row>
    <row r="13" spans="1:54" ht="15.75">
      <c r="A13" s="61">
        <v>1450022</v>
      </c>
      <c r="B13" s="62" t="s">
        <v>975</v>
      </c>
      <c r="C13" s="63" t="s">
        <v>969</v>
      </c>
      <c r="D13" s="64">
        <v>47</v>
      </c>
      <c r="E13" s="63" t="s">
        <v>970</v>
      </c>
      <c r="F13" s="64">
        <v>4348</v>
      </c>
      <c r="G13" s="64">
        <v>33903913</v>
      </c>
      <c r="H13" s="485">
        <v>128</v>
      </c>
      <c r="I13" s="491"/>
      <c r="J13" s="579">
        <v>34426.400000000001</v>
      </c>
      <c r="K13" s="576">
        <v>46063</v>
      </c>
      <c r="L13" s="581" t="s">
        <v>972</v>
      </c>
      <c r="M13" s="577">
        <f>DIVERSAS!X18+DIVERSAS!X19</f>
        <v>38461.009999999995</v>
      </c>
      <c r="N13" s="578">
        <f>DIVERSAS!AC18</f>
        <v>46083</v>
      </c>
      <c r="O13" s="578" t="str">
        <f>DIVERSAS!AD18</f>
        <v>1450.01.0034966/2026-69</v>
      </c>
      <c r="P13" s="509">
        <f>DIVERSAS!AI18+DIVERSAS!AI19</f>
        <v>38461.009999999995</v>
      </c>
      <c r="Q13" s="512">
        <f>DIVERSAS!AN18</f>
        <v>46112</v>
      </c>
      <c r="R13" s="169" t="str">
        <f>DIVERSAS!AO18</f>
        <v>1450.01.0055391/2026-39</v>
      </c>
      <c r="S13" s="509">
        <f>DIVERSAS!AT15+DIVERSAS!AT16</f>
        <v>23929.360000000001</v>
      </c>
      <c r="T13" s="512">
        <f>DIVERSAS!AY15</f>
        <v>46152</v>
      </c>
      <c r="U13" s="514"/>
      <c r="V13" s="511">
        <f>DIVERSAS!BE15+DIVERSAS!BE16</f>
        <v>0</v>
      </c>
      <c r="W13" s="515">
        <f>DIVERSAS!BJ15</f>
        <v>46183</v>
      </c>
      <c r="X13" s="514"/>
      <c r="Y13" s="167">
        <f>DIVERSAS!BP15+DIVERSAS!BP16</f>
        <v>0</v>
      </c>
      <c r="Z13" s="515">
        <f>DIVERSAS!BU15</f>
        <v>46213</v>
      </c>
      <c r="AA13" s="514"/>
      <c r="AB13" s="167">
        <f>DIVERSAS!CA15+DIVERSAS!CA16</f>
        <v>0</v>
      </c>
      <c r="AC13" s="515">
        <f>DIVERSAS!CF15</f>
        <v>0</v>
      </c>
      <c r="AD13" s="514"/>
      <c r="AE13" s="516">
        <f>DIVERSAS!CL15+DIVERSAS!CL16</f>
        <v>0</v>
      </c>
      <c r="AF13" s="517">
        <f>DIVERSAS!CQ15</f>
        <v>0</v>
      </c>
      <c r="AG13" s="514"/>
      <c r="AH13" s="167">
        <f>DIVERSAS!CW15+DIVERSAS!CW16</f>
        <v>0</v>
      </c>
      <c r="AI13" s="515">
        <f>DIVERSAS!DB15</f>
        <v>0</v>
      </c>
      <c r="AJ13" s="514"/>
      <c r="AK13" s="167">
        <f>DIVERSAS!DI15+DIVERSAS!DI16</f>
        <v>0</v>
      </c>
      <c r="AL13" s="168">
        <f>DIVERSAS!DN15</f>
        <v>0</v>
      </c>
      <c r="AM13" s="514"/>
      <c r="AN13" s="167">
        <f>DIVERSAS!DT15+DIVERSAS!DT16</f>
        <v>0</v>
      </c>
      <c r="AO13" s="168">
        <f>DIVERSAS!DY15</f>
        <v>0</v>
      </c>
      <c r="AP13" s="514"/>
      <c r="AQ13" s="167">
        <f>DIVERSAS!EE15+DIVERSAS!EE16</f>
        <v>0</v>
      </c>
      <c r="AR13" s="168">
        <f>DIVERSAS!EJ15</f>
        <v>0</v>
      </c>
      <c r="AS13" s="169"/>
      <c r="AT13" s="636">
        <f>DIVERSAS!EP15+DIVERSAS!EP16</f>
        <v>0</v>
      </c>
      <c r="AU13" s="556">
        <f>DIVERSAS!EU15</f>
        <v>0</v>
      </c>
      <c r="AV13" s="514"/>
      <c r="AW13" s="623">
        <v>51147.199999999997</v>
      </c>
      <c r="AX13" s="73" t="s">
        <v>1578</v>
      </c>
      <c r="AY13" s="71">
        <v>40000</v>
      </c>
      <c r="AZ13" s="69">
        <f t="shared" ref="AZ13" si="1">AW13-AY13</f>
        <v>11147.199999999997</v>
      </c>
      <c r="BA13" s="60"/>
      <c r="BB13" s="60"/>
    </row>
    <row r="14" spans="1:54" ht="15.75">
      <c r="A14" s="61">
        <v>1450022</v>
      </c>
      <c r="B14" s="72" t="s">
        <v>1583</v>
      </c>
      <c r="C14" s="63" t="s">
        <v>1584</v>
      </c>
      <c r="D14" s="64">
        <v>115</v>
      </c>
      <c r="E14" s="63" t="s">
        <v>871</v>
      </c>
      <c r="F14" s="64">
        <v>4348</v>
      </c>
      <c r="G14" s="64">
        <v>33903913</v>
      </c>
      <c r="H14" s="485">
        <v>43</v>
      </c>
      <c r="I14" s="491"/>
      <c r="J14" s="575">
        <v>90973.32</v>
      </c>
      <c r="K14" s="576">
        <v>46045</v>
      </c>
      <c r="L14" s="507" t="s">
        <v>983</v>
      </c>
      <c r="M14" s="577">
        <f>DIVERSAS!X20</f>
        <v>102989.9</v>
      </c>
      <c r="N14" s="578">
        <f>DIVERSAS!AC20</f>
        <v>46076</v>
      </c>
      <c r="O14" s="578" t="str">
        <f>DIVERSAS!AD20</f>
        <v>1450.01.0009149/2026-86</v>
      </c>
      <c r="P14" s="165">
        <f>DIVERSAS!AI20</f>
        <v>86363.51</v>
      </c>
      <c r="Q14" s="512">
        <f>DIVERSAS!AN20</f>
        <v>46104</v>
      </c>
      <c r="R14" s="169" t="str">
        <f>DIVERSAS!AO20</f>
        <v>1450.01.0030923/2026-08</v>
      </c>
      <c r="S14" s="509">
        <f>DIVERSAS!AT17</f>
        <v>11550.7</v>
      </c>
      <c r="T14" s="512">
        <f>DIVERSAS!AY17</f>
        <v>46111</v>
      </c>
      <c r="U14" s="514"/>
      <c r="V14" s="511">
        <f>DIVERSAS!BE17</f>
        <v>0</v>
      </c>
      <c r="W14" s="515">
        <f>DIVERSAS!BJ17</f>
        <v>46142</v>
      </c>
      <c r="X14" s="514"/>
      <c r="Y14" s="167">
        <f>DIVERSAS!BP17</f>
        <v>0</v>
      </c>
      <c r="Z14" s="515">
        <f>DIVERSAS!BU17</f>
        <v>46172</v>
      </c>
      <c r="AA14" s="514"/>
      <c r="AB14" s="167">
        <f>DIVERSAS!CA17</f>
        <v>0</v>
      </c>
      <c r="AC14" s="515">
        <f>DIVERSAS!CF17</f>
        <v>0</v>
      </c>
      <c r="AD14" s="514"/>
      <c r="AE14" s="516">
        <f>DIVERSAS!CL17</f>
        <v>0</v>
      </c>
      <c r="AF14" s="517">
        <f>DIVERSAS!CQ17</f>
        <v>0</v>
      </c>
      <c r="AG14" s="514"/>
      <c r="AH14" s="167">
        <f>DIVERSAS!CW17</f>
        <v>0</v>
      </c>
      <c r="AI14" s="515">
        <f>DIVERSAS!DB17</f>
        <v>0</v>
      </c>
      <c r="AJ14" s="514"/>
      <c r="AK14" s="167">
        <f>DIVERSAS!DI17</f>
        <v>0</v>
      </c>
      <c r="AL14" s="168">
        <f>DIVERSAS!DN17</f>
        <v>0</v>
      </c>
      <c r="AM14" s="514"/>
      <c r="AN14" s="167">
        <f>DIVERSAS!DT17</f>
        <v>0</v>
      </c>
      <c r="AO14" s="168">
        <f>DIVERSAS!DY17</f>
        <v>0</v>
      </c>
      <c r="AP14" s="514"/>
      <c r="AQ14" s="167">
        <f>DIVERSAS!EE17</f>
        <v>0</v>
      </c>
      <c r="AR14" s="168">
        <f>DIVERSAS!EJ17</f>
        <v>0</v>
      </c>
      <c r="AS14" s="169"/>
      <c r="AT14" s="636">
        <f>DIVERSAS!EP17</f>
        <v>0</v>
      </c>
      <c r="AU14" s="556">
        <f>DIVERSAS!EU17</f>
        <v>0</v>
      </c>
      <c r="AV14" s="514"/>
      <c r="AW14" s="622">
        <v>0</v>
      </c>
      <c r="AX14" s="73" t="s">
        <v>1569</v>
      </c>
      <c r="AY14" s="67">
        <v>0</v>
      </c>
      <c r="AZ14" s="68">
        <v>0</v>
      </c>
      <c r="BA14" s="60"/>
      <c r="BB14" s="60"/>
    </row>
    <row r="15" spans="1:54" ht="15.75">
      <c r="A15" s="61">
        <v>1450022</v>
      </c>
      <c r="B15" s="653" t="s">
        <v>987</v>
      </c>
      <c r="C15" s="63" t="s">
        <v>1585</v>
      </c>
      <c r="D15" s="64">
        <v>203</v>
      </c>
      <c r="E15" s="63" t="s">
        <v>991</v>
      </c>
      <c r="F15" s="64">
        <v>4348</v>
      </c>
      <c r="G15" s="64">
        <v>33903913</v>
      </c>
      <c r="H15" s="485">
        <v>34</v>
      </c>
      <c r="I15" s="491"/>
      <c r="J15" s="575">
        <v>3878.63</v>
      </c>
      <c r="K15" s="576">
        <v>46040</v>
      </c>
      <c r="L15" s="507" t="s">
        <v>993</v>
      </c>
      <c r="M15" s="577">
        <f>DIVERSAS!X21</f>
        <v>4876.07</v>
      </c>
      <c r="N15" s="578">
        <f>DIVERSAS!AC21</f>
        <v>46071</v>
      </c>
      <c r="O15" s="578" t="str">
        <f>DIVERSAS!AD21</f>
        <v>1450.01.0016383/2026-29</v>
      </c>
      <c r="P15" s="165">
        <f>DIVERSAS!AI21</f>
        <v>4092.37</v>
      </c>
      <c r="Q15" s="512">
        <f>DIVERSAS!AN21</f>
        <v>46099</v>
      </c>
      <c r="R15" s="169" t="str">
        <f>DIVERSAS!AO21</f>
        <v>1450.01.0033482/2026-76</v>
      </c>
      <c r="S15" s="509">
        <f>DIVERSAS!AT18</f>
        <v>0</v>
      </c>
      <c r="T15" s="512">
        <f>DIVERSAS!AY18</f>
        <v>46142</v>
      </c>
      <c r="U15" s="514"/>
      <c r="V15" s="511">
        <f>DIVERSAS!BE18</f>
        <v>0</v>
      </c>
      <c r="W15" s="515">
        <f>DIVERSAS!BJ18</f>
        <v>46172</v>
      </c>
      <c r="X15" s="514"/>
      <c r="Y15" s="167">
        <f>DIVERSAS!BP18</f>
        <v>0</v>
      </c>
      <c r="Z15" s="515">
        <f>DIVERSAS!BU18</f>
        <v>46203</v>
      </c>
      <c r="AA15" s="514"/>
      <c r="AB15" s="167">
        <f>DIVERSAS!CA18</f>
        <v>0</v>
      </c>
      <c r="AC15" s="515">
        <f>DIVERSAS!CF18</f>
        <v>0</v>
      </c>
      <c r="AD15" s="514"/>
      <c r="AE15" s="516">
        <f>DIVERSAS!CL18</f>
        <v>0</v>
      </c>
      <c r="AF15" s="517">
        <f>DIVERSAS!CQ18</f>
        <v>0</v>
      </c>
      <c r="AG15" s="514"/>
      <c r="AH15" s="167">
        <f>DIVERSAS!CW18</f>
        <v>0</v>
      </c>
      <c r="AI15" s="515">
        <f>DIVERSAS!DB18</f>
        <v>0</v>
      </c>
      <c r="AJ15" s="514"/>
      <c r="AK15" s="167">
        <f>DIVERSAS!DI18</f>
        <v>0</v>
      </c>
      <c r="AL15" s="168">
        <f>DIVERSAS!DN18</f>
        <v>0</v>
      </c>
      <c r="AM15" s="514"/>
      <c r="AN15" s="167">
        <f>DIVERSAS!DT18</f>
        <v>0</v>
      </c>
      <c r="AO15" s="168">
        <f>DIVERSAS!DY18</f>
        <v>0</v>
      </c>
      <c r="AP15" s="514"/>
      <c r="AQ15" s="167">
        <f>DIVERSAS!EE18</f>
        <v>0</v>
      </c>
      <c r="AR15" s="168">
        <f>DIVERSAS!EJ18</f>
        <v>0</v>
      </c>
      <c r="AS15" s="169"/>
      <c r="AT15" s="636">
        <f>DIVERSAS!EP18</f>
        <v>0</v>
      </c>
      <c r="AU15" s="556">
        <f>DIVERSAS!EU18</f>
        <v>0</v>
      </c>
      <c r="AV15" s="514"/>
      <c r="AW15" s="622">
        <v>0</v>
      </c>
      <c r="AX15" s="73" t="s">
        <v>1569</v>
      </c>
      <c r="AY15" s="67">
        <v>0</v>
      </c>
      <c r="AZ15" s="68">
        <v>0</v>
      </c>
      <c r="BA15" s="60"/>
      <c r="BB15" s="60"/>
    </row>
    <row r="16" spans="1:54" ht="15.75">
      <c r="A16" s="61">
        <v>1450022</v>
      </c>
      <c r="B16" s="62" t="s">
        <v>1586</v>
      </c>
      <c r="C16" s="63" t="s">
        <v>1587</v>
      </c>
      <c r="D16" s="64">
        <v>318</v>
      </c>
      <c r="E16" s="63" t="s">
        <v>1001</v>
      </c>
      <c r="F16" s="64">
        <v>4348</v>
      </c>
      <c r="G16" s="64">
        <v>33903913</v>
      </c>
      <c r="H16" s="485">
        <v>37</v>
      </c>
      <c r="I16" s="491"/>
      <c r="J16" s="579">
        <v>17824.669999999998</v>
      </c>
      <c r="K16" s="576">
        <v>46042</v>
      </c>
      <c r="L16" s="507" t="s">
        <v>1003</v>
      </c>
      <c r="M16" s="577">
        <f>DIVERSAS!X22+DIVERSAS!X23</f>
        <v>22588.53</v>
      </c>
      <c r="N16" s="578">
        <f>DIVERSAS!AC22</f>
        <v>46073</v>
      </c>
      <c r="O16" s="578" t="str">
        <f>DIVERSAS!AD22</f>
        <v>1450.01.0012172/2026-42</v>
      </c>
      <c r="P16" s="509">
        <f>DIVERSAS!AI22+DIVERSAS!AI23</f>
        <v>15030.64</v>
      </c>
      <c r="Q16" s="652">
        <f>DIVERSAS!AN22</f>
        <v>46112</v>
      </c>
      <c r="R16" s="169" t="str">
        <f>DIVERSAS!AO22</f>
        <v>1450.01.0052083/2026-18</v>
      </c>
      <c r="S16" s="509">
        <f>DIVERSAS!AT19+DIVERSAS!AT20</f>
        <v>118506.47</v>
      </c>
      <c r="T16" s="512">
        <f>DIVERSAS!AY19</f>
        <v>46142</v>
      </c>
      <c r="U16" s="514"/>
      <c r="V16" s="511">
        <f>DIVERSAS!BE19+DIVERSAS!BE20</f>
        <v>0</v>
      </c>
      <c r="W16" s="515">
        <f>DIVERSAS!BJ19</f>
        <v>46172</v>
      </c>
      <c r="X16" s="514"/>
      <c r="Y16" s="167">
        <f>DIVERSAS!BP19+DIVERSAS!BP20</f>
        <v>0</v>
      </c>
      <c r="Z16" s="515">
        <f>DIVERSAS!BU19</f>
        <v>46203</v>
      </c>
      <c r="AA16" s="514"/>
      <c r="AB16" s="167">
        <f>DIVERSAS!CA19+DIVERSAS!CA20</f>
        <v>0</v>
      </c>
      <c r="AC16" s="515">
        <f>DIVERSAS!CF19</f>
        <v>0</v>
      </c>
      <c r="AD16" s="514"/>
      <c r="AE16" s="516">
        <f>DIVERSAS!CL19+DIVERSAS!CL20</f>
        <v>0</v>
      </c>
      <c r="AF16" s="517">
        <f>DIVERSAS!CQ19</f>
        <v>0</v>
      </c>
      <c r="AG16" s="514"/>
      <c r="AH16" s="167">
        <f>DIVERSAS!CW19+DIVERSAS!CW20</f>
        <v>0</v>
      </c>
      <c r="AI16" s="515">
        <f>DIVERSAS!DB19</f>
        <v>0</v>
      </c>
      <c r="AJ16" s="514"/>
      <c r="AK16" s="167">
        <f>DIVERSAS!DI19+DIVERSAS!DI20</f>
        <v>0</v>
      </c>
      <c r="AL16" s="168">
        <f>DIVERSAS!DN19</f>
        <v>0</v>
      </c>
      <c r="AM16" s="514"/>
      <c r="AN16" s="167">
        <f>DIVERSAS!DT19+DIVERSAS!DT20</f>
        <v>0</v>
      </c>
      <c r="AO16" s="168">
        <f>DIVERSAS!DY19</f>
        <v>0</v>
      </c>
      <c r="AP16" s="514"/>
      <c r="AQ16" s="167">
        <f>DIVERSAS!EE19+DIVERSAS!EE20</f>
        <v>0</v>
      </c>
      <c r="AR16" s="168">
        <f>DIVERSAS!EJ19</f>
        <v>0</v>
      </c>
      <c r="AS16" s="169"/>
      <c r="AT16" s="636">
        <f>DIVERSAS!EP19+DIVERSAS!EP20</f>
        <v>0</v>
      </c>
      <c r="AU16" s="556">
        <f>DIVERSAS!EU19</f>
        <v>0</v>
      </c>
      <c r="AV16" s="514"/>
      <c r="AW16" s="623">
        <v>22564.69</v>
      </c>
      <c r="AX16" s="73" t="s">
        <v>1578</v>
      </c>
      <c r="AY16" s="71">
        <v>17824.669999999998</v>
      </c>
      <c r="AZ16" s="69">
        <f t="shared" ref="AZ16" si="2">AW16-AY16</f>
        <v>4740.0200000000004</v>
      </c>
      <c r="BA16" s="60"/>
      <c r="BB16" s="60"/>
    </row>
    <row r="17" spans="1:54" ht="15.75">
      <c r="A17" s="61">
        <v>1450022</v>
      </c>
      <c r="B17" s="72" t="s">
        <v>1588</v>
      </c>
      <c r="C17" s="63" t="s">
        <v>1589</v>
      </c>
      <c r="D17" s="64">
        <v>188</v>
      </c>
      <c r="E17" s="63" t="s">
        <v>1014</v>
      </c>
      <c r="F17" s="64">
        <v>4348</v>
      </c>
      <c r="G17" s="64">
        <v>33903913</v>
      </c>
      <c r="H17" s="485">
        <v>22</v>
      </c>
      <c r="I17" s="491"/>
      <c r="J17" s="575">
        <v>13744.17</v>
      </c>
      <c r="K17" s="576">
        <v>46032</v>
      </c>
      <c r="L17" s="507" t="s">
        <v>1016</v>
      </c>
      <c r="M17" s="577">
        <f>DIVERSAS!X24</f>
        <v>9858.99</v>
      </c>
      <c r="N17" s="578">
        <f>DIVERSAS!AC24</f>
        <v>46063</v>
      </c>
      <c r="O17" s="578" t="str">
        <f>DIVERSAS!AD24</f>
        <v>1450.01.0010032/2026-10</v>
      </c>
      <c r="P17" s="165">
        <f>DIVERSAS!AI24</f>
        <v>11183.99</v>
      </c>
      <c r="Q17" s="512">
        <f>DIVERSAS!AN24</f>
        <v>46091</v>
      </c>
      <c r="R17" s="169" t="str">
        <f>DIVERSAS!AO24</f>
        <v>1450.01.0031840/2026-81</v>
      </c>
      <c r="S17" s="509">
        <f>DIVERSAS!AT20</f>
        <v>118506.47</v>
      </c>
      <c r="T17" s="512">
        <f>DIVERSAS!AY21</f>
        <v>46130</v>
      </c>
      <c r="U17" s="514"/>
      <c r="V17" s="511">
        <f>DIVERSAS!BE21</f>
        <v>0</v>
      </c>
      <c r="W17" s="515">
        <f>DIVERSAS!BJ21</f>
        <v>46160</v>
      </c>
      <c r="X17" s="514"/>
      <c r="Y17" s="167">
        <f>DIVERSAS!BP21</f>
        <v>0</v>
      </c>
      <c r="Z17" s="515">
        <f>DIVERSAS!BU21</f>
        <v>46191</v>
      </c>
      <c r="AA17" s="514"/>
      <c r="AB17" s="167">
        <f>DIVERSAS!CA21</f>
        <v>0</v>
      </c>
      <c r="AC17" s="515">
        <f>DIVERSAS!CF21</f>
        <v>0</v>
      </c>
      <c r="AD17" s="514"/>
      <c r="AE17" s="516">
        <f>DIVERSAS!CL21</f>
        <v>0</v>
      </c>
      <c r="AF17" s="517">
        <f>DIVERSAS!CQ21</f>
        <v>0</v>
      </c>
      <c r="AG17" s="514"/>
      <c r="AH17" s="167">
        <f>DIVERSAS!CW21</f>
        <v>0</v>
      </c>
      <c r="AI17" s="515">
        <f>DIVERSAS!DB21</f>
        <v>0</v>
      </c>
      <c r="AJ17" s="514"/>
      <c r="AK17" s="167">
        <f>DIVERSAS!DI21</f>
        <v>0</v>
      </c>
      <c r="AL17" s="168">
        <f>DIVERSAS!DN21</f>
        <v>0</v>
      </c>
      <c r="AM17" s="514"/>
      <c r="AN17" s="167">
        <f>DIVERSAS!DT21</f>
        <v>0</v>
      </c>
      <c r="AO17" s="168">
        <f>DIVERSAS!DY21</f>
        <v>0</v>
      </c>
      <c r="AP17" s="514"/>
      <c r="AQ17" s="167">
        <f>DIVERSAS!EE21</f>
        <v>0</v>
      </c>
      <c r="AR17" s="168">
        <f>DIVERSAS!EJ21</f>
        <v>0</v>
      </c>
      <c r="AS17" s="169"/>
      <c r="AT17" s="636">
        <f>DIVERSAS!EP21</f>
        <v>0</v>
      </c>
      <c r="AU17" s="556">
        <f>DIVERSAS!EU21</f>
        <v>0</v>
      </c>
      <c r="AV17" s="514"/>
      <c r="AW17" s="622">
        <v>0</v>
      </c>
      <c r="AX17" s="73" t="s">
        <v>1569</v>
      </c>
      <c r="AY17" s="67">
        <v>0</v>
      </c>
      <c r="AZ17" s="68">
        <v>0</v>
      </c>
      <c r="BA17" s="60"/>
      <c r="BB17" s="60"/>
    </row>
    <row r="18" spans="1:54" ht="15.75">
      <c r="A18" s="61">
        <v>1450022</v>
      </c>
      <c r="B18" s="72" t="s">
        <v>1590</v>
      </c>
      <c r="C18" s="63" t="s">
        <v>1591</v>
      </c>
      <c r="D18" s="64">
        <v>239</v>
      </c>
      <c r="E18" s="63" t="s">
        <v>1024</v>
      </c>
      <c r="F18" s="64">
        <v>4348</v>
      </c>
      <c r="G18" s="64">
        <v>33903913</v>
      </c>
      <c r="H18" s="485">
        <v>110</v>
      </c>
      <c r="I18" s="491">
        <v>158</v>
      </c>
      <c r="J18" s="579">
        <v>16102.36</v>
      </c>
      <c r="K18" s="576">
        <v>46042</v>
      </c>
      <c r="L18" s="507" t="s">
        <v>1027</v>
      </c>
      <c r="M18" s="577">
        <f>DIVERSAS!X25</f>
        <v>15423.76</v>
      </c>
      <c r="N18" s="578">
        <f>DIVERSAS!AC25</f>
        <v>46073</v>
      </c>
      <c r="O18" s="578" t="str">
        <f>DIVERSAS!AD25</f>
        <v>1450.01.0022927/2026-75</v>
      </c>
      <c r="P18" s="165">
        <f>DIVERSAS!AI25</f>
        <v>18509.77</v>
      </c>
      <c r="Q18" s="652">
        <f>DIVERSAS!AN25</f>
        <v>46101</v>
      </c>
      <c r="R18" s="169" t="str">
        <f>DIVERSAS!AO25</f>
        <v>1450.01.0043068/2026-50</v>
      </c>
      <c r="S18" s="509">
        <f>DIVERSAS!AT21</f>
        <v>4858.26</v>
      </c>
      <c r="T18" s="512">
        <f>DIVERSAS!AY22</f>
        <v>46132</v>
      </c>
      <c r="U18" s="514"/>
      <c r="V18" s="511">
        <f>DIVERSAS!BE22</f>
        <v>0</v>
      </c>
      <c r="W18" s="515">
        <f>DIVERSAS!BJ22</f>
        <v>46162</v>
      </c>
      <c r="X18" s="514"/>
      <c r="Y18" s="167">
        <f>DIVERSAS!BP22</f>
        <v>0</v>
      </c>
      <c r="Z18" s="515">
        <f>DIVERSAS!BU22</f>
        <v>46193</v>
      </c>
      <c r="AA18" s="514"/>
      <c r="AB18" s="167">
        <f>DIVERSAS!CA22</f>
        <v>0</v>
      </c>
      <c r="AC18" s="515">
        <f>DIVERSAS!CF22</f>
        <v>0</v>
      </c>
      <c r="AD18" s="514"/>
      <c r="AE18" s="516">
        <f>DIVERSAS!CL22</f>
        <v>0</v>
      </c>
      <c r="AF18" s="517">
        <f>DIVERSAS!CQ22</f>
        <v>0</v>
      </c>
      <c r="AG18" s="514"/>
      <c r="AH18" s="167">
        <f>DIVERSAS!CW22</f>
        <v>0</v>
      </c>
      <c r="AI18" s="515">
        <f>DIVERSAS!DB22</f>
        <v>0</v>
      </c>
      <c r="AJ18" s="514"/>
      <c r="AK18" s="167">
        <f>DIVERSAS!DI22</f>
        <v>0</v>
      </c>
      <c r="AL18" s="168">
        <f>DIVERSAS!DN22</f>
        <v>0</v>
      </c>
      <c r="AM18" s="514"/>
      <c r="AN18" s="167">
        <f>DIVERSAS!DT22</f>
        <v>0</v>
      </c>
      <c r="AO18" s="168">
        <f>DIVERSAS!DY22</f>
        <v>0</v>
      </c>
      <c r="AP18" s="514"/>
      <c r="AQ18" s="167">
        <f>DIVERSAS!EE22</f>
        <v>0</v>
      </c>
      <c r="AR18" s="168">
        <f>DIVERSAS!EJ22</f>
        <v>0</v>
      </c>
      <c r="AS18" s="169"/>
      <c r="AT18" s="636">
        <f>DIVERSAS!EP22</f>
        <v>0</v>
      </c>
      <c r="AU18" s="556">
        <f>DIVERSAS!EU22</f>
        <v>0</v>
      </c>
      <c r="AV18" s="514"/>
      <c r="AW18" s="623">
        <v>32631.1</v>
      </c>
      <c r="AX18" s="73" t="s">
        <v>1578</v>
      </c>
      <c r="AY18" s="71">
        <v>16102.36</v>
      </c>
      <c r="AZ18" s="69">
        <f t="shared" ref="AZ18" si="3">AW18-AY18</f>
        <v>16528.739999999998</v>
      </c>
      <c r="BA18" s="60"/>
      <c r="BB18" s="60"/>
    </row>
    <row r="19" spans="1:54" ht="15.75">
      <c r="A19" s="61">
        <v>1450022</v>
      </c>
      <c r="B19" s="72" t="s">
        <v>1592</v>
      </c>
      <c r="C19" s="63" t="s">
        <v>1034</v>
      </c>
      <c r="D19" s="64">
        <v>224</v>
      </c>
      <c r="E19" s="63" t="s">
        <v>1035</v>
      </c>
      <c r="F19" s="64">
        <v>4348</v>
      </c>
      <c r="G19" s="64">
        <v>33903913</v>
      </c>
      <c r="H19" s="485">
        <v>24</v>
      </c>
      <c r="I19" s="491"/>
      <c r="J19" s="575">
        <v>26963.09</v>
      </c>
      <c r="K19" s="576">
        <v>46032</v>
      </c>
      <c r="L19" s="507" t="s">
        <v>1037</v>
      </c>
      <c r="M19" s="577">
        <f>DIVERSAS!X26</f>
        <v>32094.14</v>
      </c>
      <c r="N19" s="578">
        <f>DIVERSAS!AC26</f>
        <v>46063</v>
      </c>
      <c r="O19" s="578" t="str">
        <f>DIVERSAS!AD26</f>
        <v>1450.01.0007309/2026-05</v>
      </c>
      <c r="P19" s="165">
        <f>DIVERSAS!AI26</f>
        <v>26847.79</v>
      </c>
      <c r="Q19" s="512">
        <f>DIVERSAS!AN26</f>
        <v>46091</v>
      </c>
      <c r="R19" s="169" t="str">
        <f>DIVERSAS!AO26</f>
        <v>1450.01.0038290/2026-46</v>
      </c>
      <c r="S19" s="509">
        <f>DIVERSAS!AT22</f>
        <v>5888.68</v>
      </c>
      <c r="T19" s="512">
        <f>DIVERSAS!AY23</f>
        <v>46132</v>
      </c>
      <c r="U19" s="514"/>
      <c r="V19" s="511">
        <f>DIVERSAS!BE23</f>
        <v>0</v>
      </c>
      <c r="W19" s="515">
        <f>DIVERSAS!BJ23</f>
        <v>46162</v>
      </c>
      <c r="X19" s="514"/>
      <c r="Y19" s="167">
        <f>DIVERSAS!BP23</f>
        <v>0</v>
      </c>
      <c r="Z19" s="515">
        <f>DIVERSAS!BU23</f>
        <v>46193</v>
      </c>
      <c r="AA19" s="514"/>
      <c r="AB19" s="167">
        <f>DIVERSAS!CA23</f>
        <v>0</v>
      </c>
      <c r="AC19" s="515">
        <f>DIVERSAS!CF23</f>
        <v>0</v>
      </c>
      <c r="AD19" s="514"/>
      <c r="AE19" s="516">
        <f>DIVERSAS!CL23</f>
        <v>0</v>
      </c>
      <c r="AF19" s="517">
        <f>DIVERSAS!CQ23</f>
        <v>0</v>
      </c>
      <c r="AG19" s="514"/>
      <c r="AH19" s="167">
        <f>DIVERSAS!CW23</f>
        <v>0</v>
      </c>
      <c r="AI19" s="515">
        <f>DIVERSAS!DB23</f>
        <v>0</v>
      </c>
      <c r="AJ19" s="514"/>
      <c r="AK19" s="167">
        <f>DIVERSAS!DI23</f>
        <v>0</v>
      </c>
      <c r="AL19" s="168">
        <f>DIVERSAS!DN23</f>
        <v>0</v>
      </c>
      <c r="AM19" s="514"/>
      <c r="AN19" s="167">
        <f>DIVERSAS!DT23</f>
        <v>0</v>
      </c>
      <c r="AO19" s="168">
        <f>DIVERSAS!DY23</f>
        <v>0</v>
      </c>
      <c r="AP19" s="514"/>
      <c r="AQ19" s="167">
        <f>DIVERSAS!EE23</f>
        <v>0</v>
      </c>
      <c r="AR19" s="168">
        <f>DIVERSAS!EJ23</f>
        <v>0</v>
      </c>
      <c r="AS19" s="169"/>
      <c r="AT19" s="636">
        <f>DIVERSAS!EP23</f>
        <v>0</v>
      </c>
      <c r="AU19" s="556">
        <f>DIVERSAS!EU23</f>
        <v>0</v>
      </c>
      <c r="AV19" s="514"/>
      <c r="AW19" s="622">
        <v>0</v>
      </c>
      <c r="AX19" s="73" t="s">
        <v>1569</v>
      </c>
      <c r="AY19" s="67">
        <v>0</v>
      </c>
      <c r="AZ19" s="68">
        <v>0</v>
      </c>
      <c r="BA19" s="60"/>
      <c r="BB19" s="60"/>
    </row>
    <row r="20" spans="1:54" ht="15.75">
      <c r="A20" s="61">
        <v>1450022</v>
      </c>
      <c r="B20" s="62" t="s">
        <v>1041</v>
      </c>
      <c r="C20" s="63" t="s">
        <v>1593</v>
      </c>
      <c r="D20" s="64">
        <v>152</v>
      </c>
      <c r="E20" s="63" t="s">
        <v>1045</v>
      </c>
      <c r="F20" s="64">
        <v>4348</v>
      </c>
      <c r="G20" s="64">
        <v>33903913</v>
      </c>
      <c r="H20" s="485">
        <v>23</v>
      </c>
      <c r="I20" s="491"/>
      <c r="J20" s="575">
        <v>4770.7700000000004</v>
      </c>
      <c r="K20" s="576">
        <v>46032</v>
      </c>
      <c r="L20" s="507" t="s">
        <v>1047</v>
      </c>
      <c r="M20" s="577">
        <f>DIVERSAS!X27</f>
        <v>6929.2</v>
      </c>
      <c r="N20" s="578">
        <f>DIVERSAS!AC27</f>
        <v>46063</v>
      </c>
      <c r="O20" s="578" t="str">
        <f>DIVERSAS!AD27</f>
        <v>1450.01.0008696/2026-95</v>
      </c>
      <c r="P20" s="165">
        <f>DIVERSAS!AI27</f>
        <v>7255.62</v>
      </c>
      <c r="Q20" s="512">
        <f>DIVERSAS!AN27</f>
        <v>46091</v>
      </c>
      <c r="R20" s="169" t="str">
        <f>DIVERSAS!AO27</f>
        <v>1450.01.0029273/2026-35</v>
      </c>
      <c r="S20" s="509">
        <f>DIVERSAS!AT23</f>
        <v>16916.62</v>
      </c>
      <c r="T20" s="512">
        <f>DIVERSAS!AY24</f>
        <v>46122</v>
      </c>
      <c r="U20" s="514"/>
      <c r="V20" s="511">
        <f>DIVERSAS!BE24</f>
        <v>0</v>
      </c>
      <c r="W20" s="515">
        <f>DIVERSAS!BJ24</f>
        <v>46152</v>
      </c>
      <c r="X20" s="514"/>
      <c r="Y20" s="167">
        <f>DIVERSAS!BP24</f>
        <v>0</v>
      </c>
      <c r="Z20" s="515">
        <f>DIVERSAS!BU24</f>
        <v>46183</v>
      </c>
      <c r="AA20" s="514"/>
      <c r="AB20" s="167">
        <f>DIVERSAS!CA24</f>
        <v>0</v>
      </c>
      <c r="AC20" s="515">
        <f>DIVERSAS!CF24</f>
        <v>0</v>
      </c>
      <c r="AD20" s="514"/>
      <c r="AE20" s="516">
        <f>DIVERSAS!CL24</f>
        <v>0</v>
      </c>
      <c r="AF20" s="517">
        <f>DIVERSAS!CQ24</f>
        <v>0</v>
      </c>
      <c r="AG20" s="514"/>
      <c r="AH20" s="167">
        <f>DIVERSAS!CW24</f>
        <v>0</v>
      </c>
      <c r="AI20" s="515">
        <f>DIVERSAS!DB24</f>
        <v>0</v>
      </c>
      <c r="AJ20" s="514"/>
      <c r="AK20" s="167">
        <f>DIVERSAS!DI24</f>
        <v>0</v>
      </c>
      <c r="AL20" s="168">
        <f>DIVERSAS!DN24</f>
        <v>0</v>
      </c>
      <c r="AM20" s="514"/>
      <c r="AN20" s="167">
        <f>DIVERSAS!DT24</f>
        <v>0</v>
      </c>
      <c r="AO20" s="168">
        <f>DIVERSAS!DY24</f>
        <v>0</v>
      </c>
      <c r="AP20" s="514"/>
      <c r="AQ20" s="167">
        <f>DIVERSAS!EE24</f>
        <v>0</v>
      </c>
      <c r="AR20" s="168">
        <f>DIVERSAS!EJ24</f>
        <v>0</v>
      </c>
      <c r="AS20" s="169"/>
      <c r="AT20" s="636">
        <f>DIVERSAS!EP24</f>
        <v>0</v>
      </c>
      <c r="AU20" s="556">
        <f>DIVERSAS!EU24</f>
        <v>0</v>
      </c>
      <c r="AV20" s="514"/>
      <c r="AW20" s="622">
        <v>0</v>
      </c>
      <c r="AX20" s="73" t="s">
        <v>1569</v>
      </c>
      <c r="AY20" s="67">
        <v>0</v>
      </c>
      <c r="AZ20" s="68">
        <v>0</v>
      </c>
      <c r="BA20" s="60"/>
      <c r="BB20" s="60"/>
    </row>
    <row r="21" spans="1:54" ht="15.75">
      <c r="A21" s="61">
        <v>1450022</v>
      </c>
      <c r="B21" s="63" t="s">
        <v>1594</v>
      </c>
      <c r="C21" s="63" t="s">
        <v>930</v>
      </c>
      <c r="D21" s="64">
        <v>69</v>
      </c>
      <c r="E21" s="63" t="s">
        <v>931</v>
      </c>
      <c r="F21" s="64">
        <v>4348</v>
      </c>
      <c r="G21" s="64">
        <v>33903913</v>
      </c>
      <c r="H21" s="485">
        <v>36</v>
      </c>
      <c r="I21" s="491"/>
      <c r="J21" s="575">
        <v>42844.82</v>
      </c>
      <c r="K21" s="576">
        <v>46021</v>
      </c>
      <c r="L21" s="507" t="s">
        <v>1054</v>
      </c>
      <c r="M21" s="582">
        <f>DIVERSAS!X28+DIVERSAS!X29</f>
        <v>47263.240000000005</v>
      </c>
      <c r="N21" s="578">
        <f>DIVERSAS!AC28</f>
        <v>46052</v>
      </c>
      <c r="O21" s="578" t="str">
        <f>DIVERSAS!AD28</f>
        <v>1450.01.0008401/2026-09</v>
      </c>
      <c r="P21" s="531">
        <f>DIVERSAS!AI28+DIVERSAS!AI29</f>
        <v>45102.04</v>
      </c>
      <c r="Q21" s="512">
        <f>DIVERSAS!AN28</f>
        <v>46080</v>
      </c>
      <c r="R21" s="169" t="str">
        <f>DIVERSAS!AO28</f>
        <v>1450.01.0031114/2026-89</v>
      </c>
      <c r="S21" s="509"/>
      <c r="T21" s="512"/>
      <c r="U21" s="514"/>
      <c r="V21" s="520"/>
      <c r="W21" s="515"/>
      <c r="X21" s="514"/>
      <c r="Y21" s="521"/>
      <c r="Z21" s="515"/>
      <c r="AA21" s="514"/>
      <c r="AB21" s="521"/>
      <c r="AC21" s="515"/>
      <c r="AD21" s="514"/>
      <c r="AE21" s="522"/>
      <c r="AF21" s="517"/>
      <c r="AG21" s="514"/>
      <c r="AH21" s="521"/>
      <c r="AI21" s="515"/>
      <c r="AJ21" s="514"/>
      <c r="AK21" s="521"/>
      <c r="AL21" s="515"/>
      <c r="AM21" s="514"/>
      <c r="AN21" s="521"/>
      <c r="AO21" s="168"/>
      <c r="AP21" s="514"/>
      <c r="AQ21" s="167"/>
      <c r="AR21" s="168"/>
      <c r="AS21" s="169"/>
      <c r="AT21" s="637"/>
      <c r="AU21" s="556"/>
      <c r="AV21" s="514"/>
      <c r="AW21" s="622">
        <v>0</v>
      </c>
      <c r="AX21" s="73" t="s">
        <v>1569</v>
      </c>
      <c r="AY21" s="67">
        <v>0</v>
      </c>
      <c r="AZ21" s="68">
        <v>0</v>
      </c>
      <c r="BA21" s="60"/>
      <c r="BB21" s="60"/>
    </row>
    <row r="22" spans="1:54" ht="15.75">
      <c r="A22" s="61">
        <v>1450022</v>
      </c>
      <c r="B22" s="62" t="s">
        <v>1060</v>
      </c>
      <c r="C22" s="63" t="s">
        <v>1595</v>
      </c>
      <c r="D22" s="64">
        <v>249</v>
      </c>
      <c r="E22" s="63" t="s">
        <v>1064</v>
      </c>
      <c r="F22" s="64">
        <v>4348</v>
      </c>
      <c r="G22" s="64">
        <v>33903913</v>
      </c>
      <c r="H22" s="485">
        <v>8</v>
      </c>
      <c r="I22" s="491"/>
      <c r="J22" s="575">
        <v>36776.47</v>
      </c>
      <c r="K22" s="576">
        <v>46007</v>
      </c>
      <c r="L22" s="583" t="s">
        <v>1596</v>
      </c>
      <c r="M22" s="166">
        <f>DIVERSAS!X30</f>
        <v>39884.879999999997</v>
      </c>
      <c r="N22" s="578">
        <f>DIVERSAS!AC30</f>
        <v>46038</v>
      </c>
      <c r="O22" s="578" t="str">
        <f>DIVERSAS!AD30</f>
        <v>1450.01.0248344/2025-84</v>
      </c>
      <c r="P22" s="165">
        <f>DIVERSAS!AI30</f>
        <v>40788.93</v>
      </c>
      <c r="Q22" s="669">
        <f>DIVERSAS!AN30</f>
        <v>46091</v>
      </c>
      <c r="R22" s="169" t="str">
        <f>DIVERSAS!AO30</f>
        <v>1450.01.0004930/2026-24</v>
      </c>
      <c r="S22" s="523"/>
      <c r="T22" s="512"/>
      <c r="U22" s="514"/>
      <c r="V22" s="511"/>
      <c r="W22" s="515"/>
      <c r="X22" s="514"/>
      <c r="Y22" s="524"/>
      <c r="Z22" s="515"/>
      <c r="AA22" s="514"/>
      <c r="AB22" s="524"/>
      <c r="AC22" s="515"/>
      <c r="AD22" s="514"/>
      <c r="AE22" s="516"/>
      <c r="AF22" s="517"/>
      <c r="AG22" s="514"/>
      <c r="AH22" s="167"/>
      <c r="AI22" s="515"/>
      <c r="AJ22" s="514"/>
      <c r="AK22" s="167"/>
      <c r="AL22" s="515"/>
      <c r="AM22" s="514"/>
      <c r="AN22" s="167"/>
      <c r="AO22" s="168"/>
      <c r="AP22" s="514"/>
      <c r="AQ22" s="167"/>
      <c r="AR22" s="168"/>
      <c r="AS22" s="169"/>
      <c r="AT22" s="637"/>
      <c r="AU22" s="556"/>
      <c r="AV22" s="514"/>
      <c r="AW22" s="622">
        <v>0</v>
      </c>
      <c r="AX22" s="73" t="s">
        <v>1569</v>
      </c>
      <c r="AY22" s="67">
        <v>0</v>
      </c>
      <c r="AZ22" s="68">
        <v>0</v>
      </c>
      <c r="BA22" s="60"/>
      <c r="BB22" s="60"/>
    </row>
    <row r="23" spans="1:54" ht="15.75">
      <c r="A23" s="61">
        <v>1450022</v>
      </c>
      <c r="B23" s="653" t="s">
        <v>1070</v>
      </c>
      <c r="C23" s="63" t="s">
        <v>1597</v>
      </c>
      <c r="D23" s="64">
        <v>220</v>
      </c>
      <c r="E23" s="63" t="s">
        <v>1074</v>
      </c>
      <c r="F23" s="64">
        <v>4348</v>
      </c>
      <c r="G23" s="64">
        <v>33903913</v>
      </c>
      <c r="H23" s="485">
        <v>38</v>
      </c>
      <c r="I23" s="491"/>
      <c r="J23" s="575">
        <v>5238.05</v>
      </c>
      <c r="K23" s="576">
        <v>46042</v>
      </c>
      <c r="L23" s="507" t="s">
        <v>1076</v>
      </c>
      <c r="M23" s="166">
        <f>DIVERSAS!X31</f>
        <v>5238.05</v>
      </c>
      <c r="N23" s="578">
        <f>DIVERSAS!AC31</f>
        <v>46073</v>
      </c>
      <c r="O23" s="578" t="str">
        <f>DIVERSAS!AD31</f>
        <v>1450.01.0010763/2026-61</v>
      </c>
      <c r="P23" s="165">
        <f>DIVERSAS!AI31</f>
        <v>6247.04</v>
      </c>
      <c r="Q23" s="512">
        <f>DIVERSAS!AN31</f>
        <v>46101</v>
      </c>
      <c r="R23" s="169" t="str">
        <f>DIVERSAS!AO31</f>
        <v>1450.01.0038448/2026-48</v>
      </c>
      <c r="S23" s="525"/>
      <c r="T23" s="512"/>
      <c r="U23" s="514"/>
      <c r="V23" s="511"/>
      <c r="W23" s="515"/>
      <c r="X23" s="514"/>
      <c r="Y23" s="167"/>
      <c r="Z23" s="515"/>
      <c r="AA23" s="514"/>
      <c r="AB23" s="167"/>
      <c r="AC23" s="515"/>
      <c r="AD23" s="514"/>
      <c r="AE23" s="516"/>
      <c r="AF23" s="517"/>
      <c r="AG23" s="514"/>
      <c r="AH23" s="167"/>
      <c r="AI23" s="515"/>
      <c r="AJ23" s="514"/>
      <c r="AK23" s="167"/>
      <c r="AL23" s="515"/>
      <c r="AM23" s="514"/>
      <c r="AN23" s="167"/>
      <c r="AO23" s="168"/>
      <c r="AP23" s="514"/>
      <c r="AQ23" s="167"/>
      <c r="AR23" s="168"/>
      <c r="AS23" s="169"/>
      <c r="AT23" s="637"/>
      <c r="AU23" s="556"/>
      <c r="AV23" s="514"/>
      <c r="AW23" s="622">
        <v>0</v>
      </c>
      <c r="AX23" s="73" t="s">
        <v>1569</v>
      </c>
      <c r="AY23" s="67">
        <v>0</v>
      </c>
      <c r="AZ23" s="68">
        <v>0</v>
      </c>
      <c r="BA23" s="60"/>
      <c r="BB23" s="60"/>
    </row>
    <row r="24" spans="1:54" ht="15.75">
      <c r="A24" s="61">
        <v>1450022</v>
      </c>
      <c r="B24" s="653" t="s">
        <v>1598</v>
      </c>
      <c r="C24" s="63" t="s">
        <v>1599</v>
      </c>
      <c r="D24" s="64">
        <v>161</v>
      </c>
      <c r="E24" s="63" t="s">
        <v>1084</v>
      </c>
      <c r="F24" s="64">
        <v>4348</v>
      </c>
      <c r="G24" s="64">
        <v>33903913</v>
      </c>
      <c r="H24" s="485">
        <v>20</v>
      </c>
      <c r="I24" s="491"/>
      <c r="J24" s="575">
        <v>15729.57</v>
      </c>
      <c r="K24" s="576">
        <v>46032</v>
      </c>
      <c r="L24" s="507" t="s">
        <v>1086</v>
      </c>
      <c r="M24" s="166">
        <f>DIVERSAS!X32+DIVERSAS!X33</f>
        <v>19904.7</v>
      </c>
      <c r="N24" s="578">
        <f>DIVERSAS!AC32</f>
        <v>46063</v>
      </c>
      <c r="O24" s="578" t="str">
        <f>DIVERSAS!AD32</f>
        <v>1450.01.0011090/2026-59</v>
      </c>
      <c r="P24" s="509">
        <f>DIVERSAS!AI32+DIVERSAS!AI33</f>
        <v>13414.93</v>
      </c>
      <c r="Q24" s="512">
        <f>DIVERSAS!AN32</f>
        <v>46091</v>
      </c>
      <c r="R24" s="169" t="str">
        <f>DIVERSAS!AO32</f>
        <v>1450.01.0032415/2026-76</v>
      </c>
      <c r="S24" s="525"/>
      <c r="T24" s="512"/>
      <c r="U24" s="514"/>
      <c r="V24" s="511"/>
      <c r="W24" s="515"/>
      <c r="X24" s="514"/>
      <c r="Y24" s="524"/>
      <c r="Z24" s="515"/>
      <c r="AA24" s="514"/>
      <c r="AB24" s="167"/>
      <c r="AC24" s="515"/>
      <c r="AD24" s="514"/>
      <c r="AE24" s="516"/>
      <c r="AF24" s="517"/>
      <c r="AG24" s="514"/>
      <c r="AH24" s="167"/>
      <c r="AI24" s="515"/>
      <c r="AJ24" s="514"/>
      <c r="AK24" s="167"/>
      <c r="AL24" s="168"/>
      <c r="AM24" s="514"/>
      <c r="AN24" s="167"/>
      <c r="AO24" s="515"/>
      <c r="AP24" s="514"/>
      <c r="AQ24" s="167"/>
      <c r="AR24" s="168"/>
      <c r="AS24" s="169"/>
      <c r="AT24" s="637"/>
      <c r="AU24" s="556"/>
      <c r="AV24" s="514"/>
      <c r="AW24" s="622">
        <v>0</v>
      </c>
      <c r="AX24" s="73" t="s">
        <v>1569</v>
      </c>
      <c r="AY24" s="67">
        <v>0</v>
      </c>
      <c r="AZ24" s="68">
        <v>0</v>
      </c>
      <c r="BA24" s="60"/>
      <c r="BB24" s="60"/>
    </row>
    <row r="25" spans="1:54" ht="15.75">
      <c r="A25" s="61">
        <v>1450022</v>
      </c>
      <c r="B25" s="653" t="s">
        <v>1093</v>
      </c>
      <c r="C25" s="63" t="s">
        <v>1600</v>
      </c>
      <c r="D25" s="64">
        <v>120</v>
      </c>
      <c r="E25" s="63" t="s">
        <v>1097</v>
      </c>
      <c r="F25" s="64">
        <v>4348</v>
      </c>
      <c r="G25" s="64">
        <v>33903913</v>
      </c>
      <c r="H25" s="485">
        <v>46</v>
      </c>
      <c r="I25" s="491"/>
      <c r="J25" s="584">
        <v>26354.61</v>
      </c>
      <c r="K25" s="576">
        <v>46050</v>
      </c>
      <c r="L25" s="507" t="s">
        <v>1098</v>
      </c>
      <c r="M25" s="166">
        <f>DIVERSAS!X34</f>
        <v>32015.17</v>
      </c>
      <c r="N25" s="578">
        <f>DIVERSAS!AC34</f>
        <v>46081</v>
      </c>
      <c r="O25" s="578" t="str">
        <f>DIVERSAS!AD34</f>
        <v>1450.01.0003403/2026-28</v>
      </c>
      <c r="P25" s="509">
        <f>DIVERSAS!AI34</f>
        <v>32699.81</v>
      </c>
      <c r="Q25" s="652">
        <f>DIVERSAS!AN34</f>
        <v>46109</v>
      </c>
      <c r="R25" s="169" t="str">
        <f>DIVERSAS!AO34</f>
        <v>1450.01.0027419/2026-41</v>
      </c>
      <c r="S25" s="509"/>
      <c r="T25" s="512"/>
      <c r="U25" s="514"/>
      <c r="V25" s="511"/>
      <c r="W25" s="515"/>
      <c r="X25" s="514"/>
      <c r="Y25" s="167"/>
      <c r="Z25" s="515"/>
      <c r="AA25" s="514"/>
      <c r="AB25" s="167"/>
      <c r="AC25" s="515"/>
      <c r="AD25" s="514"/>
      <c r="AE25" s="516"/>
      <c r="AF25" s="517"/>
      <c r="AG25" s="514"/>
      <c r="AH25" s="167"/>
      <c r="AI25" s="515"/>
      <c r="AJ25" s="514"/>
      <c r="AK25" s="167"/>
      <c r="AL25" s="515"/>
      <c r="AM25" s="514"/>
      <c r="AN25" s="167"/>
      <c r="AO25" s="168"/>
      <c r="AP25" s="514"/>
      <c r="AQ25" s="167"/>
      <c r="AR25" s="168"/>
      <c r="AS25" s="169"/>
      <c r="AT25" s="638"/>
      <c r="AU25" s="556"/>
      <c r="AV25" s="514"/>
      <c r="AW25" s="622">
        <v>0</v>
      </c>
      <c r="AX25" s="73" t="s">
        <v>1569</v>
      </c>
      <c r="AY25" s="67">
        <v>0</v>
      </c>
      <c r="AZ25" s="68">
        <v>0</v>
      </c>
      <c r="BA25" s="60"/>
      <c r="BB25" s="60"/>
    </row>
    <row r="26" spans="1:54" ht="15.75">
      <c r="A26" s="61">
        <v>1450022</v>
      </c>
      <c r="B26" s="653" t="s">
        <v>1102</v>
      </c>
      <c r="C26" s="63" t="s">
        <v>1601</v>
      </c>
      <c r="D26" s="64">
        <v>113</v>
      </c>
      <c r="E26" s="63" t="s">
        <v>1106</v>
      </c>
      <c r="F26" s="64">
        <v>4348</v>
      </c>
      <c r="G26" s="64">
        <v>33903913</v>
      </c>
      <c r="H26" s="485">
        <v>129</v>
      </c>
      <c r="I26" s="491"/>
      <c r="J26" s="575">
        <v>21995.83</v>
      </c>
      <c r="K26" s="576">
        <v>46063</v>
      </c>
      <c r="L26" s="507" t="s">
        <v>1108</v>
      </c>
      <c r="M26" s="166">
        <f>DIVERSAS!X35</f>
        <v>26320.36</v>
      </c>
      <c r="N26" s="578">
        <f>DIVERSAS!AC35</f>
        <v>46091</v>
      </c>
      <c r="O26" s="578" t="str">
        <f>DIVERSAS!AD35</f>
        <v>1450.01.0016176/2026-89</v>
      </c>
      <c r="P26" s="509">
        <f>DIVERSAS!AI35</f>
        <v>24059.32</v>
      </c>
      <c r="Q26" s="512">
        <f>DIVERSAS!AN35</f>
        <v>46122</v>
      </c>
      <c r="R26" s="169" t="str">
        <f>DIVERSAS!AO35</f>
        <v>1450.01.0038744/2026-10</v>
      </c>
      <c r="S26" s="509"/>
      <c r="T26" s="512"/>
      <c r="U26" s="514"/>
      <c r="V26" s="511"/>
      <c r="W26" s="515"/>
      <c r="X26" s="514"/>
      <c r="Y26" s="167"/>
      <c r="Z26" s="515"/>
      <c r="AA26" s="514"/>
      <c r="AB26" s="516"/>
      <c r="AC26" s="517"/>
      <c r="AD26" s="514"/>
      <c r="AE26" s="167"/>
      <c r="AF26" s="515"/>
      <c r="AG26" s="514"/>
      <c r="AH26" s="167"/>
      <c r="AI26" s="515"/>
      <c r="AJ26" s="514"/>
      <c r="AK26" s="167"/>
      <c r="AL26" s="515"/>
      <c r="AM26" s="514"/>
      <c r="AN26" s="167"/>
      <c r="AO26" s="515"/>
      <c r="AP26" s="514"/>
      <c r="AQ26" s="167"/>
      <c r="AR26" s="515"/>
      <c r="AS26" s="169"/>
      <c r="AT26" s="637"/>
      <c r="AU26" s="614"/>
      <c r="AV26" s="514"/>
      <c r="AW26" s="622">
        <v>0</v>
      </c>
      <c r="AX26" s="73" t="s">
        <v>1569</v>
      </c>
      <c r="AY26" s="67">
        <v>0</v>
      </c>
      <c r="AZ26" s="68">
        <v>0</v>
      </c>
      <c r="BA26" s="60"/>
      <c r="BB26" s="60"/>
    </row>
    <row r="27" spans="1:54" ht="15.75">
      <c r="A27" s="61">
        <v>1450022</v>
      </c>
      <c r="B27" s="655" t="s">
        <v>1112</v>
      </c>
      <c r="C27" s="63" t="s">
        <v>1115</v>
      </c>
      <c r="D27" s="64">
        <v>156</v>
      </c>
      <c r="E27" s="63" t="s">
        <v>1116</v>
      </c>
      <c r="F27" s="64">
        <v>4348</v>
      </c>
      <c r="G27" s="64">
        <v>33903913</v>
      </c>
      <c r="H27" s="485">
        <v>30</v>
      </c>
      <c r="I27" s="491"/>
      <c r="J27" s="575">
        <v>9081.5499999999993</v>
      </c>
      <c r="K27" s="576">
        <v>46037</v>
      </c>
      <c r="L27" s="507" t="s">
        <v>1118</v>
      </c>
      <c r="M27" s="166">
        <f>DIVERSAS!X36+DIVERSAS!X37+DIVERSAS!X38</f>
        <v>10408.27</v>
      </c>
      <c r="N27" s="578">
        <f>DIVERSAS!AC36</f>
        <v>46068</v>
      </c>
      <c r="O27" s="578" t="str">
        <f>DIVERSAS!AD36</f>
        <v>1450.01.0016291/2026-88</v>
      </c>
      <c r="P27" s="509">
        <f>DIVERSAS!AI36+DIVERSAS!AI37+DIVERSAS!AI38</f>
        <v>9007.6799999999985</v>
      </c>
      <c r="Q27" s="512">
        <f>DIVERSAS!AN36</f>
        <v>46096</v>
      </c>
      <c r="R27" s="169" t="str">
        <f>DIVERSAS!AO36</f>
        <v>1450.01.0037522/2026-24</v>
      </c>
      <c r="S27" s="523"/>
      <c r="T27" s="512"/>
      <c r="U27" s="514"/>
      <c r="V27" s="527"/>
      <c r="W27" s="528"/>
      <c r="X27" s="514"/>
      <c r="Y27" s="167"/>
      <c r="Z27" s="515"/>
      <c r="AA27" s="514"/>
      <c r="AB27" s="167"/>
      <c r="AC27" s="515"/>
      <c r="AD27" s="514"/>
      <c r="AE27" s="516"/>
      <c r="AF27" s="517"/>
      <c r="AG27" s="514"/>
      <c r="AH27" s="167"/>
      <c r="AI27" s="515"/>
      <c r="AJ27" s="514"/>
      <c r="AK27" s="167"/>
      <c r="AL27" s="515"/>
      <c r="AM27" s="514"/>
      <c r="AN27" s="167"/>
      <c r="AO27" s="168"/>
      <c r="AP27" s="514"/>
      <c r="AQ27" s="167"/>
      <c r="AR27" s="168"/>
      <c r="AS27" s="169"/>
      <c r="AT27" s="637"/>
      <c r="AU27" s="556"/>
      <c r="AV27" s="514"/>
      <c r="AW27" s="622">
        <v>0</v>
      </c>
      <c r="AX27" s="73" t="s">
        <v>1569</v>
      </c>
      <c r="AY27" s="67">
        <v>0</v>
      </c>
      <c r="AZ27" s="68">
        <v>0</v>
      </c>
      <c r="BA27" s="60"/>
      <c r="BB27" s="60"/>
    </row>
    <row r="28" spans="1:54" ht="15.75">
      <c r="A28" s="61">
        <v>1450022</v>
      </c>
      <c r="B28" s="653" t="s">
        <v>1128</v>
      </c>
      <c r="C28" s="63" t="s">
        <v>1602</v>
      </c>
      <c r="D28" s="64">
        <v>98</v>
      </c>
      <c r="E28" s="74" t="s">
        <v>1132</v>
      </c>
      <c r="F28" s="64">
        <v>4348</v>
      </c>
      <c r="G28" s="64">
        <v>33903913</v>
      </c>
      <c r="H28" s="485">
        <v>109</v>
      </c>
      <c r="I28" s="491">
        <v>169</v>
      </c>
      <c r="J28" s="575">
        <v>5262.9</v>
      </c>
      <c r="K28" s="576">
        <v>46032</v>
      </c>
      <c r="L28" s="507" t="s">
        <v>1134</v>
      </c>
      <c r="M28" s="166">
        <f>DIVERSAS!X39</f>
        <v>6246.23</v>
      </c>
      <c r="N28" s="578">
        <f>DIVERSAS!AC39</f>
        <v>46073</v>
      </c>
      <c r="O28" s="578" t="str">
        <f>DIVERSAS!AD39</f>
        <v>1450.01.0026567/2026-56</v>
      </c>
      <c r="P28" s="509">
        <f>DIVERSAS!AI39</f>
        <v>4410.42</v>
      </c>
      <c r="Q28" s="670">
        <f>DIVERSAS!AN39</f>
        <v>46101</v>
      </c>
      <c r="R28" s="169" t="str">
        <f>DIVERSAS!AO39</f>
        <v>1450.01.0042098/2026-50</v>
      </c>
      <c r="S28" s="525"/>
      <c r="T28" s="512"/>
      <c r="U28" s="514"/>
      <c r="V28" s="511"/>
      <c r="W28" s="515"/>
      <c r="X28" s="514"/>
      <c r="Y28" s="167"/>
      <c r="Z28" s="515"/>
      <c r="AA28" s="514"/>
      <c r="AB28" s="167"/>
      <c r="AC28" s="515"/>
      <c r="AD28" s="514"/>
      <c r="AE28" s="516"/>
      <c r="AF28" s="529"/>
      <c r="AG28" s="514"/>
      <c r="AH28" s="167"/>
      <c r="AI28" s="515"/>
      <c r="AJ28" s="514"/>
      <c r="AK28" s="167"/>
      <c r="AL28" s="168"/>
      <c r="AM28" s="514"/>
      <c r="AN28" s="167"/>
      <c r="AO28" s="168"/>
      <c r="AP28" s="514"/>
      <c r="AQ28" s="167"/>
      <c r="AR28" s="168"/>
      <c r="AS28" s="169"/>
      <c r="AT28" s="637"/>
      <c r="AU28" s="556"/>
      <c r="AV28" s="514"/>
      <c r="AW28" s="622">
        <v>0</v>
      </c>
      <c r="AX28" s="73" t="s">
        <v>1569</v>
      </c>
      <c r="AY28" s="67">
        <v>0</v>
      </c>
      <c r="AZ28" s="68">
        <v>0</v>
      </c>
      <c r="BA28" s="60"/>
      <c r="BB28" s="60"/>
    </row>
    <row r="29" spans="1:54" ht="15.75">
      <c r="A29" s="61">
        <v>1450022</v>
      </c>
      <c r="B29" s="653" t="s">
        <v>1137</v>
      </c>
      <c r="C29" s="63" t="s">
        <v>1603</v>
      </c>
      <c r="D29" s="64">
        <v>158</v>
      </c>
      <c r="E29" s="63" t="s">
        <v>1141</v>
      </c>
      <c r="F29" s="64">
        <v>4348</v>
      </c>
      <c r="G29" s="64">
        <v>33903913</v>
      </c>
      <c r="H29" s="485">
        <v>42</v>
      </c>
      <c r="I29" s="491"/>
      <c r="J29" s="575">
        <v>25713.96</v>
      </c>
      <c r="K29" s="576">
        <v>46043</v>
      </c>
      <c r="L29" s="507" t="s">
        <v>1143</v>
      </c>
      <c r="M29" s="166">
        <f>DIVERSAS!X40+DIVERSAS!X41</f>
        <v>33827.590000000004</v>
      </c>
      <c r="N29" s="578">
        <f>DIVERSAS!AC40</f>
        <v>46074</v>
      </c>
      <c r="O29" s="578" t="str">
        <f>DIVERSAS!AD40</f>
        <v>1450.01.0012861/2026-63</v>
      </c>
      <c r="P29" s="509">
        <f>DIVERSAS!AI40+DIVERSAS!AI41</f>
        <v>30791.24</v>
      </c>
      <c r="Q29" s="512">
        <f>DIVERSAS!AN40</f>
        <v>46102</v>
      </c>
      <c r="R29" s="169" t="str">
        <f>DIVERSAS!AO40</f>
        <v>1450.01.0038325/2026-71</v>
      </c>
      <c r="S29" s="509"/>
      <c r="T29" s="512"/>
      <c r="U29" s="514"/>
      <c r="V29" s="511"/>
      <c r="W29" s="528"/>
      <c r="X29" s="514"/>
      <c r="Y29" s="167"/>
      <c r="Z29" s="528"/>
      <c r="AA29" s="514"/>
      <c r="AB29" s="167"/>
      <c r="AC29" s="528"/>
      <c r="AD29" s="514"/>
      <c r="AE29" s="516"/>
      <c r="AF29" s="517"/>
      <c r="AG29" s="514"/>
      <c r="AH29" s="167"/>
      <c r="AI29" s="515"/>
      <c r="AJ29" s="514"/>
      <c r="AK29" s="167"/>
      <c r="AL29" s="168"/>
      <c r="AM29" s="514"/>
      <c r="AN29" s="167"/>
      <c r="AO29" s="515"/>
      <c r="AP29" s="514"/>
      <c r="AQ29" s="167"/>
      <c r="AR29" s="168"/>
      <c r="AS29" s="169"/>
      <c r="AT29" s="637"/>
      <c r="AU29" s="556"/>
      <c r="AV29" s="514"/>
      <c r="AW29" s="622">
        <v>0</v>
      </c>
      <c r="AX29" s="73" t="s">
        <v>1569</v>
      </c>
      <c r="AY29" s="67">
        <v>0</v>
      </c>
      <c r="AZ29" s="68">
        <v>0</v>
      </c>
      <c r="BA29" s="60"/>
      <c r="BB29" s="60"/>
    </row>
    <row r="30" spans="1:54" ht="15.75">
      <c r="A30" s="61">
        <v>1450022</v>
      </c>
      <c r="B30" s="657" t="s">
        <v>1150</v>
      </c>
      <c r="C30" s="63" t="s">
        <v>1604</v>
      </c>
      <c r="D30" s="64">
        <v>232</v>
      </c>
      <c r="E30" s="63" t="s">
        <v>1154</v>
      </c>
      <c r="F30" s="64">
        <v>4348</v>
      </c>
      <c r="G30" s="64">
        <v>33903913</v>
      </c>
      <c r="H30" s="485">
        <v>134</v>
      </c>
      <c r="I30" s="491"/>
      <c r="J30" s="579">
        <v>10829.14</v>
      </c>
      <c r="K30" s="576">
        <v>46063</v>
      </c>
      <c r="L30" s="507" t="s">
        <v>1156</v>
      </c>
      <c r="M30" s="166">
        <f>DIVERSAS!X42</f>
        <v>13739.87</v>
      </c>
      <c r="N30" s="578">
        <f>DIVERSAS!AC42</f>
        <v>46091</v>
      </c>
      <c r="O30" s="578" t="str">
        <f>DIVERSAS!AD42</f>
        <v>1450.01.0017056/2026-94</v>
      </c>
      <c r="P30" s="509">
        <f>DIVERSAS!AI42</f>
        <v>13851.82</v>
      </c>
      <c r="Q30" s="512">
        <f>DIVERSAS!AN42</f>
        <v>46122</v>
      </c>
      <c r="R30" s="169" t="str">
        <f>DIVERSAS!AO42</f>
        <v>1450.01.0057363/2026-48</v>
      </c>
      <c r="S30" s="509"/>
      <c r="T30" s="512"/>
      <c r="U30" s="514"/>
      <c r="V30" s="511"/>
      <c r="W30" s="515"/>
      <c r="X30" s="514"/>
      <c r="Y30" s="167"/>
      <c r="Z30" s="515"/>
      <c r="AA30" s="514"/>
      <c r="AB30" s="167"/>
      <c r="AC30" s="515"/>
      <c r="AD30" s="514"/>
      <c r="AE30" s="516"/>
      <c r="AF30" s="517"/>
      <c r="AG30" s="514"/>
      <c r="AH30" s="167"/>
      <c r="AI30" s="168"/>
      <c r="AJ30" s="514"/>
      <c r="AK30" s="167"/>
      <c r="AL30" s="168"/>
      <c r="AM30" s="514"/>
      <c r="AN30" s="167"/>
      <c r="AO30" s="168"/>
      <c r="AP30" s="514"/>
      <c r="AQ30" s="167"/>
      <c r="AR30" s="168"/>
      <c r="AS30" s="169"/>
      <c r="AT30" s="639"/>
      <c r="AU30" s="615"/>
      <c r="AV30" s="514"/>
      <c r="AW30" s="623">
        <v>24019.360000000001</v>
      </c>
      <c r="AX30" s="73" t="s">
        <v>1578</v>
      </c>
      <c r="AY30" s="71">
        <v>10829.14</v>
      </c>
      <c r="AZ30" s="69">
        <f t="shared" ref="AZ30:AZ32" si="4">AW30-AY30</f>
        <v>13190.220000000001</v>
      </c>
      <c r="BA30" s="60"/>
      <c r="BB30" s="60"/>
    </row>
    <row r="31" spans="1:54" ht="15.75">
      <c r="A31" s="61">
        <v>1450022</v>
      </c>
      <c r="B31" s="655" t="s">
        <v>1605</v>
      </c>
      <c r="C31" s="63" t="s">
        <v>1162</v>
      </c>
      <c r="D31" s="64">
        <v>155</v>
      </c>
      <c r="E31" s="63" t="s">
        <v>1163</v>
      </c>
      <c r="F31" s="64">
        <v>4348</v>
      </c>
      <c r="G31" s="64">
        <v>33903913</v>
      </c>
      <c r="H31" s="485">
        <v>145</v>
      </c>
      <c r="I31" s="491"/>
      <c r="J31" s="579">
        <v>9441.2999999999993</v>
      </c>
      <c r="K31" s="576">
        <v>46050</v>
      </c>
      <c r="L31" s="507" t="s">
        <v>1164</v>
      </c>
      <c r="M31" s="166">
        <f>DIVERSAS!X43</f>
        <v>9095.7999999999993</v>
      </c>
      <c r="N31" s="578">
        <f>DIVERSAS!AC43</f>
        <v>46081</v>
      </c>
      <c r="O31" s="578" t="str">
        <f>DIVERSAS!AD43</f>
        <v>1450.01.0031456/2026-70</v>
      </c>
      <c r="P31" s="509">
        <f>DIVERSAS!AI43</f>
        <v>8589.61</v>
      </c>
      <c r="Q31" s="652">
        <f>DIVERSAS!AN43</f>
        <v>46109</v>
      </c>
      <c r="R31" s="169" t="str">
        <f>DIVERSAS!AO43</f>
        <v>1450.01.0055165/2026-30</v>
      </c>
      <c r="S31" s="509"/>
      <c r="T31" s="512"/>
      <c r="U31" s="514"/>
      <c r="V31" s="511"/>
      <c r="W31" s="515"/>
      <c r="X31" s="514"/>
      <c r="Y31" s="167"/>
      <c r="Z31" s="515"/>
      <c r="AA31" s="514"/>
      <c r="AB31" s="167"/>
      <c r="AC31" s="515"/>
      <c r="AD31" s="514"/>
      <c r="AE31" s="516"/>
      <c r="AF31" s="517"/>
      <c r="AG31" s="514"/>
      <c r="AH31" s="167"/>
      <c r="AI31" s="515"/>
      <c r="AJ31" s="514"/>
      <c r="AK31" s="167"/>
      <c r="AL31" s="515"/>
      <c r="AM31" s="514"/>
      <c r="AN31" s="167"/>
      <c r="AO31" s="515"/>
      <c r="AP31" s="514"/>
      <c r="AQ31" s="167"/>
      <c r="AR31" s="168"/>
      <c r="AS31" s="169"/>
      <c r="AT31" s="640"/>
      <c r="AU31" s="616"/>
      <c r="AV31" s="514"/>
      <c r="AW31" s="623">
        <v>10993.84</v>
      </c>
      <c r="AX31" s="73" t="s">
        <v>1578</v>
      </c>
      <c r="AY31" s="71">
        <v>9441.2999999999993</v>
      </c>
      <c r="AZ31" s="75">
        <f t="shared" si="4"/>
        <v>1552.5400000000009</v>
      </c>
      <c r="BA31" s="60"/>
      <c r="BB31" s="60"/>
    </row>
    <row r="32" spans="1:54" ht="15.75">
      <c r="A32" s="61">
        <v>1450022</v>
      </c>
      <c r="B32" s="653" t="s">
        <v>1167</v>
      </c>
      <c r="C32" s="63" t="s">
        <v>1606</v>
      </c>
      <c r="D32" s="64">
        <v>216</v>
      </c>
      <c r="E32" s="63" t="s">
        <v>1171</v>
      </c>
      <c r="F32" s="64">
        <v>4348</v>
      </c>
      <c r="G32" s="64">
        <v>33903913</v>
      </c>
      <c r="H32" s="486">
        <v>165</v>
      </c>
      <c r="I32" s="491">
        <v>180</v>
      </c>
      <c r="J32" s="579">
        <v>9473.91</v>
      </c>
      <c r="K32" s="576">
        <v>46096</v>
      </c>
      <c r="L32" s="507" t="s">
        <v>1173</v>
      </c>
      <c r="M32" s="585">
        <f>DIVERSAS!X44+DIVERSAS!X45</f>
        <v>0</v>
      </c>
      <c r="N32" s="578">
        <f>DIVERSAS!AC44</f>
        <v>0</v>
      </c>
      <c r="O32" s="578">
        <f>DIVERSAS!AD44</f>
        <v>0</v>
      </c>
      <c r="P32" s="525">
        <f>DIVERSAS!AI44+DIVERSAS!AI45</f>
        <v>0</v>
      </c>
      <c r="Q32" s="652">
        <f>DIVERSAS!AN44</f>
        <v>46112</v>
      </c>
      <c r="R32" s="169">
        <f>DIVERSAS!AO44</f>
        <v>0</v>
      </c>
      <c r="S32" s="509"/>
      <c r="T32" s="512"/>
      <c r="U32" s="514"/>
      <c r="V32" s="511"/>
      <c r="W32" s="515"/>
      <c r="X32" s="514"/>
      <c r="Y32" s="167"/>
      <c r="Z32" s="515"/>
      <c r="AA32" s="514"/>
      <c r="AB32" s="524"/>
      <c r="AC32" s="515"/>
      <c r="AD32" s="514"/>
      <c r="AE32" s="516"/>
      <c r="AF32" s="517"/>
      <c r="AG32" s="514"/>
      <c r="AH32" s="167"/>
      <c r="AI32" s="515"/>
      <c r="AJ32" s="514"/>
      <c r="AK32" s="167"/>
      <c r="AL32" s="515"/>
      <c r="AM32" s="514"/>
      <c r="AN32" s="167"/>
      <c r="AO32" s="168"/>
      <c r="AP32" s="514"/>
      <c r="AQ32" s="167"/>
      <c r="AR32" s="168"/>
      <c r="AS32" s="169"/>
      <c r="AT32" s="641"/>
      <c r="AU32" s="615"/>
      <c r="AV32" s="514"/>
      <c r="AW32" s="623">
        <v>27987.42</v>
      </c>
      <c r="AX32" s="73" t="s">
        <v>1607</v>
      </c>
      <c r="AY32" s="71">
        <v>10000</v>
      </c>
      <c r="AZ32" s="75">
        <f t="shared" si="4"/>
        <v>17987.419999999998</v>
      </c>
      <c r="BA32" s="60"/>
      <c r="BB32" s="60"/>
    </row>
    <row r="33" spans="1:54" ht="15.75">
      <c r="A33" s="61">
        <v>1450022</v>
      </c>
      <c r="B33" s="653" t="s">
        <v>1177</v>
      </c>
      <c r="C33" s="63" t="s">
        <v>1580</v>
      </c>
      <c r="D33" s="64">
        <v>219</v>
      </c>
      <c r="E33" s="63" t="s">
        <v>1181</v>
      </c>
      <c r="F33" s="64">
        <v>4348</v>
      </c>
      <c r="G33" s="64">
        <v>33903913</v>
      </c>
      <c r="H33" s="485">
        <v>13</v>
      </c>
      <c r="I33" s="491"/>
      <c r="J33" s="575">
        <v>49184.43</v>
      </c>
      <c r="K33" s="576">
        <v>46020</v>
      </c>
      <c r="L33" s="581" t="s">
        <v>1182</v>
      </c>
      <c r="M33" s="166">
        <f>DIVERSAS!X46+DIVERSAS!X47</f>
        <v>46862.67</v>
      </c>
      <c r="N33" s="578">
        <f>DIVERSAS!AC46</f>
        <v>46050</v>
      </c>
      <c r="O33" s="578" t="str">
        <f>DIVERSAS!AD46</f>
        <v>1450.01.0006140/2026-43</v>
      </c>
      <c r="P33" s="509">
        <f>DIVERSAS!AI46+DIVERSAS!AI47</f>
        <v>55988.700000000004</v>
      </c>
      <c r="Q33" s="512">
        <f>DIVERSAS!AN46</f>
        <v>46091</v>
      </c>
      <c r="R33" s="169" t="str">
        <f>DIVERSAS!AO46</f>
        <v>1450.01.0031191/2026-47</v>
      </c>
      <c r="S33" s="523"/>
      <c r="T33" s="512"/>
      <c r="U33" s="514"/>
      <c r="V33" s="527"/>
      <c r="W33" s="515"/>
      <c r="X33" s="514"/>
      <c r="Y33" s="524"/>
      <c r="Z33" s="515"/>
      <c r="AA33" s="514"/>
      <c r="AB33" s="167"/>
      <c r="AC33" s="515"/>
      <c r="AD33" s="514"/>
      <c r="AE33" s="516"/>
      <c r="AF33" s="517"/>
      <c r="AG33" s="514"/>
      <c r="AH33" s="167"/>
      <c r="AI33" s="515"/>
      <c r="AJ33" s="514"/>
      <c r="AK33" s="167"/>
      <c r="AL33" s="168"/>
      <c r="AM33" s="514"/>
      <c r="AN33" s="167"/>
      <c r="AO33" s="168"/>
      <c r="AP33" s="514"/>
      <c r="AQ33" s="167"/>
      <c r="AR33" s="168"/>
      <c r="AS33" s="169"/>
      <c r="AT33" s="637"/>
      <c r="AU33" s="556"/>
      <c r="AV33" s="514"/>
      <c r="AW33" s="622">
        <v>0</v>
      </c>
      <c r="AX33" s="73" t="s">
        <v>1569</v>
      </c>
      <c r="AY33" s="67">
        <v>0</v>
      </c>
      <c r="AZ33" s="68">
        <v>0</v>
      </c>
      <c r="BA33" s="60"/>
      <c r="BB33" s="60"/>
    </row>
    <row r="34" spans="1:54" ht="15.75">
      <c r="A34" s="61">
        <v>1450022</v>
      </c>
      <c r="B34" s="655" t="s">
        <v>1608</v>
      </c>
      <c r="C34" s="63" t="s">
        <v>912</v>
      </c>
      <c r="D34" s="64">
        <v>121</v>
      </c>
      <c r="E34" s="63" t="s">
        <v>913</v>
      </c>
      <c r="F34" s="64">
        <v>4348</v>
      </c>
      <c r="G34" s="64">
        <v>33903913</v>
      </c>
      <c r="H34" s="485">
        <v>33</v>
      </c>
      <c r="I34" s="491"/>
      <c r="J34" s="575">
        <v>43260.26</v>
      </c>
      <c r="K34" s="576">
        <v>46036</v>
      </c>
      <c r="L34" s="507" t="s">
        <v>1193</v>
      </c>
      <c r="M34" s="582">
        <f>DIVERSAS!X48</f>
        <v>52176.3</v>
      </c>
      <c r="N34" s="578">
        <f>DIVERSAS!AC48</f>
        <v>46069</v>
      </c>
      <c r="O34" s="578" t="str">
        <f>DIVERSAS!AD48</f>
        <v>1450.01.0013350/2026-52</v>
      </c>
      <c r="P34" s="531">
        <f>DIVERSAS!AI48</f>
        <v>54171.42</v>
      </c>
      <c r="Q34" s="512">
        <f>DIVERSAS!AN48</f>
        <v>46097</v>
      </c>
      <c r="R34" s="169" t="str">
        <f>DIVERSAS!AO48</f>
        <v>1450.01.0034656/2026-97</v>
      </c>
      <c r="S34" s="523"/>
      <c r="T34" s="512"/>
      <c r="U34" s="514"/>
      <c r="V34" s="527"/>
      <c r="W34" s="528"/>
      <c r="X34" s="514"/>
      <c r="Y34" s="524"/>
      <c r="Z34" s="528"/>
      <c r="AA34" s="514"/>
      <c r="AB34" s="167"/>
      <c r="AC34" s="528"/>
      <c r="AD34" s="514"/>
      <c r="AE34" s="530"/>
      <c r="AF34" s="517"/>
      <c r="AG34" s="514"/>
      <c r="AH34" s="167"/>
      <c r="AI34" s="515"/>
      <c r="AJ34" s="514"/>
      <c r="AK34" s="167"/>
      <c r="AL34" s="515"/>
      <c r="AM34" s="514"/>
      <c r="AN34" s="167"/>
      <c r="AO34" s="168"/>
      <c r="AP34" s="514"/>
      <c r="AQ34" s="167"/>
      <c r="AR34" s="168"/>
      <c r="AS34" s="169"/>
      <c r="AT34" s="637"/>
      <c r="AU34" s="556"/>
      <c r="AV34" s="514"/>
      <c r="AW34" s="622">
        <v>0</v>
      </c>
      <c r="AX34" s="73" t="s">
        <v>1569</v>
      </c>
      <c r="AY34" s="67">
        <v>0</v>
      </c>
      <c r="AZ34" s="68">
        <v>0</v>
      </c>
      <c r="BA34" s="60"/>
      <c r="BB34" s="60"/>
    </row>
    <row r="35" spans="1:54" ht="15.75">
      <c r="A35" s="61">
        <v>1450022</v>
      </c>
      <c r="B35" s="653" t="s">
        <v>1197</v>
      </c>
      <c r="C35" s="63" t="s">
        <v>1609</v>
      </c>
      <c r="D35" s="64">
        <v>215</v>
      </c>
      <c r="E35" s="63" t="s">
        <v>1202</v>
      </c>
      <c r="F35" s="64">
        <v>4348</v>
      </c>
      <c r="G35" s="64">
        <v>33903913</v>
      </c>
      <c r="H35" s="485">
        <v>18</v>
      </c>
      <c r="I35" s="491"/>
      <c r="J35" s="575">
        <v>17953.39</v>
      </c>
      <c r="K35" s="576">
        <v>46032</v>
      </c>
      <c r="L35" s="581" t="s">
        <v>1203</v>
      </c>
      <c r="M35" s="582">
        <f>DIVERSAS!X49</f>
        <v>20339.93</v>
      </c>
      <c r="N35" s="578">
        <f>DIVERSAS!AC49</f>
        <v>46063</v>
      </c>
      <c r="O35" s="578" t="str">
        <f>DIVERSAS!AD49</f>
        <v>1450.01.0010757/2026-29</v>
      </c>
      <c r="P35" s="531">
        <f>DIVERSAS!AI49</f>
        <v>18740.18</v>
      </c>
      <c r="Q35" s="512">
        <f>DIVERSAS!AN49</f>
        <v>46091</v>
      </c>
      <c r="R35" s="169" t="str">
        <f>DIVERSAS!AO49</f>
        <v>1450.01.0031195/2026-36</v>
      </c>
      <c r="S35" s="531"/>
      <c r="T35" s="512"/>
      <c r="U35" s="514"/>
      <c r="V35" s="527"/>
      <c r="W35" s="515"/>
      <c r="X35" s="514"/>
      <c r="Y35" s="524"/>
      <c r="Z35" s="515"/>
      <c r="AA35" s="514"/>
      <c r="AB35" s="167"/>
      <c r="AC35" s="515"/>
      <c r="AD35" s="514"/>
      <c r="AE35" s="516"/>
      <c r="AF35" s="517"/>
      <c r="AG35" s="514"/>
      <c r="AH35" s="167"/>
      <c r="AI35" s="515"/>
      <c r="AJ35" s="514"/>
      <c r="AK35" s="167"/>
      <c r="AL35" s="168"/>
      <c r="AM35" s="514"/>
      <c r="AN35" s="167"/>
      <c r="AO35" s="168"/>
      <c r="AP35" s="514"/>
      <c r="AQ35" s="167"/>
      <c r="AR35" s="168"/>
      <c r="AS35" s="169"/>
      <c r="AT35" s="637"/>
      <c r="AU35" s="556"/>
      <c r="AV35" s="514"/>
      <c r="AW35" s="622">
        <v>0</v>
      </c>
      <c r="AX35" s="73" t="s">
        <v>1569</v>
      </c>
      <c r="AY35" s="67">
        <v>0</v>
      </c>
      <c r="AZ35" s="68">
        <v>0</v>
      </c>
      <c r="BA35" s="60"/>
      <c r="BB35" s="60"/>
    </row>
    <row r="36" spans="1:54" ht="15.75">
      <c r="A36" s="61">
        <v>1450022</v>
      </c>
      <c r="B36" s="653" t="s">
        <v>1610</v>
      </c>
      <c r="C36" s="63" t="s">
        <v>1211</v>
      </c>
      <c r="D36" s="64">
        <v>354</v>
      </c>
      <c r="E36" s="63" t="s">
        <v>1212</v>
      </c>
      <c r="F36" s="64">
        <v>4348</v>
      </c>
      <c r="G36" s="64">
        <v>33903913</v>
      </c>
      <c r="H36" s="485">
        <v>115</v>
      </c>
      <c r="I36" s="491"/>
      <c r="J36" s="584">
        <v>354.14</v>
      </c>
      <c r="K36" s="576">
        <v>46042</v>
      </c>
      <c r="L36" s="581" t="s">
        <v>1214</v>
      </c>
      <c r="M36" s="582">
        <f>DIVERSAS!X50</f>
        <v>323.93</v>
      </c>
      <c r="N36" s="578">
        <f>DIVERSAS!AC50</f>
        <v>46073</v>
      </c>
      <c r="O36" s="578" t="str">
        <f>DIVERSAS!AD50</f>
        <v>1450.01.0030062/2026-72</v>
      </c>
      <c r="P36" s="531">
        <f>DIVERSAS!AI50</f>
        <v>264.75</v>
      </c>
      <c r="Q36" s="652">
        <f>DIVERSAS!AN50</f>
        <v>46101</v>
      </c>
      <c r="R36" s="169" t="str">
        <f>DIVERSAS!AO50</f>
        <v>1450.01.0037951/2026-81</v>
      </c>
      <c r="S36" s="509"/>
      <c r="T36" s="512"/>
      <c r="U36" s="514"/>
      <c r="V36" s="532"/>
      <c r="W36" s="515"/>
      <c r="X36" s="514"/>
      <c r="Y36" s="533"/>
      <c r="Z36" s="515"/>
      <c r="AA36" s="514"/>
      <c r="AB36" s="534"/>
      <c r="AC36" s="515"/>
      <c r="AD36" s="514"/>
      <c r="AE36" s="535"/>
      <c r="AF36" s="517"/>
      <c r="AG36" s="514"/>
      <c r="AH36" s="533"/>
      <c r="AI36" s="515"/>
      <c r="AJ36" s="514"/>
      <c r="AK36" s="167"/>
      <c r="AL36" s="515"/>
      <c r="AM36" s="514"/>
      <c r="AN36" s="167"/>
      <c r="AO36" s="168"/>
      <c r="AP36" s="514"/>
      <c r="AQ36" s="167"/>
      <c r="AR36" s="168"/>
      <c r="AS36" s="169"/>
      <c r="AT36" s="638"/>
      <c r="AU36" s="556"/>
      <c r="AV36" s="514"/>
      <c r="AW36" s="623">
        <v>11878.2</v>
      </c>
      <c r="AX36" s="73" t="s">
        <v>1578</v>
      </c>
      <c r="AY36" s="71">
        <v>354.14</v>
      </c>
      <c r="AZ36" s="75">
        <f t="shared" ref="AZ36:AZ37" si="5">AW36-AY36</f>
        <v>11524.060000000001</v>
      </c>
      <c r="BA36" s="60"/>
      <c r="BB36" s="60"/>
    </row>
    <row r="37" spans="1:54" ht="15.75">
      <c r="A37" s="61">
        <v>1450022</v>
      </c>
      <c r="B37" s="655" t="s">
        <v>1218</v>
      </c>
      <c r="C37" s="63" t="s">
        <v>1611</v>
      </c>
      <c r="D37" s="64">
        <v>131</v>
      </c>
      <c r="E37" s="63" t="s">
        <v>1222</v>
      </c>
      <c r="F37" s="64">
        <v>4348</v>
      </c>
      <c r="G37" s="64">
        <v>33903913</v>
      </c>
      <c r="H37" s="485">
        <v>66</v>
      </c>
      <c r="I37" s="491"/>
      <c r="J37" s="579">
        <v>31431.83</v>
      </c>
      <c r="K37" s="576">
        <v>46068</v>
      </c>
      <c r="L37" s="507" t="s">
        <v>1224</v>
      </c>
      <c r="M37" s="582">
        <f>DIVERSAS!X51</f>
        <v>34319.800000000003</v>
      </c>
      <c r="N37" s="578">
        <f>DIVERSAS!AC51</f>
        <v>46069</v>
      </c>
      <c r="O37" s="578" t="str">
        <f>DIVERSAS!AD51</f>
        <v>1450.01.0020064/2026-67</v>
      </c>
      <c r="P37" s="531">
        <f>DIVERSAS!AI51</f>
        <v>30031.08</v>
      </c>
      <c r="Q37" s="512">
        <f>DIVERSAS!AN51</f>
        <v>46097</v>
      </c>
      <c r="R37" s="169" t="str">
        <f>DIVERSAS!AO51</f>
        <v>1450.01.0038547/2026-91</v>
      </c>
      <c r="S37" s="509"/>
      <c r="T37" s="512"/>
      <c r="U37" s="514"/>
      <c r="V37" s="511"/>
      <c r="W37" s="528"/>
      <c r="X37" s="514"/>
      <c r="Y37" s="167"/>
      <c r="Z37" s="515"/>
      <c r="AA37" s="514"/>
      <c r="AB37" s="167"/>
      <c r="AC37" s="515"/>
      <c r="AD37" s="514"/>
      <c r="AE37" s="167"/>
      <c r="AF37" s="515"/>
      <c r="AG37" s="514"/>
      <c r="AH37" s="516"/>
      <c r="AI37" s="517"/>
      <c r="AJ37" s="514"/>
      <c r="AK37" s="167"/>
      <c r="AL37" s="168"/>
      <c r="AM37" s="514"/>
      <c r="AN37" s="521"/>
      <c r="AO37" s="168"/>
      <c r="AP37" s="514"/>
      <c r="AQ37" s="521"/>
      <c r="AR37" s="168"/>
      <c r="AS37" s="169"/>
      <c r="AT37" s="642"/>
      <c r="AU37" s="556"/>
      <c r="AV37" s="514"/>
      <c r="AW37" s="623">
        <v>72608.19</v>
      </c>
      <c r="AX37" s="73" t="s">
        <v>1578</v>
      </c>
      <c r="AY37" s="71">
        <v>31431.83</v>
      </c>
      <c r="AZ37" s="75">
        <f t="shared" si="5"/>
        <v>41176.36</v>
      </c>
      <c r="BA37" s="60"/>
      <c r="BB37" s="60"/>
    </row>
    <row r="38" spans="1:54" ht="15.75">
      <c r="A38" s="61">
        <v>1450022</v>
      </c>
      <c r="B38" s="653" t="s">
        <v>1228</v>
      </c>
      <c r="C38" s="63" t="s">
        <v>1612</v>
      </c>
      <c r="D38" s="64">
        <v>117</v>
      </c>
      <c r="E38" s="63" t="s">
        <v>1232</v>
      </c>
      <c r="F38" s="64">
        <v>4348</v>
      </c>
      <c r="G38" s="64">
        <v>33903913</v>
      </c>
      <c r="H38" s="485">
        <v>26</v>
      </c>
      <c r="I38" s="491"/>
      <c r="J38" s="575">
        <v>9627.11</v>
      </c>
      <c r="K38" s="576">
        <v>46021</v>
      </c>
      <c r="L38" s="507" t="s">
        <v>1233</v>
      </c>
      <c r="M38" s="166">
        <f>DIVERSAS!X52+DIVERSAS!X53</f>
        <v>8470.39</v>
      </c>
      <c r="N38" s="578">
        <f>DIVERSAS!AC52</f>
        <v>46063</v>
      </c>
      <c r="O38" s="578" t="str">
        <f>DIVERSAS!AD52</f>
        <v>1450.01.0016178/2026-35</v>
      </c>
      <c r="P38" s="509">
        <f>DIVERSAS!AI52+DIVERSAS!AI53</f>
        <v>7409.66</v>
      </c>
      <c r="Q38" s="512">
        <f>DIVERSAS!AN52</f>
        <v>46091</v>
      </c>
      <c r="R38" s="169" t="str">
        <f>DIVERSAS!AO52</f>
        <v>1450.01.0034334/2026-61</v>
      </c>
      <c r="S38" s="523"/>
      <c r="T38" s="512"/>
      <c r="U38" s="514"/>
      <c r="V38" s="527"/>
      <c r="W38" s="515"/>
      <c r="X38" s="514"/>
      <c r="Y38" s="167"/>
      <c r="Z38" s="515"/>
      <c r="AA38" s="514"/>
      <c r="AB38" s="167"/>
      <c r="AC38" s="515"/>
      <c r="AD38" s="514"/>
      <c r="AE38" s="516"/>
      <c r="AF38" s="517"/>
      <c r="AG38" s="514"/>
      <c r="AH38" s="167"/>
      <c r="AI38" s="515"/>
      <c r="AJ38" s="514"/>
      <c r="AK38" s="167"/>
      <c r="AL38" s="168"/>
      <c r="AM38" s="514"/>
      <c r="AN38" s="167"/>
      <c r="AO38" s="168"/>
      <c r="AP38" s="514"/>
      <c r="AQ38" s="167"/>
      <c r="AR38" s="168"/>
      <c r="AS38" s="169"/>
      <c r="AT38" s="637"/>
      <c r="AU38" s="556"/>
      <c r="AV38" s="514"/>
      <c r="AW38" s="622">
        <v>0</v>
      </c>
      <c r="AX38" s="73" t="s">
        <v>1569</v>
      </c>
      <c r="AY38" s="67">
        <v>0</v>
      </c>
      <c r="AZ38" s="68">
        <v>0</v>
      </c>
      <c r="BA38" s="60"/>
      <c r="BB38" s="60"/>
    </row>
    <row r="39" spans="1:54" ht="15.75">
      <c r="A39" s="61">
        <v>1450022</v>
      </c>
      <c r="B39" s="653" t="s">
        <v>1238</v>
      </c>
      <c r="C39" s="63" t="s">
        <v>1241</v>
      </c>
      <c r="D39" s="64">
        <v>103</v>
      </c>
      <c r="E39" s="63" t="s">
        <v>1242</v>
      </c>
      <c r="F39" s="64">
        <v>4348</v>
      </c>
      <c r="G39" s="64">
        <v>33903913</v>
      </c>
      <c r="H39" s="485">
        <v>65</v>
      </c>
      <c r="I39" s="491"/>
      <c r="J39" s="579">
        <v>26838.82</v>
      </c>
      <c r="K39" s="576">
        <v>46048</v>
      </c>
      <c r="L39" s="507" t="s">
        <v>1243</v>
      </c>
      <c r="M39" s="166">
        <f>DIVERSAS!X54+DIVERSAS!X55+DIVERSAS!X56+DIVERSAS!X57</f>
        <v>26557.68</v>
      </c>
      <c r="N39" s="578">
        <f>DIVERSAS!AC54</f>
        <v>46079</v>
      </c>
      <c r="O39" s="578" t="str">
        <f>DIVERSAS!AD54</f>
        <v>1450.01.0018374/2026-10</v>
      </c>
      <c r="P39" s="509">
        <f>DIVERSAS!AI54+DIVERSAS!AI55+DIVERSAS!AI56+DIVERSAS!AI57</f>
        <v>25160.29</v>
      </c>
      <c r="Q39" s="512">
        <f>DIVERSAS!AN54</f>
        <v>46107</v>
      </c>
      <c r="R39" s="169" t="str">
        <f>DIVERSAS!AO54</f>
        <v>1450.01.0041081/2026-58</v>
      </c>
      <c r="S39" s="509"/>
      <c r="T39" s="512"/>
      <c r="U39" s="514"/>
      <c r="V39" s="527"/>
      <c r="W39" s="515"/>
      <c r="X39" s="514"/>
      <c r="Y39" s="524"/>
      <c r="Z39" s="515"/>
      <c r="AA39" s="514"/>
      <c r="AB39" s="167"/>
      <c r="AC39" s="515"/>
      <c r="AD39" s="514"/>
      <c r="AE39" s="516"/>
      <c r="AF39" s="517"/>
      <c r="AG39" s="514"/>
      <c r="AH39" s="167"/>
      <c r="AI39" s="515"/>
      <c r="AJ39" s="514"/>
      <c r="AK39" s="167"/>
      <c r="AL39" s="515"/>
      <c r="AM39" s="514"/>
      <c r="AN39" s="167"/>
      <c r="AO39" s="515"/>
      <c r="AP39" s="514"/>
      <c r="AQ39" s="167"/>
      <c r="AR39" s="168"/>
      <c r="AS39" s="169"/>
      <c r="AT39" s="643"/>
      <c r="AU39" s="616"/>
      <c r="AV39" s="514"/>
      <c r="AW39" s="623">
        <v>37824.199999999997</v>
      </c>
      <c r="AX39" s="73" t="s">
        <v>1578</v>
      </c>
      <c r="AY39" s="71">
        <v>26838.82</v>
      </c>
      <c r="AZ39" s="75">
        <f t="shared" ref="AZ39:AZ46" si="6">AW39-AY39</f>
        <v>10985.379999999997</v>
      </c>
      <c r="BA39" s="60"/>
      <c r="BB39" s="60"/>
    </row>
    <row r="40" spans="1:54" ht="15.75">
      <c r="A40" s="61">
        <v>1450022</v>
      </c>
      <c r="B40" s="72" t="s">
        <v>1254</v>
      </c>
      <c r="C40" s="63" t="s">
        <v>1613</v>
      </c>
      <c r="D40" s="64">
        <v>199</v>
      </c>
      <c r="E40" s="63" t="s">
        <v>1258</v>
      </c>
      <c r="F40" s="64">
        <v>4348</v>
      </c>
      <c r="G40" s="64">
        <v>33903913</v>
      </c>
      <c r="H40" s="485">
        <v>35</v>
      </c>
      <c r="I40" s="491"/>
      <c r="J40" s="575">
        <v>25242.65</v>
      </c>
      <c r="K40" s="576">
        <v>46040</v>
      </c>
      <c r="L40" s="507" t="s">
        <v>1261</v>
      </c>
      <c r="M40" s="166">
        <f>DIVERSAS!X58+DIVERSAS!X59</f>
        <v>31929.96</v>
      </c>
      <c r="N40" s="578">
        <f>DIVERSAS!AC58</f>
        <v>46071</v>
      </c>
      <c r="O40" s="578" t="str">
        <f>DIVERSAS!AD58</f>
        <v>1450.01.0008152/2026-39</v>
      </c>
      <c r="P40" s="509">
        <f>DIVERSAS!AI58+DIVERSAS!AI59</f>
        <v>27078.54</v>
      </c>
      <c r="Q40" s="512">
        <f>DIVERSAS!AN58</f>
        <v>46099</v>
      </c>
      <c r="R40" s="169" t="str">
        <f>DIVERSAS!AO58</f>
        <v>1450.01.0032793/2026-55</v>
      </c>
      <c r="S40" s="509"/>
      <c r="T40" s="512"/>
      <c r="U40" s="514"/>
      <c r="V40" s="511"/>
      <c r="W40" s="515"/>
      <c r="X40" s="514"/>
      <c r="Y40" s="167"/>
      <c r="Z40" s="515"/>
      <c r="AA40" s="514"/>
      <c r="AB40" s="167"/>
      <c r="AC40" s="515"/>
      <c r="AD40" s="514"/>
      <c r="AE40" s="516"/>
      <c r="AF40" s="517"/>
      <c r="AG40" s="514"/>
      <c r="AH40" s="167"/>
      <c r="AI40" s="515"/>
      <c r="AJ40" s="514"/>
      <c r="AK40" s="167"/>
      <c r="AL40" s="168"/>
      <c r="AM40" s="514"/>
      <c r="AN40" s="167"/>
      <c r="AO40" s="515"/>
      <c r="AP40" s="514"/>
      <c r="AQ40" s="167"/>
      <c r="AR40" s="168"/>
      <c r="AS40" s="169"/>
      <c r="AT40" s="637"/>
      <c r="AU40" s="556"/>
      <c r="AV40" s="514"/>
      <c r="AW40" s="622">
        <v>0</v>
      </c>
      <c r="AX40" s="73" t="s">
        <v>1569</v>
      </c>
      <c r="AY40" s="67">
        <v>0</v>
      </c>
      <c r="AZ40" s="75">
        <f t="shared" si="6"/>
        <v>0</v>
      </c>
      <c r="BA40" s="60"/>
      <c r="BB40" s="60"/>
    </row>
    <row r="41" spans="1:54" ht="15.75">
      <c r="A41" s="61">
        <v>1450022</v>
      </c>
      <c r="B41" s="72" t="s">
        <v>1614</v>
      </c>
      <c r="C41" s="63" t="s">
        <v>1615</v>
      </c>
      <c r="D41" s="64">
        <v>104</v>
      </c>
      <c r="E41" s="63" t="s">
        <v>1273</v>
      </c>
      <c r="F41" s="64">
        <v>4348</v>
      </c>
      <c r="G41" s="64">
        <v>33903913</v>
      </c>
      <c r="H41" s="485">
        <v>39</v>
      </c>
      <c r="I41" s="491"/>
      <c r="J41" s="575">
        <v>3096.96</v>
      </c>
      <c r="K41" s="576">
        <v>46042</v>
      </c>
      <c r="L41" s="507" t="s">
        <v>1275</v>
      </c>
      <c r="M41" s="166">
        <f>DIVERSAS!X60</f>
        <v>4004.3</v>
      </c>
      <c r="N41" s="578">
        <f>DIVERSAS!AC60</f>
        <v>46073</v>
      </c>
      <c r="O41" s="578" t="str">
        <f>DIVERSAS!AD60</f>
        <v>1450.01.0011512/2026-14</v>
      </c>
      <c r="P41" s="509">
        <f>DIVERSAS!AI60</f>
        <v>3223.94</v>
      </c>
      <c r="Q41" s="512">
        <f>DIVERSAS!AN60</f>
        <v>46101</v>
      </c>
      <c r="R41" s="169" t="str">
        <f>DIVERSAS!AO60</f>
        <v>1450.01.0032945/2026-25</v>
      </c>
      <c r="S41" s="525"/>
      <c r="T41" s="512"/>
      <c r="U41" s="514"/>
      <c r="V41" s="527"/>
      <c r="W41" s="515"/>
      <c r="X41" s="514"/>
      <c r="Y41" s="524"/>
      <c r="Z41" s="528"/>
      <c r="AA41" s="514"/>
      <c r="AB41" s="167"/>
      <c r="AC41" s="515"/>
      <c r="AD41" s="514"/>
      <c r="AE41" s="516"/>
      <c r="AF41" s="517"/>
      <c r="AG41" s="514"/>
      <c r="AH41" s="167"/>
      <c r="AI41" s="515"/>
      <c r="AJ41" s="514"/>
      <c r="AK41" s="167"/>
      <c r="AL41" s="515"/>
      <c r="AM41" s="514"/>
      <c r="AN41" s="167"/>
      <c r="AO41" s="168"/>
      <c r="AP41" s="514"/>
      <c r="AQ41" s="167"/>
      <c r="AR41" s="168"/>
      <c r="AS41" s="169"/>
      <c r="AT41" s="637"/>
      <c r="AU41" s="556"/>
      <c r="AV41" s="514"/>
      <c r="AW41" s="622">
        <v>0</v>
      </c>
      <c r="AX41" s="73" t="s">
        <v>1569</v>
      </c>
      <c r="AY41" s="67">
        <v>0</v>
      </c>
      <c r="AZ41" s="75">
        <f t="shared" si="6"/>
        <v>0</v>
      </c>
      <c r="BA41" s="60"/>
      <c r="BB41" s="60"/>
    </row>
    <row r="42" spans="1:54" ht="15.75">
      <c r="A42" s="61">
        <v>1450022</v>
      </c>
      <c r="B42" s="62" t="s">
        <v>1616</v>
      </c>
      <c r="C42" s="63" t="s">
        <v>1617</v>
      </c>
      <c r="D42" s="64">
        <v>122</v>
      </c>
      <c r="E42" s="63" t="s">
        <v>1282</v>
      </c>
      <c r="F42" s="64">
        <v>4348</v>
      </c>
      <c r="G42" s="64">
        <v>33903913</v>
      </c>
      <c r="H42" s="485">
        <v>135</v>
      </c>
      <c r="I42" s="491"/>
      <c r="J42" s="579">
        <v>43004.62</v>
      </c>
      <c r="K42" s="576">
        <v>46063</v>
      </c>
      <c r="L42" s="507" t="s">
        <v>1284</v>
      </c>
      <c r="M42" s="166">
        <f>DIVERSAS!X61</f>
        <v>53100.97</v>
      </c>
      <c r="N42" s="578">
        <f>DIVERSAS!AC61</f>
        <v>46091</v>
      </c>
      <c r="O42" s="578" t="str">
        <f>DIVERSAS!AD61</f>
        <v>1450.01.0028623/2026-28</v>
      </c>
      <c r="P42" s="509">
        <f>DIVERSAS!AI61</f>
        <v>52891.519999999997</v>
      </c>
      <c r="Q42" s="512">
        <f>DIVERSAS!AN61</f>
        <v>46122</v>
      </c>
      <c r="R42" s="169" t="str">
        <f>DIVERSAS!AO61</f>
        <v>1450.01.0051285/2026-30</v>
      </c>
      <c r="S42" s="523"/>
      <c r="T42" s="512"/>
      <c r="U42" s="514"/>
      <c r="V42" s="511"/>
      <c r="W42" s="515"/>
      <c r="X42" s="514"/>
      <c r="Y42" s="167"/>
      <c r="Z42" s="515"/>
      <c r="AA42" s="514"/>
      <c r="AB42" s="167"/>
      <c r="AC42" s="515"/>
      <c r="AD42" s="514"/>
      <c r="AE42" s="516"/>
      <c r="AF42" s="517"/>
      <c r="AG42" s="514"/>
      <c r="AH42" s="167"/>
      <c r="AI42" s="168"/>
      <c r="AJ42" s="514"/>
      <c r="AK42" s="167"/>
      <c r="AL42" s="168"/>
      <c r="AM42" s="514"/>
      <c r="AN42" s="167"/>
      <c r="AO42" s="168"/>
      <c r="AP42" s="514"/>
      <c r="AQ42" s="167"/>
      <c r="AR42" s="168"/>
      <c r="AS42" s="169"/>
      <c r="AT42" s="640"/>
      <c r="AU42" s="617"/>
      <c r="AV42" s="514"/>
      <c r="AW42" s="623">
        <v>48015.48</v>
      </c>
      <c r="AX42" s="73" t="s">
        <v>1578</v>
      </c>
      <c r="AY42" s="71">
        <v>43004.62</v>
      </c>
      <c r="AZ42" s="75">
        <f t="shared" si="6"/>
        <v>5010.8600000000006</v>
      </c>
      <c r="BA42" s="60"/>
      <c r="BB42" s="60"/>
    </row>
    <row r="43" spans="1:54" ht="15.75">
      <c r="A43" s="61">
        <v>1450022</v>
      </c>
      <c r="B43" s="72" t="s">
        <v>1618</v>
      </c>
      <c r="C43" s="63" t="s">
        <v>1577</v>
      </c>
      <c r="D43" s="64">
        <v>112</v>
      </c>
      <c r="E43" s="63" t="s">
        <v>922</v>
      </c>
      <c r="F43" s="64">
        <v>4348</v>
      </c>
      <c r="G43" s="64">
        <v>33903913</v>
      </c>
      <c r="H43" s="485">
        <v>40</v>
      </c>
      <c r="I43" s="491"/>
      <c r="J43" s="575">
        <v>3869.81</v>
      </c>
      <c r="K43" s="576">
        <v>46042</v>
      </c>
      <c r="L43" s="507" t="s">
        <v>1619</v>
      </c>
      <c r="M43" s="166">
        <f>DIVERSAS!X62</f>
        <v>4285.18</v>
      </c>
      <c r="N43" s="578">
        <f>DIVERSAS!AC62</f>
        <v>46073</v>
      </c>
      <c r="O43" s="578" t="str">
        <f>DIVERSAS!AD62</f>
        <v>1450.01.0004050/2026-19</v>
      </c>
      <c r="P43" s="509">
        <f>DIVERSAS!AI62</f>
        <v>2948.77</v>
      </c>
      <c r="Q43" s="512">
        <f>DIVERSAS!AN62</f>
        <v>46101</v>
      </c>
      <c r="R43" s="169" t="str">
        <f>DIVERSAS!AO62</f>
        <v>1450.01.0024765/2026-16</v>
      </c>
      <c r="S43" s="509"/>
      <c r="T43" s="512"/>
      <c r="U43" s="514"/>
      <c r="V43" s="527"/>
      <c r="W43" s="515"/>
      <c r="X43" s="514"/>
      <c r="Y43" s="524"/>
      <c r="Z43" s="528"/>
      <c r="AA43" s="514"/>
      <c r="AB43" s="167"/>
      <c r="AC43" s="515"/>
      <c r="AD43" s="514"/>
      <c r="AE43" s="516"/>
      <c r="AF43" s="517"/>
      <c r="AG43" s="514"/>
      <c r="AH43" s="167"/>
      <c r="AI43" s="515"/>
      <c r="AJ43" s="514"/>
      <c r="AK43" s="167"/>
      <c r="AL43" s="515"/>
      <c r="AM43" s="514"/>
      <c r="AN43" s="167"/>
      <c r="AO43" s="168"/>
      <c r="AP43" s="514"/>
      <c r="AQ43" s="167"/>
      <c r="AR43" s="168"/>
      <c r="AS43" s="169"/>
      <c r="AT43" s="637"/>
      <c r="AU43" s="556"/>
      <c r="AV43" s="514"/>
      <c r="AW43" s="622">
        <v>0</v>
      </c>
      <c r="AX43" s="73" t="s">
        <v>1569</v>
      </c>
      <c r="AY43" s="67">
        <v>0</v>
      </c>
      <c r="AZ43" s="75">
        <f t="shared" si="6"/>
        <v>0</v>
      </c>
      <c r="BA43" s="60"/>
      <c r="BB43" s="60"/>
    </row>
    <row r="44" spans="1:54" ht="15.75">
      <c r="A44" s="61">
        <v>1450022</v>
      </c>
      <c r="B44" s="653" t="s">
        <v>1294</v>
      </c>
      <c r="C44" s="63" t="s">
        <v>1297</v>
      </c>
      <c r="D44" s="64">
        <v>200</v>
      </c>
      <c r="E44" s="63" t="s">
        <v>1298</v>
      </c>
      <c r="F44" s="64">
        <v>4348</v>
      </c>
      <c r="G44" s="64">
        <v>33903913</v>
      </c>
      <c r="H44" s="485">
        <v>19</v>
      </c>
      <c r="I44" s="491"/>
      <c r="J44" s="575">
        <v>10938.27</v>
      </c>
      <c r="K44" s="576">
        <v>46032</v>
      </c>
      <c r="L44" s="581" t="s">
        <v>1300</v>
      </c>
      <c r="M44" s="166">
        <f>DIVERSAS!X63</f>
        <v>11720.84</v>
      </c>
      <c r="N44" s="578">
        <f>DIVERSAS!AC63</f>
        <v>46063</v>
      </c>
      <c r="O44" s="578" t="str">
        <f>DIVERSAS!AD63</f>
        <v>1450.01.0006829/2026-64</v>
      </c>
      <c r="P44" s="509">
        <f>DIVERSAS!AI63</f>
        <v>9561.52</v>
      </c>
      <c r="Q44" s="512">
        <f>DIVERSAS!AN63</f>
        <v>46091</v>
      </c>
      <c r="R44" s="169" t="str">
        <f>DIVERSAS!AO63</f>
        <v>1450.01.0031197/2026-79</v>
      </c>
      <c r="S44" s="509"/>
      <c r="T44" s="512"/>
      <c r="U44" s="514"/>
      <c r="V44" s="511"/>
      <c r="W44" s="515"/>
      <c r="X44" s="514"/>
      <c r="Y44" s="167"/>
      <c r="Z44" s="515"/>
      <c r="AA44" s="514"/>
      <c r="AB44" s="167"/>
      <c r="AC44" s="528"/>
      <c r="AD44" s="514"/>
      <c r="AE44" s="516"/>
      <c r="AF44" s="517"/>
      <c r="AG44" s="514"/>
      <c r="AH44" s="167"/>
      <c r="AI44" s="515"/>
      <c r="AJ44" s="514"/>
      <c r="AK44" s="167"/>
      <c r="AL44" s="168"/>
      <c r="AM44" s="514"/>
      <c r="AN44" s="167"/>
      <c r="AO44" s="168"/>
      <c r="AP44" s="514"/>
      <c r="AQ44" s="167"/>
      <c r="AR44" s="168"/>
      <c r="AS44" s="169"/>
      <c r="AT44" s="637"/>
      <c r="AU44" s="556"/>
      <c r="AV44" s="514"/>
      <c r="AW44" s="622">
        <v>0</v>
      </c>
      <c r="AX44" s="73" t="s">
        <v>1569</v>
      </c>
      <c r="AY44" s="67">
        <v>0</v>
      </c>
      <c r="AZ44" s="75">
        <f t="shared" si="6"/>
        <v>0</v>
      </c>
      <c r="BA44" s="60"/>
      <c r="BB44" s="60"/>
    </row>
    <row r="45" spans="1:54" ht="15.75">
      <c r="A45" s="61">
        <v>1450022</v>
      </c>
      <c r="B45" s="655" t="s">
        <v>1313</v>
      </c>
      <c r="C45" s="63" t="s">
        <v>1620</v>
      </c>
      <c r="D45" s="64">
        <v>75</v>
      </c>
      <c r="E45" s="63" t="s">
        <v>1308</v>
      </c>
      <c r="F45" s="64">
        <v>4348</v>
      </c>
      <c r="G45" s="64">
        <v>33903913</v>
      </c>
      <c r="H45" s="485">
        <v>44</v>
      </c>
      <c r="I45" s="491"/>
      <c r="J45" s="584">
        <v>954.96</v>
      </c>
      <c r="K45" s="576">
        <v>46045</v>
      </c>
      <c r="L45" s="507" t="s">
        <v>1310</v>
      </c>
      <c r="M45" s="166">
        <f>DIVERSAS!X64+DIVERSAS!X65</f>
        <v>954.96</v>
      </c>
      <c r="N45" s="578">
        <f>DIVERSAS!AC64</f>
        <v>46076</v>
      </c>
      <c r="O45" s="578" t="str">
        <f>DIVERSAS!AD64</f>
        <v>1450.01.0021831/2026-82</v>
      </c>
      <c r="P45" s="509">
        <f>DIVERSAS!AI64+DIVERSAS!AI65</f>
        <v>954.96</v>
      </c>
      <c r="Q45" s="512">
        <f>DIVERSAS!AN64</f>
        <v>46104</v>
      </c>
      <c r="R45" s="169" t="str">
        <f>DIVERSAS!AO64</f>
        <v>1450.01.0040460/2026-44</v>
      </c>
      <c r="S45" s="537"/>
      <c r="T45" s="512"/>
      <c r="U45" s="514"/>
      <c r="V45" s="527"/>
      <c r="W45" s="515"/>
      <c r="X45" s="514"/>
      <c r="Y45" s="524"/>
      <c r="Z45" s="515"/>
      <c r="AA45" s="514"/>
      <c r="AB45" s="526"/>
      <c r="AC45" s="515"/>
      <c r="AD45" s="514"/>
      <c r="AE45" s="538"/>
      <c r="AF45" s="517"/>
      <c r="AG45" s="514"/>
      <c r="AH45" s="526"/>
      <c r="AI45" s="515"/>
      <c r="AJ45" s="514"/>
      <c r="AK45" s="526"/>
      <c r="AL45" s="515"/>
      <c r="AM45" s="514"/>
      <c r="AN45" s="526"/>
      <c r="AO45" s="168"/>
      <c r="AP45" s="514"/>
      <c r="AQ45" s="167"/>
      <c r="AR45" s="168"/>
      <c r="AS45" s="169"/>
      <c r="AT45" s="644"/>
      <c r="AU45" s="556"/>
      <c r="AV45" s="514"/>
      <c r="AW45" s="623">
        <v>1045.04</v>
      </c>
      <c r="AX45" s="73" t="s">
        <v>1578</v>
      </c>
      <c r="AY45" s="71">
        <v>954.96</v>
      </c>
      <c r="AZ45" s="75">
        <f t="shared" si="6"/>
        <v>90.079999999999927</v>
      </c>
      <c r="BA45" s="60"/>
      <c r="BB45" s="60"/>
    </row>
    <row r="46" spans="1:54" ht="15.75">
      <c r="A46" s="76">
        <v>1450022</v>
      </c>
      <c r="B46" s="656" t="s">
        <v>1621</v>
      </c>
      <c r="C46" s="77" t="s">
        <v>1622</v>
      </c>
      <c r="D46" s="78">
        <v>88</v>
      </c>
      <c r="E46" s="77" t="s">
        <v>1320</v>
      </c>
      <c r="F46" s="78">
        <v>4348</v>
      </c>
      <c r="G46" s="78">
        <v>33903913</v>
      </c>
      <c r="H46" s="485">
        <v>27</v>
      </c>
      <c r="I46" s="495"/>
      <c r="J46" s="579">
        <v>54945.81</v>
      </c>
      <c r="K46" s="576">
        <v>46032</v>
      </c>
      <c r="L46" s="586" t="s">
        <v>1322</v>
      </c>
      <c r="M46" s="166">
        <f>DIVERSAS!X66</f>
        <v>59888.22</v>
      </c>
      <c r="N46" s="578">
        <f>DIVERSAS!AC66</f>
        <v>46063</v>
      </c>
      <c r="O46" s="578" t="str">
        <f>DIVERSAS!AD66</f>
        <v>1450.01.0012485/2026-30</v>
      </c>
      <c r="P46" s="509">
        <f>DIVERSAS!AI66</f>
        <v>63620.78</v>
      </c>
      <c r="Q46" s="512">
        <f>DIVERSAS!AN66</f>
        <v>46091</v>
      </c>
      <c r="R46" s="169" t="str">
        <f>DIVERSAS!AO66</f>
        <v>1450.01.0036108/2026-81</v>
      </c>
      <c r="S46" s="539"/>
      <c r="T46" s="540"/>
      <c r="U46" s="541"/>
      <c r="V46" s="542"/>
      <c r="W46" s="168"/>
      <c r="X46" s="541"/>
      <c r="Y46" s="543"/>
      <c r="Z46" s="168"/>
      <c r="AA46" s="541"/>
      <c r="AB46" s="543"/>
      <c r="AC46" s="544"/>
      <c r="AD46" s="541"/>
      <c r="AE46" s="545"/>
      <c r="AF46" s="546"/>
      <c r="AG46" s="541"/>
      <c r="AH46" s="543"/>
      <c r="AI46" s="168"/>
      <c r="AJ46" s="541"/>
      <c r="AK46" s="543"/>
      <c r="AL46" s="168"/>
      <c r="AM46" s="541"/>
      <c r="AN46" s="543"/>
      <c r="AO46" s="168"/>
      <c r="AP46" s="541"/>
      <c r="AQ46" s="167"/>
      <c r="AR46" s="168"/>
      <c r="AS46" s="619"/>
      <c r="AT46" s="642"/>
      <c r="AU46" s="556"/>
      <c r="AV46" s="541"/>
      <c r="AW46" s="623">
        <v>64014.5</v>
      </c>
      <c r="AX46" s="73" t="s">
        <v>1578</v>
      </c>
      <c r="AY46" s="71">
        <v>54945.81</v>
      </c>
      <c r="AZ46" s="75">
        <f t="shared" si="6"/>
        <v>9068.6900000000023</v>
      </c>
      <c r="BA46" s="80"/>
      <c r="BB46" s="80"/>
    </row>
    <row r="47" spans="1:54" ht="15.75">
      <c r="A47" s="61">
        <v>1450022</v>
      </c>
      <c r="B47" s="655" t="s">
        <v>1623</v>
      </c>
      <c r="C47" s="63" t="s">
        <v>1624</v>
      </c>
      <c r="D47" s="64">
        <v>71</v>
      </c>
      <c r="E47" s="63" t="s">
        <v>1330</v>
      </c>
      <c r="F47" s="64">
        <v>4348</v>
      </c>
      <c r="G47" s="64">
        <v>33903913</v>
      </c>
      <c r="H47" s="485">
        <v>31</v>
      </c>
      <c r="I47" s="491"/>
      <c r="J47" s="575">
        <v>149057.70000000001</v>
      </c>
      <c r="K47" s="576">
        <v>46037</v>
      </c>
      <c r="L47" s="581" t="s">
        <v>1332</v>
      </c>
      <c r="M47" s="166">
        <f>DIVERSAS!X67</f>
        <v>140505.68</v>
      </c>
      <c r="N47" s="578">
        <f>DIVERSAS!AC67</f>
        <v>46069</v>
      </c>
      <c r="O47" s="578" t="str">
        <f>DIVERSAS!AD67</f>
        <v>1450.01.0009590/2026-13</v>
      </c>
      <c r="P47" s="509">
        <f>DIVERSAS!AI67</f>
        <v>140132.51</v>
      </c>
      <c r="Q47" s="512">
        <f>DIVERSAS!AN67</f>
        <v>46097</v>
      </c>
      <c r="R47" s="169" t="str">
        <f>DIVERSAS!AO67</f>
        <v>1450.01.0029870/2026-18</v>
      </c>
      <c r="S47" s="523"/>
      <c r="T47" s="512"/>
      <c r="U47" s="514"/>
      <c r="V47" s="527"/>
      <c r="W47" s="515"/>
      <c r="X47" s="514"/>
      <c r="Y47" s="524"/>
      <c r="Z47" s="515"/>
      <c r="AA47" s="514"/>
      <c r="AB47" s="167"/>
      <c r="AC47" s="515"/>
      <c r="AD47" s="514"/>
      <c r="AE47" s="516"/>
      <c r="AF47" s="517"/>
      <c r="AG47" s="514"/>
      <c r="AH47" s="167"/>
      <c r="AI47" s="515"/>
      <c r="AJ47" s="514"/>
      <c r="AK47" s="167"/>
      <c r="AL47" s="515"/>
      <c r="AM47" s="514"/>
      <c r="AN47" s="167"/>
      <c r="AO47" s="168"/>
      <c r="AP47" s="514"/>
      <c r="AQ47" s="167"/>
      <c r="AR47" s="168"/>
      <c r="AS47" s="169"/>
      <c r="AT47" s="637"/>
      <c r="AU47" s="556"/>
      <c r="AV47" s="514"/>
      <c r="AW47" s="622">
        <v>0</v>
      </c>
      <c r="AX47" s="73" t="s">
        <v>1569</v>
      </c>
      <c r="AY47" s="67">
        <v>0</v>
      </c>
      <c r="AZ47" s="68">
        <v>0</v>
      </c>
      <c r="BA47" s="60"/>
      <c r="BB47" s="60"/>
    </row>
    <row r="48" spans="1:54" ht="15.75">
      <c r="A48" s="61">
        <v>1450022</v>
      </c>
      <c r="B48" s="653" t="s">
        <v>1625</v>
      </c>
      <c r="C48" s="63" t="s">
        <v>1626</v>
      </c>
      <c r="D48" s="64">
        <v>222</v>
      </c>
      <c r="E48" s="63" t="s">
        <v>1340</v>
      </c>
      <c r="F48" s="64">
        <v>4348</v>
      </c>
      <c r="G48" s="64">
        <v>33903913</v>
      </c>
      <c r="H48" s="485">
        <v>47</v>
      </c>
      <c r="I48" s="491"/>
      <c r="J48" s="579">
        <v>23583.4</v>
      </c>
      <c r="K48" s="576">
        <v>46050</v>
      </c>
      <c r="L48" s="507" t="s">
        <v>1342</v>
      </c>
      <c r="M48" s="166">
        <f>DIVERSAS!X68+DIVERSAS!X69</f>
        <v>32748.81</v>
      </c>
      <c r="N48" s="578">
        <f>DIVERSAS!AC68</f>
        <v>46081</v>
      </c>
      <c r="O48" s="578" t="str">
        <f>DIVERSAS!AD68</f>
        <v>1450.01.0021552/2026-49</v>
      </c>
      <c r="P48" s="509">
        <f>DIVERSAS!AI68+DIVERSAS!AI69</f>
        <v>27688.65</v>
      </c>
      <c r="Q48" s="652">
        <f>DIVERSAS!AN68</f>
        <v>46109</v>
      </c>
      <c r="R48" s="169" t="str">
        <f>DIVERSAS!AO68</f>
        <v>1450.01.0041563/2026-42</v>
      </c>
      <c r="S48" s="509"/>
      <c r="T48" s="512"/>
      <c r="U48" s="514"/>
      <c r="V48" s="511"/>
      <c r="W48" s="515"/>
      <c r="X48" s="514"/>
      <c r="Y48" s="167"/>
      <c r="Z48" s="515"/>
      <c r="AA48" s="514"/>
      <c r="AB48" s="167"/>
      <c r="AC48" s="515"/>
      <c r="AD48" s="514"/>
      <c r="AE48" s="516"/>
      <c r="AF48" s="517"/>
      <c r="AG48" s="514"/>
      <c r="AH48" s="167"/>
      <c r="AI48" s="515"/>
      <c r="AJ48" s="514"/>
      <c r="AK48" s="167"/>
      <c r="AL48" s="515"/>
      <c r="AM48" s="514"/>
      <c r="AN48" s="167"/>
      <c r="AO48" s="168"/>
      <c r="AP48" s="514"/>
      <c r="AQ48" s="167"/>
      <c r="AR48" s="168"/>
      <c r="AS48" s="169"/>
      <c r="AT48" s="641"/>
      <c r="AU48" s="618"/>
      <c r="AV48" s="514"/>
      <c r="AW48" s="623">
        <v>42308.15</v>
      </c>
      <c r="AX48" s="73" t="s">
        <v>1578</v>
      </c>
      <c r="AY48" s="71">
        <v>30000</v>
      </c>
      <c r="AZ48" s="75">
        <f t="shared" ref="AZ48:AZ49" si="7">AW48-AY48</f>
        <v>12308.150000000001</v>
      </c>
      <c r="BA48" s="60"/>
      <c r="BB48" s="60"/>
    </row>
    <row r="49" spans="1:54" ht="15.75">
      <c r="A49" s="61">
        <v>1450022</v>
      </c>
      <c r="B49" s="653" t="s">
        <v>1348</v>
      </c>
      <c r="C49" s="63" t="s">
        <v>1627</v>
      </c>
      <c r="D49" s="64">
        <v>225</v>
      </c>
      <c r="E49" s="63" t="s">
        <v>1351</v>
      </c>
      <c r="F49" s="64">
        <v>4348</v>
      </c>
      <c r="G49" s="64">
        <v>33903913</v>
      </c>
      <c r="H49" s="485">
        <v>32</v>
      </c>
      <c r="I49" s="491"/>
      <c r="J49" s="575">
        <v>13963</v>
      </c>
      <c r="K49" s="576">
        <v>46037</v>
      </c>
      <c r="L49" s="581" t="s">
        <v>1352</v>
      </c>
      <c r="M49" s="166">
        <f>DIVERSAS!X70+DIVERSAS!X71</f>
        <v>14686.42</v>
      </c>
      <c r="N49" s="578">
        <f>DIVERSAS!AC70</f>
        <v>46069</v>
      </c>
      <c r="O49" s="578" t="str">
        <f>DIVERSAS!AD70</f>
        <v>1450.01.0005564/2026-75</v>
      </c>
      <c r="P49" s="509">
        <f>DIVERSAS!AI70+DIVERSAS!AI71</f>
        <v>12516.17</v>
      </c>
      <c r="Q49" s="512">
        <f>DIVERSAS!AN70</f>
        <v>46097</v>
      </c>
      <c r="R49" s="169" t="str">
        <f>DIVERSAS!AO70</f>
        <v>1450.01.0030912/2026-14</v>
      </c>
      <c r="S49" s="523"/>
      <c r="T49" s="512"/>
      <c r="U49" s="514"/>
      <c r="V49" s="527"/>
      <c r="W49" s="515"/>
      <c r="X49" s="514"/>
      <c r="Y49" s="167"/>
      <c r="Z49" s="515"/>
      <c r="AA49" s="514"/>
      <c r="AB49" s="167"/>
      <c r="AC49" s="515"/>
      <c r="AD49" s="514"/>
      <c r="AE49" s="516"/>
      <c r="AF49" s="517"/>
      <c r="AG49" s="514"/>
      <c r="AH49" s="167"/>
      <c r="AI49" s="515"/>
      <c r="AJ49" s="514"/>
      <c r="AK49" s="524"/>
      <c r="AL49" s="515"/>
      <c r="AM49" s="514"/>
      <c r="AN49" s="167"/>
      <c r="AO49" s="168"/>
      <c r="AP49" s="514"/>
      <c r="AQ49" s="167"/>
      <c r="AR49" s="168"/>
      <c r="AS49" s="169"/>
      <c r="AT49" s="636"/>
      <c r="AU49" s="556"/>
      <c r="AV49" s="514"/>
      <c r="AW49" s="623">
        <v>3037</v>
      </c>
      <c r="AX49" s="73" t="s">
        <v>1578</v>
      </c>
      <c r="AY49" s="67">
        <v>0</v>
      </c>
      <c r="AZ49" s="75">
        <f t="shared" si="7"/>
        <v>3037</v>
      </c>
      <c r="BA49" s="60"/>
      <c r="BB49" s="60"/>
    </row>
    <row r="50" spans="1:54" ht="15.75">
      <c r="A50" s="61">
        <v>1450022</v>
      </c>
      <c r="B50" s="653" t="s">
        <v>1628</v>
      </c>
      <c r="C50" s="63" t="s">
        <v>850</v>
      </c>
      <c r="D50" s="64">
        <v>83</v>
      </c>
      <c r="E50" s="63" t="s">
        <v>851</v>
      </c>
      <c r="F50" s="64">
        <v>4348</v>
      </c>
      <c r="G50" s="64">
        <v>33903913</v>
      </c>
      <c r="H50" s="485">
        <v>41</v>
      </c>
      <c r="I50" s="491"/>
      <c r="J50" s="575">
        <v>31422.51</v>
      </c>
      <c r="K50" s="576">
        <v>46042</v>
      </c>
      <c r="L50" s="507" t="s">
        <v>1361</v>
      </c>
      <c r="M50" s="166">
        <f>DIVERSAS!X72+DIVERSAS!X73</f>
        <v>33450.18</v>
      </c>
      <c r="N50" s="578">
        <f>DIVERSAS!AC72</f>
        <v>46073</v>
      </c>
      <c r="O50" s="578" t="str">
        <f>DIVERSAS!AD72</f>
        <v>1450.01.0006771/2026-78</v>
      </c>
      <c r="P50" s="509">
        <f>DIVERSAS!AI72+DIVERSAS!AI73</f>
        <v>34434.880000000005</v>
      </c>
      <c r="Q50" s="512">
        <f>DIVERSAS!AN72</f>
        <v>46101</v>
      </c>
      <c r="R50" s="169" t="str">
        <f>DIVERSAS!AO72</f>
        <v>1450.01.0029945/2026-30</v>
      </c>
      <c r="S50" s="525"/>
      <c r="T50" s="512"/>
      <c r="U50" s="514"/>
      <c r="V50" s="511"/>
      <c r="W50" s="528"/>
      <c r="X50" s="514"/>
      <c r="Y50" s="524"/>
      <c r="Z50" s="528"/>
      <c r="AA50" s="514"/>
      <c r="AB50" s="167"/>
      <c r="AC50" s="515"/>
      <c r="AD50" s="514"/>
      <c r="AE50" s="516"/>
      <c r="AF50" s="517"/>
      <c r="AG50" s="514"/>
      <c r="AH50" s="167"/>
      <c r="AI50" s="515"/>
      <c r="AJ50" s="514"/>
      <c r="AK50" s="167"/>
      <c r="AL50" s="515"/>
      <c r="AM50" s="514"/>
      <c r="AN50" s="167"/>
      <c r="AO50" s="168"/>
      <c r="AP50" s="514"/>
      <c r="AQ50" s="167"/>
      <c r="AR50" s="168"/>
      <c r="AS50" s="169"/>
      <c r="AT50" s="637"/>
      <c r="AU50" s="556"/>
      <c r="AV50" s="514"/>
      <c r="AW50" s="622">
        <v>0</v>
      </c>
      <c r="AX50" s="73" t="s">
        <v>1569</v>
      </c>
      <c r="AY50" s="67">
        <v>0</v>
      </c>
      <c r="AZ50" s="68">
        <v>0</v>
      </c>
      <c r="BA50" s="60"/>
      <c r="BB50" s="60"/>
    </row>
    <row r="51" spans="1:54" ht="15.75">
      <c r="A51" s="61">
        <v>1450022</v>
      </c>
      <c r="B51" s="81" t="s">
        <v>1368</v>
      </c>
      <c r="C51" s="63" t="s">
        <v>1629</v>
      </c>
      <c r="D51" s="64">
        <v>56</v>
      </c>
      <c r="E51" s="63" t="s">
        <v>1372</v>
      </c>
      <c r="F51" s="64">
        <v>4348</v>
      </c>
      <c r="G51" s="64">
        <v>33903913</v>
      </c>
      <c r="H51" s="485">
        <v>136</v>
      </c>
      <c r="I51" s="491"/>
      <c r="J51" s="579">
        <v>43322.18</v>
      </c>
      <c r="K51" s="576">
        <v>46063</v>
      </c>
      <c r="L51" s="507" t="s">
        <v>1374</v>
      </c>
      <c r="M51" s="166">
        <f>DIVERSAS!X74</f>
        <v>46717.11</v>
      </c>
      <c r="N51" s="578">
        <f>DIVERSAS!AC74</f>
        <v>46091</v>
      </c>
      <c r="O51" s="578" t="str">
        <f>DIVERSAS!AD74</f>
        <v>1450.01.0029288/2026-18</v>
      </c>
      <c r="P51" s="509">
        <f>DIVERSAS!AI74</f>
        <v>42111.02</v>
      </c>
      <c r="Q51" s="512">
        <f>DIVERSAS!AN74</f>
        <v>46122</v>
      </c>
      <c r="R51" s="169" t="str">
        <f>DIVERSAS!AO74</f>
        <v>1450.01.0047071/2026-27</v>
      </c>
      <c r="S51" s="509"/>
      <c r="T51" s="512"/>
      <c r="U51" s="514"/>
      <c r="V51" s="542"/>
      <c r="W51" s="528"/>
      <c r="X51" s="514"/>
      <c r="Y51" s="547"/>
      <c r="Z51" s="544"/>
      <c r="AA51" s="514"/>
      <c r="AB51" s="547"/>
      <c r="AC51" s="168"/>
      <c r="AD51" s="514"/>
      <c r="AE51" s="516"/>
      <c r="AF51" s="517"/>
      <c r="AG51" s="514"/>
      <c r="AH51" s="167"/>
      <c r="AI51" s="168"/>
      <c r="AJ51" s="514"/>
      <c r="AK51" s="167"/>
      <c r="AL51" s="168"/>
      <c r="AM51" s="514"/>
      <c r="AN51" s="167"/>
      <c r="AO51" s="168"/>
      <c r="AP51" s="514"/>
      <c r="AQ51" s="167"/>
      <c r="AR51" s="168"/>
      <c r="AS51" s="169"/>
      <c r="AT51" s="642"/>
      <c r="AU51" s="556"/>
      <c r="AV51" s="514"/>
      <c r="AW51" s="623">
        <v>131801.57</v>
      </c>
      <c r="AX51" s="73" t="s">
        <v>1607</v>
      </c>
      <c r="AY51" s="71">
        <v>43322.18</v>
      </c>
      <c r="AZ51" s="75">
        <f t="shared" ref="AZ51:AZ53" si="8">AW51-AY51</f>
        <v>88479.390000000014</v>
      </c>
      <c r="BA51" s="60"/>
      <c r="BB51" s="60"/>
    </row>
    <row r="52" spans="1:54" ht="15.75">
      <c r="A52" s="61">
        <v>1450022</v>
      </c>
      <c r="B52" s="653" t="s">
        <v>1384</v>
      </c>
      <c r="C52" s="63" t="s">
        <v>1630</v>
      </c>
      <c r="D52" s="64">
        <v>43</v>
      </c>
      <c r="E52" s="63" t="s">
        <v>940</v>
      </c>
      <c r="F52" s="64">
        <v>4348</v>
      </c>
      <c r="G52" s="64">
        <v>33903913</v>
      </c>
      <c r="H52" s="485">
        <v>137</v>
      </c>
      <c r="I52" s="491"/>
      <c r="J52" s="579">
        <v>245136.6</v>
      </c>
      <c r="K52" s="576">
        <v>46063</v>
      </c>
      <c r="L52" s="587" t="s">
        <v>1631</v>
      </c>
      <c r="M52" s="166">
        <f>DIVERSAS!X75+DIVERSAS!X76+DIVERSAS!X77+DIVERSAS!X78+DIVERSAS!X79+DIVERSAS!X80</f>
        <v>242173.16999999998</v>
      </c>
      <c r="N52" s="578">
        <f>DIVERSAS!AC75</f>
        <v>46091</v>
      </c>
      <c r="O52" s="578" t="str">
        <f>DIVERSAS!AD75</f>
        <v>1450.01.0033265/2026-18</v>
      </c>
      <c r="P52" s="509">
        <f>DIVERSAS!AI75+DIVERSAS!AI76+DIVERSAS!AI77+DIVERSAS!AI78+DIVERSAS!AI79+DIVERSAS!AI80</f>
        <v>231500.12</v>
      </c>
      <c r="Q52" s="512">
        <f>DIVERSAS!AN75</f>
        <v>46122</v>
      </c>
      <c r="R52" s="169" t="str">
        <f>DIVERSAS!AO75</f>
        <v>1450.01.0050011/2026-90</v>
      </c>
      <c r="S52" s="509"/>
      <c r="T52" s="512"/>
      <c r="U52" s="514"/>
      <c r="V52" s="511"/>
      <c r="W52" s="528"/>
      <c r="X52" s="514"/>
      <c r="Y52" s="167"/>
      <c r="Z52" s="544"/>
      <c r="AA52" s="514"/>
      <c r="AB52" s="167"/>
      <c r="AC52" s="528"/>
      <c r="AD52" s="514"/>
      <c r="AE52" s="516"/>
      <c r="AF52" s="517"/>
      <c r="AG52" s="514"/>
      <c r="AH52" s="167"/>
      <c r="AI52" s="168"/>
      <c r="AJ52" s="514"/>
      <c r="AK52" s="167"/>
      <c r="AL52" s="168"/>
      <c r="AM52" s="514"/>
      <c r="AN52" s="167"/>
      <c r="AO52" s="168"/>
      <c r="AP52" s="514"/>
      <c r="AQ52" s="167"/>
      <c r="AR52" s="168"/>
      <c r="AS52" s="169"/>
      <c r="AT52" s="640"/>
      <c r="AU52" s="615"/>
      <c r="AV52" s="514"/>
      <c r="AW52" s="623">
        <v>223357.69</v>
      </c>
      <c r="AX52" s="73" t="s">
        <v>1578</v>
      </c>
      <c r="AY52" s="71">
        <v>245136.6</v>
      </c>
      <c r="AZ52" s="82">
        <f t="shared" si="8"/>
        <v>-21778.910000000003</v>
      </c>
      <c r="BA52" s="83" t="s">
        <v>1632</v>
      </c>
      <c r="BB52" s="60"/>
    </row>
    <row r="53" spans="1:54" ht="15.75">
      <c r="A53" s="61">
        <v>1450022</v>
      </c>
      <c r="B53" s="653" t="s">
        <v>1633</v>
      </c>
      <c r="C53" s="63" t="s">
        <v>169</v>
      </c>
      <c r="D53" s="64">
        <v>22</v>
      </c>
      <c r="E53" s="63" t="s">
        <v>170</v>
      </c>
      <c r="F53" s="64">
        <v>4348</v>
      </c>
      <c r="G53" s="64">
        <v>33903913</v>
      </c>
      <c r="H53" s="65">
        <v>107</v>
      </c>
      <c r="I53" s="491"/>
      <c r="J53" s="579">
        <v>9014234.0199999996</v>
      </c>
      <c r="K53" s="576">
        <v>46063</v>
      </c>
      <c r="L53" s="587" t="s">
        <v>171</v>
      </c>
      <c r="M53" s="166">
        <v>9483998.2200000007</v>
      </c>
      <c r="N53" s="588" t="str">
        <f>'GLOBALIZADA COPASA'!AC5</f>
        <v>10/03/2026</v>
      </c>
      <c r="O53" s="931" t="s">
        <v>173</v>
      </c>
      <c r="P53" s="509">
        <f>'GLOBALIZADA COPASA'!AI183</f>
        <v>8722803.5500000045</v>
      </c>
      <c r="Q53" s="512">
        <f>'GLOBALIZADA COPASA'!AN5</f>
        <v>46122</v>
      </c>
      <c r="R53" s="169" t="str">
        <f>'GLOBALIZADA COPASA'!AO5</f>
        <v>1450.01.0046622/2026-25</v>
      </c>
      <c r="S53" s="509"/>
      <c r="T53" s="512"/>
      <c r="U53" s="514"/>
      <c r="V53" s="511"/>
      <c r="W53" s="528"/>
      <c r="X53" s="514"/>
      <c r="Y53" s="167"/>
      <c r="Z53" s="528"/>
      <c r="AA53" s="514"/>
      <c r="AB53" s="167"/>
      <c r="AC53" s="528"/>
      <c r="AD53" s="514"/>
      <c r="AE53" s="516"/>
      <c r="AF53" s="517"/>
      <c r="AG53" s="514"/>
      <c r="AH53" s="167"/>
      <c r="AI53" s="168"/>
      <c r="AJ53" s="514"/>
      <c r="AK53" s="548"/>
      <c r="AL53" s="168"/>
      <c r="AM53" s="514"/>
      <c r="AN53" s="548"/>
      <c r="AO53" s="168"/>
      <c r="AP53" s="514"/>
      <c r="AQ53" s="167"/>
      <c r="AR53" s="168"/>
      <c r="AS53" s="169"/>
      <c r="AT53" s="640"/>
      <c r="AU53" s="556"/>
      <c r="AV53" s="514"/>
      <c r="AW53" s="623">
        <v>9074214.3900000006</v>
      </c>
      <c r="AX53" s="73" t="s">
        <v>1578</v>
      </c>
      <c r="AY53" s="71">
        <v>9014234.0199999996</v>
      </c>
      <c r="AZ53" s="75">
        <f t="shared" si="8"/>
        <v>59980.370000001043</v>
      </c>
      <c r="BA53" s="60"/>
      <c r="BB53" s="60"/>
    </row>
    <row r="54" spans="1:54" ht="15.75">
      <c r="A54" s="61">
        <v>1450022</v>
      </c>
      <c r="B54" s="63" t="s">
        <v>1409</v>
      </c>
      <c r="C54" s="63" t="s">
        <v>1409</v>
      </c>
      <c r="D54" s="64">
        <v>87</v>
      </c>
      <c r="E54" s="63" t="s">
        <v>170</v>
      </c>
      <c r="F54" s="64">
        <v>4348</v>
      </c>
      <c r="G54" s="64">
        <v>33903913</v>
      </c>
      <c r="H54" s="65">
        <v>107</v>
      </c>
      <c r="I54" s="491"/>
      <c r="J54" s="579"/>
      <c r="K54" s="576"/>
      <c r="L54" s="587"/>
      <c r="M54" s="166">
        <f>DIVERSAS!X82</f>
        <v>22791.27</v>
      </c>
      <c r="N54" s="588" t="str">
        <f>'GLOBALIZADA COPASA'!AC6</f>
        <v>10/03/2026</v>
      </c>
      <c r="O54" s="929" t="s">
        <v>1414</v>
      </c>
      <c r="P54" s="930">
        <f>DIVERSAS!AI82</f>
        <v>25414.32</v>
      </c>
      <c r="Q54" s="512">
        <f>'GLOBALIZADA COPASA'!AN6</f>
        <v>46122</v>
      </c>
      <c r="R54" s="169" t="s">
        <v>1415</v>
      </c>
      <c r="S54" s="509"/>
      <c r="T54" s="512"/>
      <c r="U54" s="514"/>
      <c r="V54" s="511"/>
      <c r="W54" s="927"/>
      <c r="X54" s="514"/>
      <c r="Y54" s="167"/>
      <c r="Z54" s="927"/>
      <c r="AA54" s="514"/>
      <c r="AB54" s="167"/>
      <c r="AC54" s="927"/>
      <c r="AD54" s="514"/>
      <c r="AE54" s="516"/>
      <c r="AF54" s="517"/>
      <c r="AG54" s="514"/>
      <c r="AH54" s="167"/>
      <c r="AI54" s="168"/>
      <c r="AJ54" s="514"/>
      <c r="AK54" s="928"/>
      <c r="AL54" s="168"/>
      <c r="AM54" s="514"/>
      <c r="AN54" s="928"/>
      <c r="AO54" s="168"/>
      <c r="AP54" s="514"/>
      <c r="AQ54" s="167"/>
      <c r="AR54" s="168"/>
      <c r="AS54" s="169"/>
      <c r="AT54" s="640"/>
      <c r="AU54" s="556"/>
      <c r="AV54" s="514"/>
      <c r="AW54" s="623"/>
      <c r="AX54" s="73"/>
      <c r="AY54" s="71"/>
      <c r="AZ54" s="75"/>
      <c r="BA54" s="60"/>
      <c r="BB54" s="60"/>
    </row>
    <row r="55" spans="1:54" ht="15.75">
      <c r="A55" s="61">
        <v>1450022</v>
      </c>
      <c r="B55" s="63" t="s">
        <v>1634</v>
      </c>
      <c r="C55" s="63" t="s">
        <v>1634</v>
      </c>
      <c r="D55" s="64">
        <v>79</v>
      </c>
      <c r="E55" s="63" t="s">
        <v>170</v>
      </c>
      <c r="F55" s="64">
        <v>4348</v>
      </c>
      <c r="G55" s="64">
        <v>33903913</v>
      </c>
      <c r="H55" s="65">
        <v>107</v>
      </c>
      <c r="I55" s="491"/>
      <c r="J55" s="579"/>
      <c r="K55" s="576"/>
      <c r="L55" s="587"/>
      <c r="M55" s="166">
        <f>DIVERSAS!X83</f>
        <v>30968.17</v>
      </c>
      <c r="N55" s="588" t="str">
        <f>'GLOBALIZADA COPASA'!AC7</f>
        <v>10/03/2026</v>
      </c>
      <c r="O55" s="929" t="s">
        <v>1420</v>
      </c>
      <c r="P55" s="930">
        <f>DIVERSAS!AI83</f>
        <v>28266.9</v>
      </c>
      <c r="Q55" s="512">
        <f>'GLOBALIZADA COPASA'!AN7</f>
        <v>46122</v>
      </c>
      <c r="R55" s="169" t="s">
        <v>1421</v>
      </c>
      <c r="S55" s="509"/>
      <c r="T55" s="512"/>
      <c r="U55" s="514"/>
      <c r="V55" s="511"/>
      <c r="W55" s="927"/>
      <c r="X55" s="514"/>
      <c r="Y55" s="167"/>
      <c r="Z55" s="927"/>
      <c r="AA55" s="514"/>
      <c r="AB55" s="167"/>
      <c r="AC55" s="927"/>
      <c r="AD55" s="514"/>
      <c r="AE55" s="516"/>
      <c r="AF55" s="517"/>
      <c r="AG55" s="514"/>
      <c r="AH55" s="167"/>
      <c r="AI55" s="168"/>
      <c r="AJ55" s="514"/>
      <c r="AK55" s="928"/>
      <c r="AL55" s="168"/>
      <c r="AM55" s="514"/>
      <c r="AN55" s="928"/>
      <c r="AO55" s="168"/>
      <c r="AP55" s="514"/>
      <c r="AQ55" s="167"/>
      <c r="AR55" s="168"/>
      <c r="AS55" s="169"/>
      <c r="AT55" s="640"/>
      <c r="AU55" s="556"/>
      <c r="AV55" s="514"/>
      <c r="AW55" s="623"/>
      <c r="AX55" s="73"/>
      <c r="AY55" s="71"/>
      <c r="AZ55" s="75"/>
      <c r="BA55" s="60"/>
      <c r="BB55" s="60"/>
    </row>
    <row r="56" spans="1:54" ht="57" customHeight="1">
      <c r="A56" s="76">
        <v>1450022</v>
      </c>
      <c r="B56" s="654" t="s">
        <v>1635</v>
      </c>
      <c r="C56" s="77" t="s">
        <v>780</v>
      </c>
      <c r="D56" s="78">
        <v>22</v>
      </c>
      <c r="E56" s="77" t="s">
        <v>781</v>
      </c>
      <c r="F56" s="78">
        <v>4348</v>
      </c>
      <c r="G56" s="78">
        <v>33903913</v>
      </c>
      <c r="H56" s="79">
        <v>166</v>
      </c>
      <c r="I56" s="491"/>
      <c r="J56" s="589">
        <v>297639.92</v>
      </c>
      <c r="K56" s="576">
        <v>46081</v>
      </c>
      <c r="L56" s="507" t="s">
        <v>785</v>
      </c>
      <c r="M56" s="590">
        <f>'GLOBALIZADA CESAMA'!V5+'GLOBALIZADA CESAMA'!V6+'GLOBALIZADA CESAMA'!V7+'GLOBALIZADA CESAMA'!V8+'GLOBALIZADA CESAMA'!V9+'GLOBALIZADA CESAMA'!V10+'GLOBALIZADA CESAMA'!V11+'GLOBALIZADA CESAMA'!V12</f>
        <v>299063.59999999998</v>
      </c>
      <c r="N56" s="1097" t="str">
        <f>'GLOBALIZADA CESAMA'!AA6</f>
        <v>30/03/2026</v>
      </c>
      <c r="O56" s="591" t="str">
        <f>'GLOBALIZADA CESAMA'!AB8</f>
        <v>1450.01.0052306/2026-11</v>
      </c>
      <c r="P56" s="549" t="e" cm="1">
        <f t="array" ref="P56">#REF!+'GLOBALIZADA CESAMA'!AG6+'GLOBALIZADA CESAMA'!AG7+'GLOBALIZADA CESAMA'!AG8+'GLOBALIZADA CESAMA'!AG9+'GLOBALIZADA CESAMA'!AG10+'GLOBALIZADA CESAMA'!AG11+'GLOBALIZADA CESAMA'!AG12</f>
        <v>#REF!</v>
      </c>
      <c r="Q56" s="540" t="e" cm="1">
        <f t="array" ref="Q56">#REF!</f>
        <v>#REF!</v>
      </c>
      <c r="R56" s="540" t="e" cm="1">
        <f t="array" ref="R56">#REF!</f>
        <v>#REF!</v>
      </c>
      <c r="S56" s="549"/>
      <c r="T56" s="540"/>
      <c r="U56" s="541"/>
      <c r="V56" s="550"/>
      <c r="W56" s="168"/>
      <c r="X56" s="541"/>
      <c r="Y56" s="543"/>
      <c r="Z56" s="168"/>
      <c r="AA56" s="541"/>
      <c r="AB56" s="543"/>
      <c r="AC56" s="168"/>
      <c r="AD56" s="541"/>
      <c r="AE56" s="545"/>
      <c r="AF56" s="546"/>
      <c r="AG56" s="541"/>
      <c r="AH56" s="543"/>
      <c r="AI56" s="168"/>
      <c r="AJ56" s="541"/>
      <c r="AK56" s="543"/>
      <c r="AL56" s="168"/>
      <c r="AM56" s="541"/>
      <c r="AN56" s="543"/>
      <c r="AO56" s="168"/>
      <c r="AP56" s="541"/>
      <c r="AQ56" s="543"/>
      <c r="AR56" s="168"/>
      <c r="AS56" s="619"/>
      <c r="AT56" s="645"/>
      <c r="AU56" s="556"/>
      <c r="AV56" s="541"/>
      <c r="AW56" s="624">
        <v>0</v>
      </c>
      <c r="AX56" s="551" t="s">
        <v>1569</v>
      </c>
      <c r="AY56" s="84">
        <v>0</v>
      </c>
      <c r="AZ56" s="85">
        <v>0</v>
      </c>
      <c r="BA56" s="60"/>
      <c r="BB56" s="60"/>
    </row>
    <row r="57" spans="1:54" ht="15.75">
      <c r="A57" s="61">
        <v>1450022</v>
      </c>
      <c r="B57" s="70" t="s">
        <v>1636</v>
      </c>
      <c r="C57" s="63" t="s">
        <v>780</v>
      </c>
      <c r="D57" s="64">
        <v>37</v>
      </c>
      <c r="E57" s="63" t="s">
        <v>781</v>
      </c>
      <c r="F57" s="64">
        <v>4348</v>
      </c>
      <c r="G57" s="64">
        <v>33903913</v>
      </c>
      <c r="H57" s="65">
        <v>160</v>
      </c>
      <c r="I57" s="492"/>
      <c r="J57" s="575">
        <v>234412.12</v>
      </c>
      <c r="K57" s="576">
        <v>46022</v>
      </c>
      <c r="L57" s="507" t="s">
        <v>1637</v>
      </c>
      <c r="M57" s="592">
        <f>'GLOBALIZADA CESAMA'!V13</f>
        <v>224217.95</v>
      </c>
      <c r="N57" s="591" t="str">
        <f>'GLOBALIZADA CESAMA'!AA13</f>
        <v>26/03/2026</v>
      </c>
      <c r="O57" s="593" t="str">
        <f>'GLOBALIZADA CESAMA'!AB13</f>
        <v>1450.01.0031780/2026-52</v>
      </c>
      <c r="P57" s="509">
        <f>'GLOBALIZADA CESAMA'!AG13</f>
        <v>221943.12</v>
      </c>
      <c r="Q57" s="512" t="str">
        <f>'GLOBALIZADA CESAMA'!AL13</f>
        <v>26/04/2026</v>
      </c>
      <c r="R57" s="512" t="str">
        <f>'GLOBALIZADA CESAMA'!AM13</f>
        <v>1450.01.0054950/2026-15</v>
      </c>
      <c r="S57" s="509"/>
      <c r="T57" s="512"/>
      <c r="U57" s="514"/>
      <c r="V57" s="511"/>
      <c r="W57" s="168"/>
      <c r="X57" s="514"/>
      <c r="Y57" s="167"/>
      <c r="Z57" s="168"/>
      <c r="AA57" s="514"/>
      <c r="AB57" s="167"/>
      <c r="AC57" s="168"/>
      <c r="AD57" s="514"/>
      <c r="AE57" s="516"/>
      <c r="AF57" s="546"/>
      <c r="AG57" s="514"/>
      <c r="AH57" s="167"/>
      <c r="AI57" s="168"/>
      <c r="AJ57" s="514"/>
      <c r="AK57" s="167"/>
      <c r="AL57" s="168"/>
      <c r="AM57" s="514"/>
      <c r="AN57" s="167"/>
      <c r="AO57" s="168"/>
      <c r="AP57" s="514"/>
      <c r="AQ57" s="167"/>
      <c r="AR57" s="168"/>
      <c r="AS57" s="169"/>
      <c r="AT57" s="636"/>
      <c r="AU57" s="556"/>
      <c r="AV57" s="514"/>
      <c r="AW57" s="622">
        <v>0</v>
      </c>
      <c r="AX57" s="73" t="s">
        <v>1569</v>
      </c>
      <c r="AY57" s="67">
        <v>0</v>
      </c>
      <c r="AZ57" s="68">
        <v>0</v>
      </c>
      <c r="BA57" s="60"/>
      <c r="BB57" s="60"/>
    </row>
    <row r="58" spans="1:54" ht="15.75">
      <c r="A58" s="76">
        <v>1450022</v>
      </c>
      <c r="B58" s="70" t="s">
        <v>1638</v>
      </c>
      <c r="C58" s="63" t="s">
        <v>1639</v>
      </c>
      <c r="D58" s="64">
        <v>22</v>
      </c>
      <c r="E58" s="63" t="s">
        <v>661</v>
      </c>
      <c r="F58" s="78">
        <v>4348</v>
      </c>
      <c r="G58" s="78">
        <v>33903913</v>
      </c>
      <c r="H58" s="65">
        <v>138</v>
      </c>
      <c r="I58" s="491"/>
      <c r="J58" s="579">
        <v>82481.490000000005</v>
      </c>
      <c r="K58" s="576">
        <v>46063</v>
      </c>
      <c r="L58" s="581" t="s">
        <v>1640</v>
      </c>
      <c r="M58" s="525">
        <f>'GLOBALIZADA COPASA'!X185+'GLOBALIZADA COPASA'!X186</f>
        <v>53749.100000000006</v>
      </c>
      <c r="N58" s="591">
        <f>'GLOBALIZADA COPASA'!AC185</f>
        <v>46091</v>
      </c>
      <c r="O58" s="593" t="str">
        <f>'GLOBALIZADA COPASA'!AD185</f>
        <v>1450.01.0027097/2026-05</v>
      </c>
      <c r="P58" s="525">
        <f>'GLOBALIZADA COPASA'!AI185+'GLOBALIZADA COPASA'!AI186</f>
        <v>43707.530000000006</v>
      </c>
      <c r="Q58" s="512" t="e">
        <f>DIVERSAS!#REF!</f>
        <v>#REF!</v>
      </c>
      <c r="R58" s="169" t="e">
        <f>DIVERSAS!#REF!</f>
        <v>#REF!</v>
      </c>
      <c r="S58" s="509"/>
      <c r="T58" s="512"/>
      <c r="U58" s="514"/>
      <c r="V58" s="511"/>
      <c r="W58" s="528"/>
      <c r="X58" s="514"/>
      <c r="Y58" s="167"/>
      <c r="Z58" s="528"/>
      <c r="AA58" s="514"/>
      <c r="AB58" s="167"/>
      <c r="AC58" s="528"/>
      <c r="AD58" s="514"/>
      <c r="AE58" s="516"/>
      <c r="AF58" s="528"/>
      <c r="AG58" s="514"/>
      <c r="AH58" s="167"/>
      <c r="AI58" s="168"/>
      <c r="AJ58" s="514"/>
      <c r="AK58" s="167"/>
      <c r="AL58" s="168"/>
      <c r="AM58" s="514"/>
      <c r="AN58" s="167"/>
      <c r="AO58" s="168"/>
      <c r="AP58" s="514"/>
      <c r="AQ58" s="167"/>
      <c r="AR58" s="168"/>
      <c r="AS58" s="169"/>
      <c r="AT58" s="646"/>
      <c r="AU58" s="556"/>
      <c r="AV58" s="514"/>
      <c r="AW58" s="625">
        <v>86834.92</v>
      </c>
      <c r="AX58" s="121" t="s">
        <v>1578</v>
      </c>
      <c r="AY58" s="86">
        <v>82481.490000000005</v>
      </c>
      <c r="AZ58" s="75">
        <f t="shared" ref="AZ58" si="9">AW58-AY58</f>
        <v>4353.429999999993</v>
      </c>
      <c r="BA58" s="60"/>
      <c r="BB58" s="60"/>
    </row>
    <row r="59" spans="1:54" ht="15.75">
      <c r="A59" s="87">
        <v>1450022</v>
      </c>
      <c r="B59" s="658" t="s">
        <v>1641</v>
      </c>
      <c r="C59" s="88" t="s">
        <v>869</v>
      </c>
      <c r="D59" s="89">
        <v>28</v>
      </c>
      <c r="E59" s="88" t="s">
        <v>871</v>
      </c>
      <c r="F59" s="89">
        <v>4353</v>
      </c>
      <c r="G59" s="89">
        <v>33903913</v>
      </c>
      <c r="H59" s="90">
        <v>67</v>
      </c>
      <c r="I59" s="496"/>
      <c r="J59" s="575">
        <v>69581.75</v>
      </c>
      <c r="K59" s="576">
        <v>46050</v>
      </c>
      <c r="L59" s="581" t="s">
        <v>872</v>
      </c>
      <c r="M59" s="582">
        <f>DIVERSAS!X7</f>
        <v>21179.5</v>
      </c>
      <c r="N59" s="594">
        <f>DIVERSAS!AC7</f>
        <v>46081</v>
      </c>
      <c r="O59" s="578" t="str">
        <f>DIVERSAS!AD7</f>
        <v>1450.01.0001797/2026-31</v>
      </c>
      <c r="P59" s="531">
        <f>DIVERSAS!AI7</f>
        <v>40.08</v>
      </c>
      <c r="Q59" s="652">
        <f>DIVERSAS!AN7</f>
        <v>46109</v>
      </c>
      <c r="R59" s="169" t="str">
        <f>DIVERSAS!AO7</f>
        <v>1450.01.0054157/2026-86</v>
      </c>
      <c r="S59" s="531"/>
      <c r="T59" s="512"/>
      <c r="U59" s="514"/>
      <c r="V59" s="552"/>
      <c r="W59" s="528"/>
      <c r="X59" s="514"/>
      <c r="Y59" s="524"/>
      <c r="Z59" s="528"/>
      <c r="AA59" s="514"/>
      <c r="AB59" s="167"/>
      <c r="AC59" s="515"/>
      <c r="AD59" s="514"/>
      <c r="AE59" s="516"/>
      <c r="AF59" s="517"/>
      <c r="AG59" s="514"/>
      <c r="AH59" s="167"/>
      <c r="AI59" s="515"/>
      <c r="AJ59" s="514"/>
      <c r="AK59" s="167"/>
      <c r="AL59" s="168"/>
      <c r="AM59" s="514"/>
      <c r="AN59" s="167"/>
      <c r="AO59" s="168"/>
      <c r="AP59" s="514"/>
      <c r="AQ59" s="167"/>
      <c r="AR59" s="168"/>
      <c r="AS59" s="169"/>
      <c r="AT59" s="637"/>
      <c r="AU59" s="556"/>
      <c r="AV59" s="514"/>
      <c r="AW59" s="626">
        <v>0</v>
      </c>
      <c r="AX59" s="91" t="s">
        <v>1569</v>
      </c>
      <c r="AY59" s="92">
        <v>0</v>
      </c>
      <c r="AZ59" s="93">
        <v>0</v>
      </c>
      <c r="BA59" s="60"/>
      <c r="BB59" s="60"/>
    </row>
    <row r="60" spans="1:54" ht="27">
      <c r="A60" s="94">
        <v>1450022</v>
      </c>
      <c r="B60" s="659" t="s">
        <v>1642</v>
      </c>
      <c r="C60" s="95" t="s">
        <v>169</v>
      </c>
      <c r="D60" s="96">
        <v>23</v>
      </c>
      <c r="E60" s="95" t="s">
        <v>170</v>
      </c>
      <c r="F60" s="96">
        <v>4353</v>
      </c>
      <c r="G60" s="96">
        <v>33903913</v>
      </c>
      <c r="H60" s="97">
        <v>140</v>
      </c>
      <c r="I60" s="497"/>
      <c r="J60" s="589">
        <v>9934.2800000000007</v>
      </c>
      <c r="K60" s="576">
        <v>46063</v>
      </c>
      <c r="L60" s="581" t="s">
        <v>1643</v>
      </c>
      <c r="M60" s="595">
        <f>'GLOBALIZADA COPASA'!X190</f>
        <v>11494.09</v>
      </c>
      <c r="N60" s="594">
        <f>'GLOBALIZADA COPASA'!AC189</f>
        <v>46091</v>
      </c>
      <c r="O60" s="578" t="str">
        <f>'GLOBALIZADA COPASA'!AD189</f>
        <v>1450.01.0035900/2026-71</v>
      </c>
      <c r="P60" s="549" t="e">
        <f>DIVERSAS!#REF!</f>
        <v>#REF!</v>
      </c>
      <c r="Q60" s="512" t="e">
        <f>DIVERSAS!#REF!</f>
        <v>#REF!</v>
      </c>
      <c r="R60" s="169" t="e">
        <f>DIVERSAS!#REF!</f>
        <v>#REF!</v>
      </c>
      <c r="S60" s="549"/>
      <c r="T60" s="540"/>
      <c r="U60" s="541"/>
      <c r="V60" s="550"/>
      <c r="W60" s="544"/>
      <c r="X60" s="541"/>
      <c r="Y60" s="543"/>
      <c r="Z60" s="168"/>
      <c r="AA60" s="541"/>
      <c r="AB60" s="543"/>
      <c r="AC60" s="168"/>
      <c r="AD60" s="541"/>
      <c r="AE60" s="98"/>
      <c r="AF60" s="168"/>
      <c r="AG60" s="541"/>
      <c r="AH60" s="543"/>
      <c r="AI60" s="168"/>
      <c r="AJ60" s="541"/>
      <c r="AK60" s="543"/>
      <c r="AL60" s="168"/>
      <c r="AM60" s="541"/>
      <c r="AN60" s="543"/>
      <c r="AO60" s="168"/>
      <c r="AP60" s="541"/>
      <c r="AQ60" s="543"/>
      <c r="AR60" s="168"/>
      <c r="AS60" s="619"/>
      <c r="AT60" s="647"/>
      <c r="AU60" s="556"/>
      <c r="AV60" s="541"/>
      <c r="AW60" s="1263">
        <v>46092.31</v>
      </c>
      <c r="AX60" s="1264" t="s">
        <v>1578</v>
      </c>
      <c r="AY60" s="1260">
        <v>30237.56</v>
      </c>
      <c r="AZ60" s="1260">
        <f>AW60-AY60</f>
        <v>15854.749999999996</v>
      </c>
      <c r="BA60" s="80"/>
      <c r="BB60" s="80"/>
    </row>
    <row r="61" spans="1:54" ht="15.75">
      <c r="A61" s="87">
        <v>1450022</v>
      </c>
      <c r="B61" s="658" t="s">
        <v>1644</v>
      </c>
      <c r="C61" s="88" t="s">
        <v>169</v>
      </c>
      <c r="D61" s="89">
        <v>23</v>
      </c>
      <c r="E61" s="88" t="s">
        <v>170</v>
      </c>
      <c r="F61" s="89">
        <v>4353</v>
      </c>
      <c r="G61" s="89">
        <v>33903913</v>
      </c>
      <c r="H61" s="90">
        <v>140</v>
      </c>
      <c r="I61" s="498"/>
      <c r="J61" s="589">
        <v>20303.28</v>
      </c>
      <c r="K61" s="576">
        <v>46063</v>
      </c>
      <c r="L61" s="581" t="s">
        <v>1643</v>
      </c>
      <c r="M61" s="166">
        <f>'GLOBALIZADA COPASA'!X189</f>
        <v>24382.73</v>
      </c>
      <c r="N61" s="594">
        <f>N60</f>
        <v>46091</v>
      </c>
      <c r="O61" s="578" t="str">
        <f>O60</f>
        <v>1450.01.0035900/2026-71</v>
      </c>
      <c r="P61" s="509" t="e">
        <f>DIVERSAS!#REF!</f>
        <v>#REF!</v>
      </c>
      <c r="Q61" s="512" t="e">
        <f>DIVERSAS!#REF!</f>
        <v>#REF!</v>
      </c>
      <c r="R61" s="169" t="e">
        <f>DIVERSAS!#REF!</f>
        <v>#REF!</v>
      </c>
      <c r="S61" s="509"/>
      <c r="T61" s="512"/>
      <c r="U61" s="514"/>
      <c r="V61" s="511"/>
      <c r="W61" s="528"/>
      <c r="X61" s="514"/>
      <c r="Y61" s="167"/>
      <c r="Z61" s="168"/>
      <c r="AA61" s="514"/>
      <c r="AB61" s="167"/>
      <c r="AC61" s="515"/>
      <c r="AD61" s="514"/>
      <c r="AE61" s="99"/>
      <c r="AF61" s="515"/>
      <c r="AG61" s="514"/>
      <c r="AH61" s="167"/>
      <c r="AI61" s="168"/>
      <c r="AJ61" s="514"/>
      <c r="AK61" s="167"/>
      <c r="AL61" s="168"/>
      <c r="AM61" s="514"/>
      <c r="AN61" s="167"/>
      <c r="AO61" s="168"/>
      <c r="AP61" s="514"/>
      <c r="AQ61" s="543"/>
      <c r="AR61" s="168"/>
      <c r="AS61" s="169"/>
      <c r="AT61" s="647"/>
      <c r="AU61" s="556"/>
      <c r="AV61" s="514"/>
      <c r="AW61" s="1263"/>
      <c r="AX61" s="1264"/>
      <c r="AY61" s="1260"/>
      <c r="AZ61" s="1260"/>
      <c r="BA61" s="60"/>
      <c r="BB61" s="60"/>
    </row>
    <row r="62" spans="1:54" ht="15.75">
      <c r="A62" s="100">
        <v>1450012</v>
      </c>
      <c r="B62" s="660" t="s">
        <v>1645</v>
      </c>
      <c r="C62" s="101" t="s">
        <v>169</v>
      </c>
      <c r="D62" s="102">
        <v>12</v>
      </c>
      <c r="E62" s="101" t="s">
        <v>170</v>
      </c>
      <c r="F62" s="102">
        <v>4441</v>
      </c>
      <c r="G62" s="102">
        <v>33903913</v>
      </c>
      <c r="H62" s="103">
        <v>84</v>
      </c>
      <c r="I62" s="498"/>
      <c r="J62" s="668">
        <v>136478.84</v>
      </c>
      <c r="K62" s="576">
        <v>46063</v>
      </c>
      <c r="L62" s="596" t="s">
        <v>1436</v>
      </c>
      <c r="M62" s="166">
        <f>SUASE!X5+SUASE!X6+SUASE!X7+SUASE!X8+SUASE!X9+SUASE!X10+SUASE!X11</f>
        <v>144721.53</v>
      </c>
      <c r="N62" s="594">
        <f>SUASE!AC5</f>
        <v>46091</v>
      </c>
      <c r="O62" s="578" t="str">
        <f>SUASE!AD5</f>
        <v>1450.01.0034652/2026-11</v>
      </c>
      <c r="P62" s="509">
        <f>SUASE!AI5+SUASE!AI6+SUASE!AI7+SUASE!AI8+SUASE!AI9+SUASE!AI10+SUASE!AI11</f>
        <v>148983.34</v>
      </c>
      <c r="Q62" s="512">
        <f>SUASE!AN5</f>
        <v>46122</v>
      </c>
      <c r="R62" s="512" t="str">
        <f>SUASE!AO5</f>
        <v>1450.01.0055551/2026-84</v>
      </c>
      <c r="S62" s="509"/>
      <c r="T62" s="512"/>
      <c r="U62" s="514"/>
      <c r="V62" s="511"/>
      <c r="W62" s="544"/>
      <c r="X62" s="514"/>
      <c r="Y62" s="167"/>
      <c r="Z62" s="528"/>
      <c r="AA62" s="514"/>
      <c r="AB62" s="167"/>
      <c r="AC62" s="528"/>
      <c r="AD62" s="514"/>
      <c r="AE62" s="167"/>
      <c r="AF62" s="528"/>
      <c r="AG62" s="514"/>
      <c r="AH62" s="167"/>
      <c r="AI62" s="168"/>
      <c r="AJ62" s="514"/>
      <c r="AK62" s="167"/>
      <c r="AL62" s="168"/>
      <c r="AM62" s="514"/>
      <c r="AN62" s="167"/>
      <c r="AO62" s="168"/>
      <c r="AP62" s="514"/>
      <c r="AQ62" s="167"/>
      <c r="AR62" s="168"/>
      <c r="AS62" s="169"/>
      <c r="AT62" s="640"/>
      <c r="AU62" s="556"/>
      <c r="AV62" s="514"/>
      <c r="AW62" s="623">
        <v>265814.05</v>
      </c>
      <c r="AX62" s="73" t="s">
        <v>1578</v>
      </c>
      <c r="AY62" s="71">
        <v>136478.84</v>
      </c>
      <c r="AZ62" s="75">
        <f t="shared" ref="AZ62:AZ66" si="10">AW62-AY62</f>
        <v>129335.20999999999</v>
      </c>
      <c r="BA62" s="60"/>
      <c r="BB62" s="60"/>
    </row>
    <row r="63" spans="1:54" ht="27">
      <c r="A63" s="108">
        <v>1450012</v>
      </c>
      <c r="B63" s="661" t="s">
        <v>1646</v>
      </c>
      <c r="C63" s="109" t="s">
        <v>930</v>
      </c>
      <c r="D63" s="110">
        <v>53</v>
      </c>
      <c r="E63" s="109" t="s">
        <v>931</v>
      </c>
      <c r="F63" s="110">
        <v>4441</v>
      </c>
      <c r="G63" s="110">
        <v>33903913</v>
      </c>
      <c r="H63" s="111">
        <v>76</v>
      </c>
      <c r="I63" s="498"/>
      <c r="J63" s="589">
        <v>17840.02</v>
      </c>
      <c r="K63" s="576">
        <v>46021</v>
      </c>
      <c r="L63" s="596" t="s">
        <v>1461</v>
      </c>
      <c r="M63" s="597">
        <f>SUASE!X12</f>
        <v>18740.920000000002</v>
      </c>
      <c r="N63" s="594">
        <f>SUASE!AC12</f>
        <v>46073</v>
      </c>
      <c r="O63" s="578" t="str">
        <f>SUASE!AD12</f>
        <v>1450.010033327/2026-90</v>
      </c>
      <c r="P63" s="598">
        <f>SUASE!AI12</f>
        <v>18650.330000000002</v>
      </c>
      <c r="Q63" s="540">
        <f>SUASE!AN12</f>
        <v>46080</v>
      </c>
      <c r="R63" s="540" t="str">
        <f>SUASE!AO12</f>
        <v>1450.01.0038953/2026-90</v>
      </c>
      <c r="S63" s="549"/>
      <c r="T63" s="540"/>
      <c r="U63" s="541"/>
      <c r="V63" s="550"/>
      <c r="W63" s="544"/>
      <c r="X63" s="541"/>
      <c r="Y63" s="543"/>
      <c r="Z63" s="544"/>
      <c r="AA63" s="541"/>
      <c r="AB63" s="543"/>
      <c r="AC63" s="544"/>
      <c r="AD63" s="541"/>
      <c r="AE63" s="543"/>
      <c r="AF63" s="168"/>
      <c r="AG63" s="541"/>
      <c r="AH63" s="543"/>
      <c r="AI63" s="168"/>
      <c r="AJ63" s="541"/>
      <c r="AK63" s="543"/>
      <c r="AL63" s="168"/>
      <c r="AM63" s="541"/>
      <c r="AN63" s="543"/>
      <c r="AO63" s="168"/>
      <c r="AP63" s="541"/>
      <c r="AQ63" s="543"/>
      <c r="AR63" s="168"/>
      <c r="AS63" s="619"/>
      <c r="AT63" s="637"/>
      <c r="AU63" s="556"/>
      <c r="AV63" s="541"/>
      <c r="AW63" s="627">
        <v>0</v>
      </c>
      <c r="AX63" s="121" t="s">
        <v>1569</v>
      </c>
      <c r="AY63" s="112">
        <v>0</v>
      </c>
      <c r="AZ63" s="75">
        <f>AW63-AY63</f>
        <v>0</v>
      </c>
      <c r="BA63" s="60"/>
      <c r="BB63" s="60"/>
    </row>
    <row r="64" spans="1:54" ht="15.75">
      <c r="A64" s="100">
        <v>1450012</v>
      </c>
      <c r="B64" s="662" t="s">
        <v>1647</v>
      </c>
      <c r="C64" s="101" t="s">
        <v>1648</v>
      </c>
      <c r="D64" s="102">
        <v>89</v>
      </c>
      <c r="E64" s="101" t="s">
        <v>940</v>
      </c>
      <c r="F64" s="102">
        <v>4441</v>
      </c>
      <c r="G64" s="102">
        <v>33903913</v>
      </c>
      <c r="H64" s="487">
        <v>85</v>
      </c>
      <c r="I64" s="498"/>
      <c r="J64" s="668">
        <v>32595.89</v>
      </c>
      <c r="K64" s="576">
        <v>46073</v>
      </c>
      <c r="L64" s="581" t="s">
        <v>1468</v>
      </c>
      <c r="M64" s="597">
        <f>SUASE!X13</f>
        <v>34032.19</v>
      </c>
      <c r="N64" s="594">
        <f>SUASE!AC13</f>
        <v>46101</v>
      </c>
      <c r="O64" s="578" t="str">
        <f>SUASE!AD13</f>
        <v>1450.01.0029224/2026-97</v>
      </c>
      <c r="P64" s="598">
        <f>SUASE!AI13</f>
        <v>39646.78</v>
      </c>
      <c r="Q64" s="540">
        <f>SUASE!AN13</f>
        <v>46132</v>
      </c>
      <c r="R64" s="540" t="str">
        <f>SUASE!AO13</f>
        <v>1450.01.0059210/2026-37</v>
      </c>
      <c r="S64" s="509"/>
      <c r="T64" s="512"/>
      <c r="U64" s="514"/>
      <c r="V64" s="511"/>
      <c r="W64" s="528"/>
      <c r="X64" s="514"/>
      <c r="Y64" s="167"/>
      <c r="Z64" s="515"/>
      <c r="AA64" s="514"/>
      <c r="AB64" s="167"/>
      <c r="AC64" s="515"/>
      <c r="AD64" s="514"/>
      <c r="AE64" s="167"/>
      <c r="AF64" s="168"/>
      <c r="AG64" s="514"/>
      <c r="AH64" s="167"/>
      <c r="AI64" s="168"/>
      <c r="AJ64" s="514"/>
      <c r="AK64" s="167"/>
      <c r="AL64" s="168"/>
      <c r="AM64" s="514"/>
      <c r="AN64" s="167"/>
      <c r="AO64" s="168"/>
      <c r="AP64" s="514"/>
      <c r="AQ64" s="167"/>
      <c r="AR64" s="168"/>
      <c r="AS64" s="169"/>
      <c r="AT64" s="648"/>
      <c r="AU64" s="615"/>
      <c r="AV64" s="514"/>
      <c r="AW64" s="623">
        <v>61874.879999999997</v>
      </c>
      <c r="AX64" s="73" t="s">
        <v>1578</v>
      </c>
      <c r="AY64" s="71">
        <v>40000</v>
      </c>
      <c r="AZ64" s="75">
        <f t="shared" si="10"/>
        <v>21874.879999999997</v>
      </c>
      <c r="BA64" s="60"/>
      <c r="BB64" s="60"/>
    </row>
    <row r="65" spans="1:54" ht="15.75">
      <c r="A65" s="100">
        <v>1450012</v>
      </c>
      <c r="B65" s="662" t="s">
        <v>1649</v>
      </c>
      <c r="C65" s="101" t="s">
        <v>1613</v>
      </c>
      <c r="D65" s="102">
        <v>246</v>
      </c>
      <c r="E65" s="101" t="s">
        <v>1258</v>
      </c>
      <c r="F65" s="102">
        <v>4441</v>
      </c>
      <c r="G65" s="102">
        <v>33903913</v>
      </c>
      <c r="H65" s="487">
        <v>73</v>
      </c>
      <c r="I65" s="498"/>
      <c r="J65" s="589">
        <v>11551.51</v>
      </c>
      <c r="K65" s="576">
        <v>46081</v>
      </c>
      <c r="L65" s="581" t="s">
        <v>1475</v>
      </c>
      <c r="M65" s="597">
        <f>SUASE!X14</f>
        <v>107.54</v>
      </c>
      <c r="N65" s="594">
        <f>SUASE!AC13</f>
        <v>46101</v>
      </c>
      <c r="O65" s="578" t="str">
        <f>SUASE!AD13</f>
        <v>1450.01.0029224/2026-97</v>
      </c>
      <c r="P65" s="598">
        <f>SUASE!AI14</f>
        <v>107.54</v>
      </c>
      <c r="Q65" s="540">
        <f>SUASE!AN14</f>
        <v>46111</v>
      </c>
      <c r="R65" s="540" t="str">
        <f>SUASE!AO14</f>
        <v>1450.01.0052581/2026-55</v>
      </c>
      <c r="S65" s="537"/>
      <c r="T65" s="512"/>
      <c r="U65" s="514"/>
      <c r="V65" s="553"/>
      <c r="W65" s="528"/>
      <c r="X65" s="514"/>
      <c r="Y65" s="554"/>
      <c r="Z65" s="528"/>
      <c r="AA65" s="514"/>
      <c r="AB65" s="554"/>
      <c r="AC65" s="528"/>
      <c r="AD65" s="514"/>
      <c r="AE65" s="526"/>
      <c r="AF65" s="515"/>
      <c r="AG65" s="514"/>
      <c r="AH65" s="526"/>
      <c r="AI65" s="515"/>
      <c r="AJ65" s="514"/>
      <c r="AK65" s="526"/>
      <c r="AL65" s="515"/>
      <c r="AM65" s="514"/>
      <c r="AN65" s="526"/>
      <c r="AO65" s="168"/>
      <c r="AP65" s="514"/>
      <c r="AQ65" s="167"/>
      <c r="AR65" s="168"/>
      <c r="AS65" s="169"/>
      <c r="AT65" s="637"/>
      <c r="AU65" s="556"/>
      <c r="AV65" s="514"/>
      <c r="AW65" s="622">
        <v>611.55999999999995</v>
      </c>
      <c r="AX65" s="73" t="s">
        <v>1578</v>
      </c>
      <c r="AY65" s="67">
        <v>97.11</v>
      </c>
      <c r="AZ65" s="107">
        <f>AW65-AY65</f>
        <v>514.44999999999993</v>
      </c>
      <c r="BA65" s="60"/>
      <c r="BB65" s="60"/>
    </row>
    <row r="66" spans="1:54" ht="15.75">
      <c r="A66" s="100">
        <v>1450012</v>
      </c>
      <c r="B66" s="660" t="s">
        <v>1650</v>
      </c>
      <c r="C66" s="101" t="s">
        <v>780</v>
      </c>
      <c r="D66" s="102">
        <v>90</v>
      </c>
      <c r="E66" s="101" t="s">
        <v>781</v>
      </c>
      <c r="F66" s="102">
        <v>4441</v>
      </c>
      <c r="G66" s="102">
        <v>33903913</v>
      </c>
      <c r="H66" s="487">
        <v>86</v>
      </c>
      <c r="I66" s="498"/>
      <c r="J66" s="589">
        <v>97.11</v>
      </c>
      <c r="K66" s="576">
        <v>46037</v>
      </c>
      <c r="L66" s="581" t="s">
        <v>1482</v>
      </c>
      <c r="M66" s="597">
        <f>SUASE!X15</f>
        <v>11589.89</v>
      </c>
      <c r="N66" s="591">
        <f>SUASE!AC15</f>
        <v>46106</v>
      </c>
      <c r="O66" s="594" t="str">
        <f>SUASE!AD15</f>
        <v>1450.01.0052987/2026-54</v>
      </c>
      <c r="P66" s="598">
        <f>SUASE!AI15</f>
        <v>0</v>
      </c>
      <c r="Q66" s="540">
        <f>SUASE!AN15</f>
        <v>46142</v>
      </c>
      <c r="R66" s="540">
        <f>SUASE!AO15</f>
        <v>0</v>
      </c>
      <c r="S66" s="509"/>
      <c r="T66" s="512"/>
      <c r="U66" s="514"/>
      <c r="V66" s="511"/>
      <c r="W66" s="528"/>
      <c r="X66" s="514"/>
      <c r="Y66" s="167"/>
      <c r="Z66" s="515"/>
      <c r="AA66" s="514"/>
      <c r="AB66" s="167"/>
      <c r="AC66" s="515"/>
      <c r="AD66" s="514"/>
      <c r="AE66" s="167"/>
      <c r="AF66" s="168"/>
      <c r="AG66" s="514"/>
      <c r="AH66" s="167"/>
      <c r="AI66" s="168"/>
      <c r="AJ66" s="514"/>
      <c r="AK66" s="167"/>
      <c r="AL66" s="168"/>
      <c r="AM66" s="514"/>
      <c r="AN66" s="167"/>
      <c r="AO66" s="168"/>
      <c r="AP66" s="514"/>
      <c r="AQ66" s="167"/>
      <c r="AR66" s="168"/>
      <c r="AS66" s="169"/>
      <c r="AT66" s="637"/>
      <c r="AU66" s="556"/>
      <c r="AV66" s="514"/>
      <c r="AW66" s="622">
        <v>0</v>
      </c>
      <c r="AX66" s="73" t="s">
        <v>1569</v>
      </c>
      <c r="AY66" s="104">
        <v>0</v>
      </c>
      <c r="AZ66" s="105">
        <f t="shared" si="10"/>
        <v>0</v>
      </c>
      <c r="BA66" s="106"/>
      <c r="BB66" s="60"/>
    </row>
    <row r="67" spans="1:54" ht="27">
      <c r="A67" s="113">
        <v>1450015</v>
      </c>
      <c r="B67" s="663" t="s">
        <v>1651</v>
      </c>
      <c r="C67" s="114" t="s">
        <v>169</v>
      </c>
      <c r="D67" s="115">
        <v>452</v>
      </c>
      <c r="E67" s="114" t="s">
        <v>170</v>
      </c>
      <c r="F67" s="115">
        <v>4378</v>
      </c>
      <c r="G67" s="115">
        <v>1</v>
      </c>
      <c r="H67" s="116">
        <v>21</v>
      </c>
      <c r="I67" s="498"/>
      <c r="J67" s="668">
        <v>71621.539999999994</v>
      </c>
      <c r="K67" s="576">
        <v>46063</v>
      </c>
      <c r="L67" s="581" t="s">
        <v>1490</v>
      </c>
      <c r="M67" s="595">
        <f>SUINT!Z5+SUINT!Z6+SUINT!Z7+SUINT!Z8+SUINT!Z9+SUINT!Z10+SUINT!Z11+SUINT!Z12+SUINT!Z13+SUINT!Z14+SUINT!Z15</f>
        <v>51408.940000000017</v>
      </c>
      <c r="N67" s="594">
        <f>SUINT!AE5</f>
        <v>46091</v>
      </c>
      <c r="O67" s="578" t="str">
        <f>SUINT!AF5</f>
        <v>1450.01.0034751/2026-54</v>
      </c>
      <c r="P67" s="549">
        <f>SUINT!AK5+SUINT!AK6+SUINT!AK7+SUINT!AK8+SUINT!AK9+SUINT!AK10+SUINT!AK11+SUINT!AK12+SUINT!AK13+SUINT!AK14+SUINT!AK15</f>
        <v>53257.17</v>
      </c>
      <c r="Q67" s="540">
        <f>SUINT!AP5</f>
        <v>46122</v>
      </c>
      <c r="R67" s="540" t="str">
        <f>SUINT!AF5</f>
        <v>1450.01.0034751/2026-54</v>
      </c>
      <c r="S67" s="549"/>
      <c r="T67" s="540"/>
      <c r="U67" s="541"/>
      <c r="V67" s="550"/>
      <c r="W67" s="544"/>
      <c r="X67" s="541"/>
      <c r="Y67" s="543"/>
      <c r="Z67" s="544"/>
      <c r="AA67" s="541"/>
      <c r="AB67" s="543"/>
      <c r="AC67" s="544"/>
      <c r="AD67" s="541"/>
      <c r="AE67" s="543"/>
      <c r="AF67" s="168"/>
      <c r="AG67" s="541"/>
      <c r="AH67" s="543"/>
      <c r="AI67" s="168"/>
      <c r="AJ67" s="541"/>
      <c r="AK67" s="543"/>
      <c r="AL67" s="168"/>
      <c r="AM67" s="541"/>
      <c r="AN67" s="543"/>
      <c r="AO67" s="168"/>
      <c r="AP67" s="541"/>
      <c r="AQ67" s="543"/>
      <c r="AR67" s="168"/>
      <c r="AS67" s="619"/>
      <c r="AT67" s="640"/>
      <c r="AU67" s="556"/>
      <c r="AV67" s="541"/>
      <c r="AW67" s="628">
        <v>74852.02</v>
      </c>
      <c r="AX67" s="555" t="s">
        <v>1578</v>
      </c>
      <c r="AY67" s="117">
        <v>71621.539999999994</v>
      </c>
      <c r="AZ67" s="75">
        <f t="shared" ref="AZ67:AZ72" si="11">AW67-AY67</f>
        <v>3230.4800000000105</v>
      </c>
      <c r="BA67" s="60"/>
      <c r="BB67" s="60"/>
    </row>
    <row r="68" spans="1:54" ht="27">
      <c r="A68" s="113">
        <v>1450015</v>
      </c>
      <c r="B68" s="664" t="s">
        <v>1652</v>
      </c>
      <c r="C68" s="114" t="s">
        <v>780</v>
      </c>
      <c r="D68" s="115">
        <v>470</v>
      </c>
      <c r="E68" s="114" t="s">
        <v>781</v>
      </c>
      <c r="F68" s="115">
        <v>4378</v>
      </c>
      <c r="G68" s="115">
        <v>33903913</v>
      </c>
      <c r="H68" s="116">
        <v>24</v>
      </c>
      <c r="I68" s="498"/>
      <c r="J68" s="589">
        <v>3074.4</v>
      </c>
      <c r="K68" s="576">
        <v>46081</v>
      </c>
      <c r="L68" s="581" t="s">
        <v>1525</v>
      </c>
      <c r="M68" s="595">
        <f>SUINT!Z16+SUINT!Z17</f>
        <v>3897.61</v>
      </c>
      <c r="N68" s="591">
        <f>SUINT!AE16</f>
        <v>46111</v>
      </c>
      <c r="O68" s="594" t="str">
        <f>SUINT!AF16</f>
        <v>1450.01.0053011/2026-85</v>
      </c>
      <c r="P68" s="549">
        <f>SUINT!AK16+SUINT!AK17</f>
        <v>0</v>
      </c>
      <c r="Q68" s="540">
        <f>SUINT!AP16</f>
        <v>46142</v>
      </c>
      <c r="R68" s="540">
        <f>SUINT!AQ16</f>
        <v>0</v>
      </c>
      <c r="S68" s="549"/>
      <c r="T68" s="540"/>
      <c r="U68" s="541"/>
      <c r="V68" s="550"/>
      <c r="W68" s="544"/>
      <c r="X68" s="541"/>
      <c r="Y68" s="543"/>
      <c r="Z68" s="168"/>
      <c r="AA68" s="541"/>
      <c r="AB68" s="543"/>
      <c r="AC68" s="168"/>
      <c r="AD68" s="541"/>
      <c r="AE68" s="543"/>
      <c r="AF68" s="168"/>
      <c r="AG68" s="541"/>
      <c r="AH68" s="543"/>
      <c r="AI68" s="168"/>
      <c r="AJ68" s="541"/>
      <c r="AK68" s="543"/>
      <c r="AL68" s="168"/>
      <c r="AM68" s="541"/>
      <c r="AN68" s="543"/>
      <c r="AO68" s="168"/>
      <c r="AP68" s="541"/>
      <c r="AQ68" s="543"/>
      <c r="AR68" s="168"/>
      <c r="AS68" s="619"/>
      <c r="AT68" s="649"/>
      <c r="AU68" s="556"/>
      <c r="AV68" s="541"/>
      <c r="AW68" s="622">
        <v>0</v>
      </c>
      <c r="AX68" s="73" t="s">
        <v>1569</v>
      </c>
      <c r="AY68" s="67">
        <v>0</v>
      </c>
      <c r="AZ68" s="75">
        <f t="shared" si="11"/>
        <v>0</v>
      </c>
      <c r="BA68" s="60"/>
      <c r="BB68" s="60"/>
    </row>
    <row r="69" spans="1:54" ht="15.75">
      <c r="A69" s="118">
        <v>1450015</v>
      </c>
      <c r="B69" s="665" t="s">
        <v>1653</v>
      </c>
      <c r="C69" s="119" t="s">
        <v>1575</v>
      </c>
      <c r="D69" s="120">
        <v>473</v>
      </c>
      <c r="E69" s="119" t="s">
        <v>891</v>
      </c>
      <c r="F69" s="120">
        <v>4378</v>
      </c>
      <c r="G69" s="120">
        <v>33903913</v>
      </c>
      <c r="H69" s="488">
        <v>20</v>
      </c>
      <c r="I69" s="498"/>
      <c r="J69" s="589">
        <v>1900.26</v>
      </c>
      <c r="K69" s="576">
        <v>46039</v>
      </c>
      <c r="L69" s="581" t="s">
        <v>1534</v>
      </c>
      <c r="M69" s="166">
        <f>SUINT!Z18</f>
        <v>2504.27</v>
      </c>
      <c r="N69" s="594">
        <f>SUINT!AE18</f>
        <v>46069</v>
      </c>
      <c r="O69" s="578" t="str">
        <f>SUINT!AF18</f>
        <v>1450.01.0016461/2026-57</v>
      </c>
      <c r="P69" s="509">
        <f>SUINT!AK18</f>
        <v>2331.6999999999998</v>
      </c>
      <c r="Q69" s="652">
        <f>SUINT!AP18</f>
        <v>46097</v>
      </c>
      <c r="R69" s="512" t="str">
        <f>SUINT!AQ18</f>
        <v>1450.01.0038401/2026-56</v>
      </c>
      <c r="S69" s="509"/>
      <c r="T69" s="540"/>
      <c r="U69" s="514"/>
      <c r="V69" s="511"/>
      <c r="W69" s="544"/>
      <c r="X69" s="514"/>
      <c r="Y69" s="526"/>
      <c r="Z69" s="544"/>
      <c r="AA69" s="514"/>
      <c r="AB69" s="167"/>
      <c r="AC69" s="544"/>
      <c r="AD69" s="514"/>
      <c r="AE69" s="167"/>
      <c r="AF69" s="515"/>
      <c r="AG69" s="514"/>
      <c r="AH69" s="167"/>
      <c r="AI69" s="168"/>
      <c r="AJ69" s="514"/>
      <c r="AK69" s="167"/>
      <c r="AL69" s="168"/>
      <c r="AM69" s="514"/>
      <c r="AN69" s="167"/>
      <c r="AO69" s="168"/>
      <c r="AP69" s="514"/>
      <c r="AQ69" s="167"/>
      <c r="AR69" s="168"/>
      <c r="AS69" s="169"/>
      <c r="AT69" s="637"/>
      <c r="AU69" s="556"/>
      <c r="AV69" s="514"/>
      <c r="AW69" s="622">
        <v>0</v>
      </c>
      <c r="AX69" s="73" t="s">
        <v>1569</v>
      </c>
      <c r="AY69" s="67">
        <v>0</v>
      </c>
      <c r="AZ69" s="75">
        <f t="shared" si="11"/>
        <v>0</v>
      </c>
      <c r="BA69" s="60"/>
      <c r="BB69" s="60"/>
    </row>
    <row r="70" spans="1:54" ht="15.75">
      <c r="A70" s="118">
        <v>1450015</v>
      </c>
      <c r="B70" s="664" t="s">
        <v>1654</v>
      </c>
      <c r="C70" s="119" t="s">
        <v>930</v>
      </c>
      <c r="D70" s="120">
        <v>453</v>
      </c>
      <c r="E70" s="119" t="s">
        <v>931</v>
      </c>
      <c r="F70" s="120">
        <v>4378</v>
      </c>
      <c r="G70" s="120">
        <v>33903913</v>
      </c>
      <c r="H70" s="488">
        <v>19</v>
      </c>
      <c r="I70" s="498"/>
      <c r="J70" s="589">
        <v>5039</v>
      </c>
      <c r="K70" s="576">
        <v>46021</v>
      </c>
      <c r="L70" s="581" t="s">
        <v>1542</v>
      </c>
      <c r="M70" s="166">
        <f>SUINT!Z19</f>
        <v>4414.33</v>
      </c>
      <c r="N70" s="594">
        <f>SUINT!AE19</f>
        <v>46052</v>
      </c>
      <c r="O70" s="578" t="str">
        <f>SUINT!AF19</f>
        <v>1450.01.0016387/2026-18</v>
      </c>
      <c r="P70" s="509">
        <f>SUINT!AK19</f>
        <v>3994.95</v>
      </c>
      <c r="Q70" s="512">
        <f>SUINT!AP19</f>
        <v>46076</v>
      </c>
      <c r="R70" s="512" t="str">
        <f>SUINT!AQ19</f>
        <v>1450.01.0039713/2026-37</v>
      </c>
      <c r="S70" s="509"/>
      <c r="T70" s="540"/>
      <c r="U70" s="541"/>
      <c r="V70" s="511"/>
      <c r="W70" s="556"/>
      <c r="X70" s="541"/>
      <c r="Y70" s="167"/>
      <c r="Z70" s="515"/>
      <c r="AA70" s="541"/>
      <c r="AB70" s="167"/>
      <c r="AC70" s="544"/>
      <c r="AD70" s="541"/>
      <c r="AE70" s="167"/>
      <c r="AF70" s="515"/>
      <c r="AG70" s="541"/>
      <c r="AH70" s="167"/>
      <c r="AI70" s="168"/>
      <c r="AJ70" s="541"/>
      <c r="AK70" s="167"/>
      <c r="AL70" s="515"/>
      <c r="AM70" s="541"/>
      <c r="AN70" s="536"/>
      <c r="AO70" s="168"/>
      <c r="AP70" s="541"/>
      <c r="AQ70" s="167"/>
      <c r="AR70" s="168"/>
      <c r="AS70" s="619"/>
      <c r="AT70" s="637"/>
      <c r="AU70" s="556"/>
      <c r="AV70" s="541"/>
      <c r="AW70" s="625">
        <v>0</v>
      </c>
      <c r="AX70" s="121" t="s">
        <v>1578</v>
      </c>
      <c r="AY70" s="112">
        <v>0</v>
      </c>
      <c r="AZ70" s="75">
        <f t="shared" si="11"/>
        <v>0</v>
      </c>
      <c r="BA70" s="60"/>
      <c r="BB70" s="60"/>
    </row>
    <row r="71" spans="1:54" ht="27">
      <c r="A71" s="113">
        <v>1450015</v>
      </c>
      <c r="B71" s="663" t="s">
        <v>1655</v>
      </c>
      <c r="C71" s="114" t="s">
        <v>1648</v>
      </c>
      <c r="D71" s="115">
        <v>453</v>
      </c>
      <c r="E71" s="114" t="s">
        <v>931</v>
      </c>
      <c r="F71" s="115">
        <v>4378</v>
      </c>
      <c r="G71" s="115">
        <v>33903913</v>
      </c>
      <c r="H71" s="488">
        <v>22</v>
      </c>
      <c r="I71" s="498">
        <v>23</v>
      </c>
      <c r="J71" s="589">
        <v>11492.76</v>
      </c>
      <c r="K71" s="576"/>
      <c r="L71" s="599" t="s">
        <v>1551</v>
      </c>
      <c r="M71" s="582">
        <f>SUINT!Z20+SUINT!Z21</f>
        <v>23995.66</v>
      </c>
      <c r="N71" s="594">
        <f>SUINT!AE20</f>
        <v>46112</v>
      </c>
      <c r="O71" s="578" t="str">
        <f>SUINT!AF20</f>
        <v>1450.01.0034763/2026-21</v>
      </c>
      <c r="P71" s="509">
        <f>SUINT!AK20+SUINT!AK21</f>
        <v>10158.02</v>
      </c>
      <c r="Q71" s="512">
        <f>SUINT!AP20</f>
        <v>46140</v>
      </c>
      <c r="R71" s="512" t="str">
        <f>SUINT!AQ20</f>
        <v>1450.01.0054974/2026-46</v>
      </c>
      <c r="S71" s="509"/>
      <c r="T71" s="540"/>
      <c r="U71" s="541"/>
      <c r="V71" s="511"/>
      <c r="W71" s="556"/>
      <c r="X71" s="541"/>
      <c r="Y71" s="167"/>
      <c r="Z71" s="515"/>
      <c r="AA71" s="541"/>
      <c r="AB71" s="167"/>
      <c r="AC71" s="544"/>
      <c r="AD71" s="541"/>
      <c r="AE71" s="167"/>
      <c r="AF71" s="515"/>
      <c r="AG71" s="541"/>
      <c r="AH71" s="167"/>
      <c r="AI71" s="168"/>
      <c r="AJ71" s="541"/>
      <c r="AK71" s="167"/>
      <c r="AL71" s="515"/>
      <c r="AM71" s="541"/>
      <c r="AN71" s="167"/>
      <c r="AO71" s="168"/>
      <c r="AP71" s="541"/>
      <c r="AQ71" s="167"/>
      <c r="AR71" s="168"/>
      <c r="AS71" s="619"/>
      <c r="AT71" s="637"/>
      <c r="AU71" s="556"/>
      <c r="AV71" s="541"/>
      <c r="AW71" s="629">
        <v>116875</v>
      </c>
      <c r="AX71" s="557"/>
      <c r="AY71" s="558">
        <f>(AN71+AQ71+AT71)/3</f>
        <v>0</v>
      </c>
      <c r="AZ71" s="75">
        <f t="shared" si="11"/>
        <v>116875</v>
      </c>
      <c r="BA71" s="60"/>
      <c r="BB71" s="60"/>
    </row>
    <row r="72" spans="1:54" ht="27">
      <c r="A72" s="122">
        <v>1450005</v>
      </c>
      <c r="B72" s="123" t="s">
        <v>1656</v>
      </c>
      <c r="C72" s="124" t="s">
        <v>1648</v>
      </c>
      <c r="D72" s="125">
        <v>1003</v>
      </c>
      <c r="E72" s="124" t="s">
        <v>940</v>
      </c>
      <c r="F72" s="125">
        <v>4353</v>
      </c>
      <c r="G72" s="125">
        <v>33903913</v>
      </c>
      <c r="H72" s="126">
        <v>175</v>
      </c>
      <c r="I72" s="499">
        <v>318</v>
      </c>
      <c r="J72" s="880">
        <v>55</v>
      </c>
      <c r="K72" s="600">
        <v>46042</v>
      </c>
      <c r="L72" s="601" t="s">
        <v>1406</v>
      </c>
      <c r="M72" s="836">
        <f>DIVERSAS!X81</f>
        <v>94</v>
      </c>
      <c r="N72" s="602">
        <f>DIVERSAS!AC81</f>
        <v>46073</v>
      </c>
      <c r="O72" s="603" t="str">
        <f>DIVERSAS!AD81</f>
        <v>1450.01.0022694/2026-61</v>
      </c>
      <c r="P72" s="837">
        <f>DIVERSAS!AI81</f>
        <v>55.6</v>
      </c>
      <c r="Q72" s="604">
        <f>DIVERSAS!AN81</f>
        <v>46101</v>
      </c>
      <c r="R72" s="605" t="str">
        <f>DIVERSAS!AO81</f>
        <v>1450.01.0044612/2026-72</v>
      </c>
      <c r="S72" s="559"/>
      <c r="T72" s="560"/>
      <c r="U72" s="561"/>
      <c r="V72" s="562"/>
      <c r="W72" s="563"/>
      <c r="X72" s="561"/>
      <c r="Y72" s="564"/>
      <c r="Z72" s="565"/>
      <c r="AA72" s="561"/>
      <c r="AB72" s="566"/>
      <c r="AC72" s="565"/>
      <c r="AD72" s="561"/>
      <c r="AE72" s="566"/>
      <c r="AF72" s="565"/>
      <c r="AG72" s="561"/>
      <c r="AH72" s="564"/>
      <c r="AI72" s="565"/>
      <c r="AJ72" s="561"/>
      <c r="AK72" s="566"/>
      <c r="AL72" s="565"/>
      <c r="AM72" s="561"/>
      <c r="AN72" s="566"/>
      <c r="AO72" s="168"/>
      <c r="AP72" s="561"/>
      <c r="AQ72" s="567"/>
      <c r="AR72" s="565"/>
      <c r="AS72" s="620"/>
      <c r="AT72" s="650"/>
      <c r="AU72" s="651"/>
      <c r="AV72" s="561"/>
      <c r="AW72" s="630">
        <v>2332.77</v>
      </c>
      <c r="AX72" s="568" t="s">
        <v>1578</v>
      </c>
      <c r="AY72" s="127">
        <v>55</v>
      </c>
      <c r="AZ72" s="75">
        <f t="shared" si="11"/>
        <v>2277.77</v>
      </c>
      <c r="BA72" s="60"/>
      <c r="BB72" s="60"/>
    </row>
    <row r="73" spans="1:54">
      <c r="A73" s="128" t="s">
        <v>1657</v>
      </c>
      <c r="B73" s="129" t="s">
        <v>1658</v>
      </c>
      <c r="C73" s="130" t="s">
        <v>1657</v>
      </c>
      <c r="D73" s="131" t="s">
        <v>1657</v>
      </c>
      <c r="E73" s="132"/>
      <c r="F73" s="131" t="s">
        <v>1657</v>
      </c>
      <c r="G73" s="131" t="s">
        <v>1657</v>
      </c>
      <c r="H73" s="133" t="s">
        <v>1657</v>
      </c>
      <c r="I73" s="134"/>
      <c r="J73" s="569">
        <f>SUM(J2:J72)</f>
        <v>12549762.539999995</v>
      </c>
      <c r="K73" s="606"/>
      <c r="L73" s="607"/>
      <c r="M73" s="570">
        <f>SUM(M2:M72)</f>
        <v>13078080.389999997</v>
      </c>
      <c r="N73" s="608">
        <f>(M73-J73)/J73</f>
        <v>4.20978363786636E-2</v>
      </c>
      <c r="O73" s="609"/>
      <c r="P73" s="570" t="e">
        <f>SUM(P2:P72)</f>
        <v>#REF!</v>
      </c>
      <c r="Q73" s="608" t="e">
        <f>(P73-M73)/M73</f>
        <v>#REF!</v>
      </c>
      <c r="R73" s="609"/>
      <c r="S73" s="570">
        <f>SUM(S2:S72)</f>
        <v>1478187.09</v>
      </c>
      <c r="T73" s="610" t="e">
        <f>(S73-P73)/P73</f>
        <v>#REF!</v>
      </c>
      <c r="U73" s="609"/>
      <c r="V73" s="571">
        <f>SUM(V2:V72)</f>
        <v>0</v>
      </c>
      <c r="W73" s="611">
        <f>(V73-S73)/S73</f>
        <v>-1</v>
      </c>
      <c r="X73" s="609"/>
      <c r="Y73" s="571">
        <f>SUM(Y2:Y72)</f>
        <v>0</v>
      </c>
      <c r="Z73" s="612" t="e">
        <f>(Y73-V73)/V73</f>
        <v>#DIV/0!</v>
      </c>
      <c r="AA73" s="609"/>
      <c r="AB73" s="571">
        <f>SUM(AB2:AB72)</f>
        <v>0</v>
      </c>
      <c r="AC73" s="612" t="e">
        <f>(AB73-Y73)/Y73</f>
        <v>#DIV/0!</v>
      </c>
      <c r="AD73" s="609"/>
      <c r="AE73" s="571">
        <f>SUM(AE2:AE72)</f>
        <v>0</v>
      </c>
      <c r="AF73" s="612" t="e">
        <f>(AE73-AB73)/AB73</f>
        <v>#DIV/0!</v>
      </c>
      <c r="AG73" s="609"/>
      <c r="AH73" s="571">
        <f>SUM(AH2:AH72)</f>
        <v>0</v>
      </c>
      <c r="AI73" s="612" t="e">
        <f>(AH73-AE73)/AE73</f>
        <v>#DIV/0!</v>
      </c>
      <c r="AJ73" s="609"/>
      <c r="AK73" s="571">
        <f>SUM(AK2:AK72)</f>
        <v>0</v>
      </c>
      <c r="AL73" s="612" t="e">
        <f>(AK73-AH73)/AH73</f>
        <v>#DIV/0!</v>
      </c>
      <c r="AM73" s="609"/>
      <c r="AN73" s="571">
        <f>SUM(AN2:AN72)</f>
        <v>0</v>
      </c>
      <c r="AO73" s="612" t="e">
        <f>(AN73-AK73)/AK73</f>
        <v>#DIV/0!</v>
      </c>
      <c r="AP73" s="609"/>
      <c r="AQ73" s="571">
        <f>SUM(AQ2:AQ72)</f>
        <v>0</v>
      </c>
      <c r="AR73" s="611" t="e">
        <f>(AQ73-AN73)/AN73</f>
        <v>#DIV/0!</v>
      </c>
      <c r="AS73" s="609"/>
      <c r="AT73" s="569">
        <f>SUM(AT2:AT72)</f>
        <v>0</v>
      </c>
      <c r="AU73" s="606" t="e">
        <f>(AT73-AQ73)/AQ73</f>
        <v>#DIV/0!</v>
      </c>
      <c r="AV73" s="609"/>
      <c r="AW73" s="613"/>
      <c r="AX73" s="572">
        <f>SUM(AX2:AX72)</f>
        <v>0</v>
      </c>
      <c r="AY73" s="573">
        <f>SUM(AY2:AY72)</f>
        <v>10420299.749999998</v>
      </c>
      <c r="AZ73" s="574">
        <f>SUM(AZ2:AZ72)</f>
        <v>955925.72000000079</v>
      </c>
      <c r="BA73" s="135"/>
      <c r="BB73" s="135"/>
    </row>
    <row r="74" spans="1:54">
      <c r="A74" s="106"/>
      <c r="B74" s="106"/>
      <c r="C74" s="106"/>
      <c r="D74" s="136"/>
      <c r="E74" s="106"/>
      <c r="F74" s="136"/>
      <c r="G74" s="136"/>
      <c r="H74" s="136"/>
      <c r="I74" s="60"/>
      <c r="J74" s="137" t="s">
        <v>1659</v>
      </c>
      <c r="K74" s="106"/>
      <c r="L74" s="106"/>
      <c r="M74" s="138" t="e">
        <f>M73-M75-M76-M77-M78</f>
        <v>#REF!</v>
      </c>
      <c r="N74" s="106"/>
      <c r="O74" s="106"/>
      <c r="P74" s="138" t="e">
        <f>P73-P75-P76-P77-P78</f>
        <v>#REF!</v>
      </c>
      <c r="Q74" s="106"/>
      <c r="R74" s="106"/>
      <c r="S74" s="138" t="e">
        <f>S73-S75-S76-S77-S78</f>
        <v>#REF!</v>
      </c>
      <c r="T74" s="106"/>
      <c r="U74" s="106"/>
      <c r="V74" s="138">
        <f>V73-V75-V76-V77-V78</f>
        <v>0</v>
      </c>
      <c r="W74" s="106"/>
      <c r="X74" s="106"/>
      <c r="Y74" s="138">
        <f>Y73-Y75-Y76-Y77-Y78</f>
        <v>0</v>
      </c>
      <c r="Z74" s="106"/>
      <c r="AA74" s="106"/>
      <c r="AB74" s="138">
        <f>AB73-AB75-AB76-AB77-AB78</f>
        <v>0</v>
      </c>
      <c r="AC74" s="106"/>
      <c r="AD74" s="106"/>
      <c r="AE74" s="138">
        <f>AE73-AE75-AE76-AE77-AE78</f>
        <v>0</v>
      </c>
      <c r="AF74" s="106"/>
      <c r="AG74" s="106"/>
      <c r="AH74" s="138">
        <f>AH73-AH75-AH76-AH77-AH78</f>
        <v>0</v>
      </c>
      <c r="AI74" s="106"/>
      <c r="AJ74" s="106"/>
      <c r="AK74" s="138">
        <f>AK73-AK75-AK76-AK77-AK78</f>
        <v>0</v>
      </c>
      <c r="AL74" s="106"/>
      <c r="AM74" s="106"/>
      <c r="AN74" s="138">
        <f>AN73-AN75-AN76-AN77-AN78</f>
        <v>0</v>
      </c>
      <c r="AO74" s="106"/>
      <c r="AP74" s="106"/>
      <c r="AQ74" s="138">
        <f>AQ73-AQ75-AQ76-AQ77-AQ78</f>
        <v>0</v>
      </c>
      <c r="AR74" s="106"/>
      <c r="AS74" s="106"/>
      <c r="AT74" s="138">
        <f>AT73-AT75-AT76-AT77-AT78</f>
        <v>0</v>
      </c>
      <c r="AU74" s="106"/>
      <c r="AV74" s="106"/>
      <c r="AW74" s="138" t="e">
        <f>SUM(M74:AT74)</f>
        <v>#REF!</v>
      </c>
      <c r="AX74" s="106"/>
      <c r="AY74" s="106"/>
      <c r="AZ74" s="106"/>
      <c r="BA74" s="60"/>
      <c r="BB74" s="60"/>
    </row>
    <row r="75" spans="1:54">
      <c r="A75" s="106"/>
      <c r="B75" s="106"/>
      <c r="C75" s="106"/>
      <c r="D75" s="136"/>
      <c r="E75" s="106"/>
      <c r="F75" s="136"/>
      <c r="G75" s="136"/>
      <c r="H75" s="136"/>
      <c r="I75" s="60"/>
      <c r="J75" s="137" t="s">
        <v>1660</v>
      </c>
      <c r="K75" s="106"/>
      <c r="L75" s="106"/>
      <c r="M75" s="138">
        <f>M53</f>
        <v>9483998.2200000007</v>
      </c>
      <c r="N75" s="106"/>
      <c r="O75" s="106"/>
      <c r="P75" s="138">
        <f>P53</f>
        <v>8722803.5500000045</v>
      </c>
      <c r="Q75" s="106"/>
      <c r="R75" s="106"/>
      <c r="S75" s="138">
        <f>S53</f>
        <v>0</v>
      </c>
      <c r="T75" s="106"/>
      <c r="U75" s="106"/>
      <c r="V75" s="138">
        <f>V53</f>
        <v>0</v>
      </c>
      <c r="W75" s="106"/>
      <c r="X75" s="106"/>
      <c r="Y75" s="138">
        <f>Y53</f>
        <v>0</v>
      </c>
      <c r="Z75" s="106"/>
      <c r="AA75" s="106"/>
      <c r="AB75" s="138">
        <f>AB53</f>
        <v>0</v>
      </c>
      <c r="AC75" s="106"/>
      <c r="AD75" s="106"/>
      <c r="AE75" s="138">
        <f>AE53</f>
        <v>0</v>
      </c>
      <c r="AF75" s="106"/>
      <c r="AG75" s="106"/>
      <c r="AH75" s="138">
        <f>AH53</f>
        <v>0</v>
      </c>
      <c r="AI75" s="106"/>
      <c r="AJ75" s="106"/>
      <c r="AK75" s="138">
        <f>AK53</f>
        <v>0</v>
      </c>
      <c r="AL75" s="106"/>
      <c r="AM75" s="106"/>
      <c r="AN75" s="138">
        <f>AN53</f>
        <v>0</v>
      </c>
      <c r="AO75" s="106"/>
      <c r="AP75" s="106"/>
      <c r="AQ75" s="138">
        <f>AQ53</f>
        <v>0</v>
      </c>
      <c r="AR75" s="106"/>
      <c r="AS75" s="106"/>
      <c r="AT75" s="138">
        <f>AT53</f>
        <v>0</v>
      </c>
      <c r="AU75" s="106"/>
      <c r="AV75" s="106"/>
      <c r="AW75" s="138">
        <f>SUM(M75:AT75)</f>
        <v>18206801.770000003</v>
      </c>
      <c r="AX75" s="106"/>
      <c r="AY75" s="106"/>
      <c r="AZ75" s="106"/>
      <c r="BA75" s="60"/>
      <c r="BB75" s="60"/>
    </row>
    <row r="76" spans="1:54">
      <c r="A76" s="106"/>
      <c r="B76" s="106"/>
      <c r="C76" s="106"/>
      <c r="D76" s="136"/>
      <c r="E76" s="106"/>
      <c r="F76" s="136"/>
      <c r="G76" s="136"/>
      <c r="H76" s="136"/>
      <c r="I76" s="60"/>
      <c r="J76" s="137" t="s">
        <v>1661</v>
      </c>
      <c r="K76" s="106"/>
      <c r="L76" s="106"/>
      <c r="M76" s="138" t="e">
        <f>M56+M57+#REF!</f>
        <v>#REF!</v>
      </c>
      <c r="N76" s="106"/>
      <c r="O76" s="106"/>
      <c r="P76" s="138" t="e">
        <f>P56+P57+#REF!</f>
        <v>#REF!</v>
      </c>
      <c r="Q76" s="106"/>
      <c r="R76" s="106"/>
      <c r="S76" s="138" t="e">
        <f>S56+S57+#REF!</f>
        <v>#REF!</v>
      </c>
      <c r="T76" s="106"/>
      <c r="U76" s="106"/>
      <c r="V76" s="138">
        <f>V56+V57</f>
        <v>0</v>
      </c>
      <c r="W76" s="106"/>
      <c r="X76" s="106"/>
      <c r="Y76" s="138">
        <f>Y56+Y57</f>
        <v>0</v>
      </c>
      <c r="Z76" s="106"/>
      <c r="AA76" s="106"/>
      <c r="AB76" s="138">
        <f>AB56+AB57</f>
        <v>0</v>
      </c>
      <c r="AC76" s="106"/>
      <c r="AD76" s="106"/>
      <c r="AE76" s="138">
        <f>AE56+AE57</f>
        <v>0</v>
      </c>
      <c r="AF76" s="106"/>
      <c r="AG76" s="106"/>
      <c r="AH76" s="138">
        <f>AH56+AH57</f>
        <v>0</v>
      </c>
      <c r="AI76" s="106"/>
      <c r="AJ76" s="106"/>
      <c r="AK76" s="138">
        <f>AK56+AK57</f>
        <v>0</v>
      </c>
      <c r="AL76" s="106"/>
      <c r="AM76" s="106"/>
      <c r="AN76" s="138">
        <f>AN56+AN57</f>
        <v>0</v>
      </c>
      <c r="AO76" s="106"/>
      <c r="AP76" s="106"/>
      <c r="AQ76" s="138">
        <f>AQ56+AQ57</f>
        <v>0</v>
      </c>
      <c r="AR76" s="106"/>
      <c r="AS76" s="106"/>
      <c r="AT76" s="138">
        <f>AT56+AT57</f>
        <v>0</v>
      </c>
      <c r="AU76" s="106"/>
      <c r="AV76" s="106"/>
      <c r="AW76" s="138" t="e">
        <f>SUM(M76:AT76)</f>
        <v>#REF!</v>
      </c>
      <c r="AX76" s="106"/>
      <c r="AY76" s="106"/>
      <c r="AZ76" s="106"/>
      <c r="BA76" s="60"/>
      <c r="BB76" s="60"/>
    </row>
    <row r="77" spans="1:54">
      <c r="A77" s="106"/>
      <c r="B77" s="106"/>
      <c r="C77" s="106"/>
      <c r="D77" s="136"/>
      <c r="E77" s="106"/>
      <c r="F77" s="136"/>
      <c r="G77" s="136"/>
      <c r="H77" s="136"/>
      <c r="I77" s="60"/>
      <c r="J77" s="137" t="s">
        <v>1662</v>
      </c>
      <c r="K77" s="106"/>
      <c r="L77" s="106"/>
      <c r="M77" s="138">
        <f>SUM(M62:M66)</f>
        <v>209192.07</v>
      </c>
      <c r="N77" s="106"/>
      <c r="O77" s="106"/>
      <c r="P77" s="138">
        <f>SUM(P62:P66)</f>
        <v>207387.99</v>
      </c>
      <c r="Q77" s="106"/>
      <c r="R77" s="106"/>
      <c r="S77" s="138">
        <f>SUM(S62:S66)</f>
        <v>0</v>
      </c>
      <c r="T77" s="106"/>
      <c r="U77" s="106"/>
      <c r="V77" s="138">
        <f>SUM(V62:V66)</f>
        <v>0</v>
      </c>
      <c r="W77" s="106"/>
      <c r="X77" s="106"/>
      <c r="Y77" s="138">
        <f>SUM(Y62:Y66)</f>
        <v>0</v>
      </c>
      <c r="Z77" s="106"/>
      <c r="AA77" s="106"/>
      <c r="AB77" s="138">
        <f>SUM(AB62:AB66)</f>
        <v>0</v>
      </c>
      <c r="AC77" s="106"/>
      <c r="AD77" s="106"/>
      <c r="AE77" s="138">
        <f>SUM(AE62:AE66)</f>
        <v>0</v>
      </c>
      <c r="AF77" s="106"/>
      <c r="AG77" s="106"/>
      <c r="AH77" s="138">
        <f>SUM(AH62:AH66)</f>
        <v>0</v>
      </c>
      <c r="AI77" s="106"/>
      <c r="AJ77" s="106"/>
      <c r="AK77" s="138">
        <f>SUM(AK62:AK66)</f>
        <v>0</v>
      </c>
      <c r="AL77" s="106"/>
      <c r="AM77" s="106"/>
      <c r="AN77" s="138">
        <f>SUM(AN62:AN66)</f>
        <v>0</v>
      </c>
      <c r="AO77" s="106"/>
      <c r="AP77" s="106"/>
      <c r="AQ77" s="138">
        <f>SUM(AQ62:AQ66)</f>
        <v>0</v>
      </c>
      <c r="AR77" s="106"/>
      <c r="AS77" s="106"/>
      <c r="AT77" s="138">
        <f>SUM(AT62:AT66)</f>
        <v>0</v>
      </c>
      <c r="AU77" s="106"/>
      <c r="AV77" s="106"/>
      <c r="AW77" s="138">
        <f>SUM(M77:AT77)</f>
        <v>416580.06</v>
      </c>
      <c r="AX77" s="106"/>
      <c r="AY77" s="106"/>
      <c r="AZ77" s="106"/>
      <c r="BA77" s="60"/>
      <c r="BB77" s="60"/>
    </row>
    <row r="78" spans="1:54">
      <c r="A78" s="106"/>
      <c r="B78" s="106"/>
      <c r="C78" s="106"/>
      <c r="D78" s="136"/>
      <c r="E78" s="106"/>
      <c r="F78" s="136"/>
      <c r="G78" s="136"/>
      <c r="H78" s="136"/>
      <c r="I78" s="60"/>
      <c r="J78" s="137" t="s">
        <v>1663</v>
      </c>
      <c r="K78" s="106"/>
      <c r="L78" s="106"/>
      <c r="M78" s="138">
        <f>SUM(M67:M71)</f>
        <v>86220.810000000012</v>
      </c>
      <c r="N78" s="106"/>
      <c r="O78" s="106"/>
      <c r="P78" s="138">
        <f>SUM(P67:P71)</f>
        <v>69741.84</v>
      </c>
      <c r="Q78" s="106"/>
      <c r="R78" s="106"/>
      <c r="S78" s="138">
        <f>SUM(S67:S71)</f>
        <v>0</v>
      </c>
      <c r="T78" s="106"/>
      <c r="U78" s="106"/>
      <c r="V78" s="138">
        <f>SUM(V67:V71)</f>
        <v>0</v>
      </c>
      <c r="W78" s="106"/>
      <c r="X78" s="106"/>
      <c r="Y78" s="138">
        <f>SUM(Y67:Y71)</f>
        <v>0</v>
      </c>
      <c r="Z78" s="106"/>
      <c r="AA78" s="106"/>
      <c r="AB78" s="138">
        <f>SUM(AB67:AB71)</f>
        <v>0</v>
      </c>
      <c r="AC78" s="106"/>
      <c r="AD78" s="106"/>
      <c r="AE78" s="138">
        <f>SUM(AE67:AE71)</f>
        <v>0</v>
      </c>
      <c r="AF78" s="106"/>
      <c r="AG78" s="106"/>
      <c r="AH78" s="138">
        <f>SUM(AH67:AH71)</f>
        <v>0</v>
      </c>
      <c r="AI78" s="106"/>
      <c r="AJ78" s="106"/>
      <c r="AK78" s="138">
        <f>SUM(AK67:AK71)</f>
        <v>0</v>
      </c>
      <c r="AL78" s="106"/>
      <c r="AM78" s="106"/>
      <c r="AN78" s="138">
        <f>SUM(AN67:AN71)</f>
        <v>0</v>
      </c>
      <c r="AO78" s="106"/>
      <c r="AP78" s="106"/>
      <c r="AQ78" s="138">
        <f>SUM(AQ67:AQ71)</f>
        <v>0</v>
      </c>
      <c r="AR78" s="106"/>
      <c r="AS78" s="106"/>
      <c r="AT78" s="138">
        <f>SUM(AT67:AT71)</f>
        <v>0</v>
      </c>
      <c r="AU78" s="106"/>
      <c r="AV78" s="106"/>
      <c r="AW78" s="138">
        <f>SUM(M78:AT78)</f>
        <v>155962.65000000002</v>
      </c>
      <c r="AX78" s="106"/>
      <c r="AY78" s="106"/>
      <c r="AZ78" s="106"/>
      <c r="BA78" s="60"/>
      <c r="BB78" s="60"/>
    </row>
    <row r="79" spans="1:54" ht="18.75" customHeight="1">
      <c r="A79" s="60"/>
      <c r="B79" s="978" t="s">
        <v>1664</v>
      </c>
      <c r="C79" s="978"/>
      <c r="D79" s="1251" t="s">
        <v>2</v>
      </c>
      <c r="E79" s="1252"/>
      <c r="F79" s="1253"/>
      <c r="G79" s="1252" t="s">
        <v>3</v>
      </c>
      <c r="H79" s="1252"/>
      <c r="I79" s="1252"/>
      <c r="J79" s="1252" t="s">
        <v>4</v>
      </c>
      <c r="K79" s="1252"/>
      <c r="L79" s="1252"/>
      <c r="M79" s="1252" t="s">
        <v>1665</v>
      </c>
      <c r="N79" s="1252"/>
      <c r="O79" s="1252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138">
        <f>SUM(M79:AT79)</f>
        <v>0</v>
      </c>
      <c r="AX79" s="60"/>
      <c r="AY79" s="60"/>
      <c r="AZ79" s="60"/>
      <c r="BA79" s="60"/>
      <c r="BB79" s="60"/>
    </row>
    <row r="80" spans="1:54" ht="15.75" customHeight="1">
      <c r="B80" s="978"/>
      <c r="C80" s="978"/>
      <c r="D80" s="846" t="s">
        <v>1666</v>
      </c>
      <c r="E80" s="847" t="s">
        <v>1667</v>
      </c>
      <c r="F80" s="848" t="s">
        <v>1668</v>
      </c>
      <c r="G80" s="849" t="s">
        <v>1666</v>
      </c>
      <c r="H80" s="847" t="s">
        <v>1667</v>
      </c>
      <c r="I80" s="848" t="s">
        <v>1668</v>
      </c>
      <c r="J80" s="849" t="s">
        <v>1666</v>
      </c>
      <c r="K80" s="847" t="s">
        <v>1667</v>
      </c>
      <c r="L80" s="847" t="s">
        <v>1668</v>
      </c>
      <c r="M80" s="849" t="s">
        <v>1666</v>
      </c>
      <c r="N80" s="847" t="s">
        <v>1667</v>
      </c>
      <c r="O80" s="847" t="s">
        <v>1668</v>
      </c>
      <c r="T80" s="60"/>
      <c r="U80" s="141"/>
      <c r="V80" s="60"/>
      <c r="W80" s="60"/>
      <c r="X80" s="141"/>
      <c r="Y80" s="60"/>
      <c r="Z80" s="60"/>
      <c r="AA80" s="141"/>
      <c r="AB80" s="60"/>
      <c r="AC80" s="60"/>
      <c r="AD80" s="141"/>
      <c r="AE80" s="60"/>
      <c r="AF80" s="60"/>
      <c r="AG80" s="141"/>
      <c r="AH80" s="60"/>
      <c r="AI80" s="60"/>
      <c r="AJ80" s="141"/>
      <c r="AK80" s="60"/>
      <c r="AL80" s="60"/>
      <c r="AM80" s="141"/>
      <c r="AN80" s="60"/>
      <c r="AO80" s="60"/>
      <c r="AP80" s="141"/>
      <c r="AQ80" s="60"/>
      <c r="AR80" s="60"/>
      <c r="AS80" s="141"/>
      <c r="AT80" s="60"/>
      <c r="AU80" s="60"/>
      <c r="AV80" s="141"/>
      <c r="AW80" s="60"/>
      <c r="AX80" s="60"/>
      <c r="AY80" s="60"/>
      <c r="AZ80" s="60"/>
      <c r="BA80" s="60"/>
      <c r="BB80" s="60"/>
    </row>
    <row r="81" spans="1:54" ht="18.75">
      <c r="B81" s="841">
        <v>1450012</v>
      </c>
      <c r="C81" s="842">
        <v>4441</v>
      </c>
      <c r="D81" s="843">
        <v>320000</v>
      </c>
      <c r="E81" s="844">
        <f>240000+8000</f>
        <v>248000</v>
      </c>
      <c r="F81" s="850">
        <f>M62+M63+M64+M65+M66</f>
        <v>209192.07</v>
      </c>
      <c r="G81" s="844">
        <v>350000</v>
      </c>
      <c r="H81" s="851">
        <v>350000</v>
      </c>
      <c r="I81" s="845">
        <f>P62+P63+P64+P65+P66</f>
        <v>207387.99</v>
      </c>
      <c r="J81" s="844">
        <v>400000</v>
      </c>
      <c r="K81" s="844">
        <v>132683.89000000001</v>
      </c>
      <c r="L81" s="852"/>
      <c r="M81" s="844">
        <f>J81*3</f>
        <v>1200000</v>
      </c>
      <c r="N81" s="844"/>
      <c r="O81" s="852"/>
      <c r="T81" s="60"/>
      <c r="U81" s="140"/>
      <c r="V81" s="60"/>
      <c r="W81" s="60"/>
      <c r="X81" s="140"/>
      <c r="Y81" s="60"/>
      <c r="Z81" s="60"/>
      <c r="AA81" s="140"/>
      <c r="AB81" s="60"/>
      <c r="AC81" s="60"/>
      <c r="AD81" s="140"/>
      <c r="AE81" s="60"/>
      <c r="AF81" s="60"/>
      <c r="AG81" s="140"/>
      <c r="AH81" s="60"/>
      <c r="AI81" s="60"/>
      <c r="AJ81" s="140"/>
      <c r="AK81" s="60"/>
      <c r="AL81" s="60"/>
      <c r="AM81" s="140"/>
      <c r="AN81" s="60"/>
      <c r="AO81" s="60"/>
      <c r="AP81" s="140"/>
      <c r="AQ81" s="60"/>
      <c r="AR81" s="60"/>
      <c r="AS81" s="140"/>
      <c r="AT81" s="60"/>
      <c r="AU81" s="60"/>
      <c r="AV81" s="140"/>
      <c r="AW81" s="60"/>
      <c r="AX81" s="60"/>
      <c r="AY81" s="60"/>
      <c r="AZ81" s="60"/>
      <c r="BA81" s="60"/>
      <c r="BB81" s="60"/>
    </row>
    <row r="82" spans="1:54" ht="18.75">
      <c r="B82" s="839">
        <v>1450015</v>
      </c>
      <c r="C82" s="840">
        <v>4378</v>
      </c>
      <c r="D82" s="843">
        <v>90000</v>
      </c>
      <c r="E82" s="844">
        <f>67500+306000</f>
        <v>373500</v>
      </c>
      <c r="F82" s="850">
        <f>M67+M68+M69+M70+M71</f>
        <v>86220.810000000012</v>
      </c>
      <c r="G82" s="844">
        <v>100000</v>
      </c>
      <c r="H82" s="851">
        <v>100000</v>
      </c>
      <c r="I82" s="845">
        <f>P67+P68+P69+P70+P71</f>
        <v>69741.84</v>
      </c>
      <c r="J82" s="844">
        <v>100000</v>
      </c>
      <c r="K82" s="844">
        <v>190000</v>
      </c>
      <c r="L82" s="852"/>
      <c r="M82" s="844">
        <f t="shared" ref="M82:M85" si="12">J82*3</f>
        <v>300000</v>
      </c>
      <c r="N82" s="844"/>
      <c r="O82" s="852"/>
      <c r="T82" s="60"/>
      <c r="U82" s="140"/>
      <c r="V82" s="60"/>
      <c r="W82" s="60"/>
      <c r="X82" s="140"/>
      <c r="Y82" s="60"/>
      <c r="Z82" s="60"/>
      <c r="AA82" s="140"/>
      <c r="AB82" s="60"/>
      <c r="AC82" s="60"/>
      <c r="AD82" s="140"/>
      <c r="AE82" s="60"/>
      <c r="AF82" s="60"/>
      <c r="AG82" s="140"/>
      <c r="AH82" s="60"/>
      <c r="AI82" s="60"/>
      <c r="AJ82" s="140"/>
      <c r="AK82" s="60"/>
      <c r="AL82" s="60"/>
      <c r="AM82" s="140"/>
      <c r="AN82" s="60"/>
      <c r="AO82" s="60"/>
      <c r="AP82" s="140"/>
      <c r="AQ82" s="60"/>
      <c r="AR82" s="60"/>
      <c r="AS82" s="140"/>
      <c r="AT82" s="60"/>
      <c r="AU82" s="60"/>
      <c r="AV82" s="140"/>
      <c r="AW82" s="60"/>
      <c r="AX82" s="60"/>
      <c r="AY82" s="60"/>
      <c r="AZ82" s="60"/>
      <c r="BA82" s="60"/>
      <c r="BB82" s="60"/>
    </row>
    <row r="83" spans="1:54" ht="18.75">
      <c r="B83" s="839">
        <v>1450022</v>
      </c>
      <c r="C83" s="840">
        <v>4348</v>
      </c>
      <c r="D83" s="843">
        <v>11900000</v>
      </c>
      <c r="E83" s="844">
        <v>11418738</v>
      </c>
      <c r="F83" s="850">
        <f>SUM(M2:M58)</f>
        <v>12725517.189999999</v>
      </c>
      <c r="G83" s="844">
        <v>12500000</v>
      </c>
      <c r="H83" s="851">
        <v>9099903</v>
      </c>
      <c r="I83" s="845" t="e">
        <f>SUM(P2:P58)</f>
        <v>#REF!</v>
      </c>
      <c r="J83" s="844">
        <v>13500000</v>
      </c>
      <c r="K83" s="844">
        <v>13500000</v>
      </c>
      <c r="L83" s="852"/>
      <c r="M83" s="844">
        <f t="shared" si="12"/>
        <v>40500000</v>
      </c>
      <c r="N83" s="844"/>
      <c r="O83" s="852"/>
      <c r="T83" s="60"/>
      <c r="U83" s="140"/>
      <c r="V83" s="60"/>
      <c r="W83" s="60"/>
      <c r="X83" s="140"/>
      <c r="Y83" s="60"/>
      <c r="Z83" s="60"/>
      <c r="AA83" s="140"/>
      <c r="AB83" s="60"/>
      <c r="AC83" s="60"/>
      <c r="AD83" s="140"/>
      <c r="AE83" s="60"/>
      <c r="AF83" s="60"/>
      <c r="AG83" s="140"/>
      <c r="AH83" s="60"/>
      <c r="AI83" s="60"/>
      <c r="AJ83" s="140"/>
      <c r="AK83" s="60"/>
      <c r="AL83" s="60"/>
      <c r="AM83" s="140"/>
      <c r="AN83" s="142">
        <v>300000</v>
      </c>
      <c r="AO83" s="60"/>
      <c r="AP83" s="140"/>
      <c r="AQ83" s="140">
        <f>12000000-AQ73</f>
        <v>12000000</v>
      </c>
      <c r="AR83" s="60"/>
      <c r="AS83" s="140"/>
      <c r="AT83" s="142">
        <v>12000000</v>
      </c>
      <c r="AU83" s="60"/>
      <c r="AV83" s="140"/>
      <c r="AW83" s="60"/>
      <c r="AX83" s="60"/>
      <c r="AY83" s="60"/>
      <c r="AZ83" s="60"/>
      <c r="BA83" s="60"/>
      <c r="BB83" s="60"/>
    </row>
    <row r="84" spans="1:54" ht="18.75">
      <c r="B84" s="839">
        <v>1450022</v>
      </c>
      <c r="C84" s="840">
        <v>4353</v>
      </c>
      <c r="D84" s="843">
        <v>225000</v>
      </c>
      <c r="E84" s="844">
        <v>225000</v>
      </c>
      <c r="F84" s="850">
        <f>M59+M60+M61</f>
        <v>57056.32</v>
      </c>
      <c r="G84" s="844">
        <v>250000</v>
      </c>
      <c r="H84" s="851">
        <v>249806</v>
      </c>
      <c r="I84" s="845" t="e">
        <f>P59+P60+P61</f>
        <v>#REF!</v>
      </c>
      <c r="J84" s="844">
        <v>250000</v>
      </c>
      <c r="K84" s="844">
        <v>250000</v>
      </c>
      <c r="L84" s="852"/>
      <c r="M84" s="844">
        <f t="shared" si="12"/>
        <v>750000</v>
      </c>
      <c r="N84" s="844"/>
      <c r="O84" s="85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</row>
    <row r="85" spans="1:54" ht="18.75">
      <c r="B85" s="839">
        <v>1450005</v>
      </c>
      <c r="C85" s="840">
        <v>2500</v>
      </c>
      <c r="D85" s="872">
        <v>150</v>
      </c>
      <c r="E85" s="873"/>
      <c r="F85" s="874">
        <f>M72</f>
        <v>94</v>
      </c>
      <c r="G85" s="873">
        <v>200</v>
      </c>
      <c r="H85" s="875"/>
      <c r="I85" s="876">
        <f>P72</f>
        <v>55.6</v>
      </c>
      <c r="J85" s="873">
        <v>150</v>
      </c>
      <c r="K85" s="877"/>
      <c r="L85" s="878"/>
      <c r="M85" s="844">
        <v>500</v>
      </c>
      <c r="N85" s="877"/>
      <c r="O85" s="878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142">
        <f>AQ83+AT83+AN83</f>
        <v>24300000</v>
      </c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</row>
    <row r="86" spans="1:54" ht="18.75">
      <c r="B86" s="977" t="s">
        <v>1658</v>
      </c>
      <c r="C86" s="977"/>
      <c r="D86" s="879">
        <f>SUM(D81:D85)</f>
        <v>12535150</v>
      </c>
      <c r="E86" s="879">
        <f t="shared" ref="E86:L86" si="13">SUM(E81:E85)</f>
        <v>12265238</v>
      </c>
      <c r="F86" s="879">
        <f t="shared" si="13"/>
        <v>13078080.390000001</v>
      </c>
      <c r="G86" s="879">
        <f t="shared" si="13"/>
        <v>13200200</v>
      </c>
      <c r="H86" s="879">
        <f t="shared" si="13"/>
        <v>9799709</v>
      </c>
      <c r="I86" s="879" t="e">
        <f t="shared" si="13"/>
        <v>#REF!</v>
      </c>
      <c r="J86" s="879">
        <f t="shared" si="13"/>
        <v>14250150</v>
      </c>
      <c r="K86" s="879">
        <f t="shared" si="13"/>
        <v>14072683.890000001</v>
      </c>
      <c r="L86" s="879">
        <f t="shared" si="13"/>
        <v>0</v>
      </c>
      <c r="M86" s="879">
        <f t="shared" ref="M86:O86" si="14">SUM(M81:M85)</f>
        <v>42750500</v>
      </c>
      <c r="N86" s="879">
        <f t="shared" si="14"/>
        <v>0</v>
      </c>
      <c r="O86" s="879">
        <f t="shared" si="14"/>
        <v>0</v>
      </c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</row>
    <row r="87" spans="1:54">
      <c r="A87" s="60"/>
      <c r="B87" s="60"/>
      <c r="C87" s="60"/>
      <c r="D87" s="60"/>
      <c r="E87" s="60"/>
      <c r="F87" s="139"/>
      <c r="G87" s="139"/>
      <c r="H87" s="139"/>
      <c r="K87" s="60"/>
      <c r="L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</row>
    <row r="88" spans="1:54">
      <c r="A88" s="60"/>
      <c r="B88" s="60"/>
      <c r="C88" s="60"/>
      <c r="D88" s="60"/>
      <c r="E88" s="139"/>
      <c r="F88" s="139"/>
      <c r="G88" s="139"/>
      <c r="H88" s="139"/>
      <c r="K88" s="60"/>
      <c r="L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</row>
    <row r="89" spans="1:54">
      <c r="A89" s="60"/>
      <c r="B89" s="60"/>
      <c r="C89" s="60"/>
      <c r="D89" s="60"/>
      <c r="E89" s="139"/>
      <c r="F89" s="139"/>
      <c r="G89" s="139"/>
      <c r="H89" s="139"/>
      <c r="I89" s="143"/>
      <c r="J89" s="139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</row>
    <row r="91" spans="1:54">
      <c r="B91" s="342" t="s">
        <v>1669</v>
      </c>
      <c r="C91" s="1165" t="s">
        <v>1670</v>
      </c>
      <c r="D91" s="1166" t="s">
        <v>1671</v>
      </c>
      <c r="E91" s="1177" t="s">
        <v>1672</v>
      </c>
      <c r="F91" s="1254" t="s">
        <v>1673</v>
      </c>
      <c r="G91" s="1255"/>
    </row>
    <row r="92" spans="1:54" ht="45.75">
      <c r="B92" s="308" t="s">
        <v>1674</v>
      </c>
      <c r="C92" s="1167" t="s">
        <v>1675</v>
      </c>
      <c r="D92" s="467">
        <v>12575437</v>
      </c>
      <c r="E92" s="466" t="s">
        <v>1676</v>
      </c>
      <c r="F92" s="1171">
        <v>11706520</v>
      </c>
      <c r="G92" s="1172" t="s">
        <v>1677</v>
      </c>
      <c r="H92" s="945" t="s">
        <v>1678</v>
      </c>
      <c r="I92" s="944" t="s">
        <v>1679</v>
      </c>
      <c r="J92" s="944" t="s">
        <v>1680</v>
      </c>
      <c r="K92" s="944" t="s">
        <v>1681</v>
      </c>
      <c r="M92" s="945" t="s">
        <v>1682</v>
      </c>
      <c r="N92" s="945" t="s">
        <v>1683</v>
      </c>
      <c r="O92" s="945" t="s">
        <v>1684</v>
      </c>
      <c r="P92" s="946" t="s">
        <v>1685</v>
      </c>
      <c r="Q92" s="947" t="s">
        <v>1686</v>
      </c>
      <c r="R92" s="948" t="s">
        <v>1687</v>
      </c>
    </row>
    <row r="93" spans="1:54" ht="15" customHeight="1">
      <c r="B93" s="308" t="s">
        <v>1688</v>
      </c>
      <c r="C93" s="1168" t="s">
        <v>1689</v>
      </c>
      <c r="D93" s="192">
        <v>12149233</v>
      </c>
      <c r="E93" s="1178" t="s">
        <v>1690</v>
      </c>
      <c r="F93" s="1173">
        <v>12777348</v>
      </c>
      <c r="G93" s="1174" t="s">
        <v>1691</v>
      </c>
      <c r="H93" s="1256" t="s">
        <v>1692</v>
      </c>
      <c r="I93" s="1388">
        <v>1450015</v>
      </c>
      <c r="J93" s="1388" t="s">
        <v>1693</v>
      </c>
      <c r="K93" s="1388" t="s">
        <v>1694</v>
      </c>
      <c r="L93" s="1388">
        <v>0</v>
      </c>
      <c r="M93" s="949" t="s">
        <v>1695</v>
      </c>
      <c r="N93" s="950">
        <v>42856</v>
      </c>
      <c r="O93" s="951">
        <v>42944</v>
      </c>
      <c r="P93" s="975">
        <v>907.69</v>
      </c>
      <c r="Q93" s="1180">
        <v>2070.73</v>
      </c>
      <c r="R93" s="952">
        <f>Q93-P93</f>
        <v>1163.04</v>
      </c>
      <c r="S93" s="1184">
        <v>2070.73</v>
      </c>
    </row>
    <row r="94" spans="1:54">
      <c r="B94" s="308" t="s">
        <v>1696</v>
      </c>
      <c r="C94" s="1168" t="s">
        <v>1697</v>
      </c>
      <c r="D94" s="192">
        <v>14957658</v>
      </c>
      <c r="E94" s="1178" t="s">
        <v>1698</v>
      </c>
      <c r="F94" s="1173">
        <v>7532674</v>
      </c>
      <c r="G94" s="1174" t="s">
        <v>1699</v>
      </c>
      <c r="H94" s="1257"/>
      <c r="I94" s="1389"/>
      <c r="J94" s="1389"/>
      <c r="K94" s="1389"/>
      <c r="L94" s="1389"/>
      <c r="M94" s="949" t="s">
        <v>1700</v>
      </c>
      <c r="N94" s="953">
        <v>42887</v>
      </c>
      <c r="O94" s="951">
        <v>42975</v>
      </c>
      <c r="P94" s="975">
        <v>907.69</v>
      </c>
      <c r="Q94" s="1181">
        <v>2054.67</v>
      </c>
      <c r="R94" s="952">
        <f t="shared" ref="R94:R157" si="15">Q94-P94</f>
        <v>1146.98</v>
      </c>
      <c r="S94" s="1185">
        <v>2054.67</v>
      </c>
    </row>
    <row r="95" spans="1:54">
      <c r="B95" s="308" t="s">
        <v>1701</v>
      </c>
      <c r="C95" s="1169" t="s">
        <v>1702</v>
      </c>
      <c r="D95" s="1170">
        <v>12748075</v>
      </c>
      <c r="E95" s="1179" t="s">
        <v>1703</v>
      </c>
      <c r="F95" s="1175"/>
      <c r="G95" s="1176"/>
      <c r="H95" s="1257"/>
      <c r="I95" s="1389"/>
      <c r="J95" s="1389"/>
      <c r="K95" s="1389"/>
      <c r="L95" s="1389"/>
      <c r="M95" s="949" t="s">
        <v>1704</v>
      </c>
      <c r="N95" s="953">
        <v>42917</v>
      </c>
      <c r="O95" s="951">
        <v>43006</v>
      </c>
      <c r="P95" s="975">
        <v>907.69</v>
      </c>
      <c r="Q95" s="1181">
        <v>2038.73</v>
      </c>
      <c r="R95" s="952">
        <f t="shared" si="15"/>
        <v>1131.04</v>
      </c>
      <c r="S95" s="1186">
        <v>2038.73</v>
      </c>
    </row>
    <row r="96" spans="1:54">
      <c r="B96" s="308" t="s">
        <v>1705</v>
      </c>
      <c r="G96" s="140"/>
      <c r="H96" s="1258"/>
      <c r="I96" s="1389"/>
      <c r="J96" s="1389"/>
      <c r="K96" s="1389"/>
      <c r="L96" s="1389"/>
      <c r="M96" s="949" t="s">
        <v>1706</v>
      </c>
      <c r="N96" s="953">
        <v>42948</v>
      </c>
      <c r="O96" s="951">
        <v>43036</v>
      </c>
      <c r="P96" s="975">
        <v>907.69</v>
      </c>
      <c r="Q96" s="1181">
        <v>2026.06</v>
      </c>
      <c r="R96" s="952">
        <f t="shared" si="15"/>
        <v>1118.3699999999999</v>
      </c>
      <c r="S96" s="1185">
        <v>2026.06</v>
      </c>
    </row>
    <row r="97" spans="2:19">
      <c r="B97" s="308" t="s">
        <v>1707</v>
      </c>
      <c r="G97" s="140"/>
      <c r="H97" s="1258"/>
      <c r="I97" s="1389"/>
      <c r="J97" s="1389"/>
      <c r="K97" s="1389"/>
      <c r="L97" s="1389"/>
      <c r="M97" s="949" t="s">
        <v>1708</v>
      </c>
      <c r="N97" s="953">
        <v>42979</v>
      </c>
      <c r="O97" s="951">
        <v>43067</v>
      </c>
      <c r="P97" s="975">
        <v>907.69</v>
      </c>
      <c r="Q97" s="1181">
        <v>2013.46</v>
      </c>
      <c r="R97" s="952">
        <f t="shared" si="15"/>
        <v>1105.77</v>
      </c>
      <c r="S97" s="1186">
        <v>2013.46</v>
      </c>
    </row>
    <row r="98" spans="2:19">
      <c r="B98" s="308" t="s">
        <v>1709</v>
      </c>
      <c r="G98" s="140"/>
      <c r="H98" s="1258"/>
      <c r="I98" s="1389"/>
      <c r="J98" s="1389"/>
      <c r="K98" s="1389"/>
      <c r="L98" s="1389"/>
      <c r="M98" s="949" t="s">
        <v>1710</v>
      </c>
      <c r="N98" s="953">
        <v>43009</v>
      </c>
      <c r="O98" s="951">
        <v>43102</v>
      </c>
      <c r="P98" s="975">
        <v>907.69</v>
      </c>
      <c r="Q98" s="1181">
        <v>1810.78</v>
      </c>
      <c r="R98" s="952">
        <f t="shared" si="15"/>
        <v>903.08999999999992</v>
      </c>
      <c r="S98" s="1185">
        <v>1810.78</v>
      </c>
    </row>
    <row r="99" spans="2:19">
      <c r="B99" s="308" t="s">
        <v>1711</v>
      </c>
      <c r="G99" s="871"/>
      <c r="H99" s="1258"/>
      <c r="I99" s="1389"/>
      <c r="J99" s="1389"/>
      <c r="K99" s="1389"/>
      <c r="L99" s="1389"/>
      <c r="M99" s="949" t="s">
        <v>1710</v>
      </c>
      <c r="N99" s="953">
        <v>43040</v>
      </c>
      <c r="O99" s="951">
        <v>43128</v>
      </c>
      <c r="P99" s="975">
        <v>907.69</v>
      </c>
      <c r="Q99" s="1181">
        <v>1810.78</v>
      </c>
      <c r="R99" s="952">
        <f t="shared" si="15"/>
        <v>903.08999999999992</v>
      </c>
      <c r="S99" s="1186">
        <v>1810.78</v>
      </c>
    </row>
    <row r="100" spans="2:19">
      <c r="B100" s="308" t="s">
        <v>1712</v>
      </c>
      <c r="G100" s="60"/>
      <c r="H100" s="1258"/>
      <c r="I100" s="1389"/>
      <c r="J100" s="1389"/>
      <c r="K100" s="1389"/>
      <c r="L100" s="1389"/>
      <c r="M100" s="949" t="s">
        <v>1713</v>
      </c>
      <c r="N100" s="953">
        <v>43070</v>
      </c>
      <c r="O100" s="951">
        <v>43159</v>
      </c>
      <c r="P100" s="975">
        <v>907.69</v>
      </c>
      <c r="Q100" s="1181">
        <v>1800.58</v>
      </c>
      <c r="R100" s="952">
        <f t="shared" si="15"/>
        <v>892.88999999999987</v>
      </c>
      <c r="S100" s="1185">
        <v>1800.58</v>
      </c>
    </row>
    <row r="101" spans="2:19">
      <c r="B101" s="308" t="s">
        <v>1714</v>
      </c>
      <c r="G101" s="141"/>
      <c r="H101" s="1258"/>
      <c r="I101" s="1389"/>
      <c r="J101" s="1389"/>
      <c r="K101" s="1389"/>
      <c r="L101" s="1389"/>
      <c r="M101" s="949" t="s">
        <v>1715</v>
      </c>
      <c r="N101" s="953">
        <v>43101</v>
      </c>
      <c r="O101" s="951">
        <v>43190</v>
      </c>
      <c r="P101" s="975">
        <v>968.33</v>
      </c>
      <c r="Q101" s="1181">
        <v>1911.1</v>
      </c>
      <c r="R101" s="952">
        <f t="shared" si="15"/>
        <v>942.76999999999987</v>
      </c>
      <c r="S101" s="1186">
        <v>1911.1</v>
      </c>
    </row>
    <row r="102" spans="2:19">
      <c r="B102" s="342" t="s">
        <v>1716</v>
      </c>
      <c r="G102" s="140"/>
      <c r="H102" s="1258"/>
      <c r="I102" s="1389"/>
      <c r="J102" s="1389"/>
      <c r="K102" s="1389"/>
      <c r="L102" s="1389"/>
      <c r="M102" s="949" t="s">
        <v>1717</v>
      </c>
      <c r="N102" s="953">
        <v>43132</v>
      </c>
      <c r="O102" s="951">
        <v>43218</v>
      </c>
      <c r="P102" s="975">
        <v>968.33</v>
      </c>
      <c r="Q102" s="1181">
        <v>1901.26</v>
      </c>
      <c r="R102" s="952">
        <f t="shared" si="15"/>
        <v>932.93</v>
      </c>
      <c r="S102" s="1185">
        <v>1901.26</v>
      </c>
    </row>
    <row r="103" spans="2:19">
      <c r="G103" s="140"/>
      <c r="H103" s="1258"/>
      <c r="I103" s="1389"/>
      <c r="J103" s="1389"/>
      <c r="K103" s="1389"/>
      <c r="L103" s="1389"/>
      <c r="M103" s="949" t="s">
        <v>1718</v>
      </c>
      <c r="N103" s="953">
        <v>43160</v>
      </c>
      <c r="O103" s="951">
        <v>43248</v>
      </c>
      <c r="P103" s="975">
        <v>968.33</v>
      </c>
      <c r="Q103" s="1181">
        <v>1891.65</v>
      </c>
      <c r="R103" s="952">
        <f t="shared" si="15"/>
        <v>923.32</v>
      </c>
      <c r="S103" s="1186">
        <v>1891.65</v>
      </c>
    </row>
    <row r="104" spans="2:19">
      <c r="G104" s="140"/>
      <c r="H104" s="1258"/>
      <c r="I104" s="1389"/>
      <c r="J104" s="1389"/>
      <c r="K104" s="1389"/>
      <c r="L104" s="1389"/>
      <c r="M104" s="949" t="s">
        <v>1719</v>
      </c>
      <c r="N104" s="953">
        <v>43191</v>
      </c>
      <c r="O104" s="951">
        <v>43279</v>
      </c>
      <c r="P104" s="975">
        <v>968.33</v>
      </c>
      <c r="Q104" s="1181">
        <v>1882.09</v>
      </c>
      <c r="R104" s="952">
        <f t="shared" si="15"/>
        <v>913.75999999999988</v>
      </c>
      <c r="S104" s="1185">
        <v>1882.09</v>
      </c>
    </row>
    <row r="105" spans="2:19">
      <c r="G105" s="871"/>
      <c r="H105" s="1258"/>
      <c r="I105" s="1389"/>
      <c r="J105" s="1389"/>
      <c r="K105" s="1389"/>
      <c r="L105" s="1389"/>
      <c r="M105" s="949" t="s">
        <v>1720</v>
      </c>
      <c r="N105" s="953">
        <v>43221</v>
      </c>
      <c r="O105" s="951">
        <v>43309</v>
      </c>
      <c r="P105" s="975">
        <v>968.33</v>
      </c>
      <c r="Q105" s="1181">
        <v>1872.58</v>
      </c>
      <c r="R105" s="952">
        <f t="shared" si="15"/>
        <v>904.24999999999989</v>
      </c>
      <c r="S105" s="1186">
        <v>1872.58</v>
      </c>
    </row>
    <row r="106" spans="2:19">
      <c r="G106" s="60"/>
      <c r="H106" s="1258"/>
      <c r="I106" s="1389"/>
      <c r="J106" s="1389"/>
      <c r="K106" s="1389"/>
      <c r="L106" s="1389"/>
      <c r="M106" s="949" t="s">
        <v>1721</v>
      </c>
      <c r="N106" s="953">
        <v>43252</v>
      </c>
      <c r="O106" s="951">
        <v>43340</v>
      </c>
      <c r="P106" s="975">
        <v>968.33</v>
      </c>
      <c r="Q106" s="1181">
        <v>1862.76</v>
      </c>
      <c r="R106" s="952">
        <f t="shared" si="15"/>
        <v>894.43</v>
      </c>
      <c r="S106" s="1185">
        <v>1862.76</v>
      </c>
    </row>
    <row r="107" spans="2:19">
      <c r="B107" s="1116" t="s">
        <v>1560</v>
      </c>
      <c r="C107" s="1117" t="s">
        <v>1722</v>
      </c>
      <c r="D107" s="1118">
        <v>45992</v>
      </c>
      <c r="E107" s="1118">
        <v>46023</v>
      </c>
      <c r="F107" s="1119">
        <v>46054</v>
      </c>
      <c r="G107" s="60"/>
      <c r="H107" s="1258"/>
      <c r="I107" s="1389"/>
      <c r="J107" s="1389"/>
      <c r="K107" s="1389"/>
      <c r="L107" s="1389"/>
      <c r="M107" s="949" t="s">
        <v>1723</v>
      </c>
      <c r="N107" s="953">
        <v>43282</v>
      </c>
      <c r="O107" s="951">
        <v>43371</v>
      </c>
      <c r="P107" s="975">
        <v>938.58</v>
      </c>
      <c r="Q107" s="1181">
        <v>1796</v>
      </c>
      <c r="R107" s="952">
        <f t="shared" si="15"/>
        <v>857.42</v>
      </c>
      <c r="S107" s="1186">
        <v>1796</v>
      </c>
    </row>
    <row r="108" spans="2:19">
      <c r="B108" s="1247" t="s">
        <v>214</v>
      </c>
      <c r="C108" s="4" t="s">
        <v>1724</v>
      </c>
      <c r="D108" s="4">
        <v>23.02</v>
      </c>
      <c r="E108" s="4">
        <v>22.28</v>
      </c>
      <c r="F108" s="1110">
        <v>26.96</v>
      </c>
      <c r="G108" s="141"/>
      <c r="H108" s="1258"/>
      <c r="I108" s="1389"/>
      <c r="J108" s="1389"/>
      <c r="K108" s="1389"/>
      <c r="L108" s="1389"/>
      <c r="M108" s="949" t="s">
        <v>1725</v>
      </c>
      <c r="N108" s="953">
        <v>43313</v>
      </c>
      <c r="O108" s="951">
        <v>43401</v>
      </c>
      <c r="P108" s="975">
        <v>938.58</v>
      </c>
      <c r="Q108" s="1181">
        <v>1787.8</v>
      </c>
      <c r="R108" s="952">
        <f t="shared" si="15"/>
        <v>849.21999999999991</v>
      </c>
      <c r="S108" s="1185">
        <v>1787.8</v>
      </c>
    </row>
    <row r="109" spans="2:19">
      <c r="B109" s="1248"/>
      <c r="C109" s="4" t="s">
        <v>1726</v>
      </c>
      <c r="D109" s="1107">
        <v>338146.7</v>
      </c>
      <c r="E109" s="1107">
        <v>419845.26</v>
      </c>
      <c r="F109" s="1111">
        <v>325864.64</v>
      </c>
      <c r="G109" s="140"/>
      <c r="H109" s="1258"/>
      <c r="I109" s="1389"/>
      <c r="J109" s="1389"/>
      <c r="K109" s="1389"/>
      <c r="L109" s="1389"/>
      <c r="M109" s="949" t="s">
        <v>1727</v>
      </c>
      <c r="N109" s="953">
        <v>43344</v>
      </c>
      <c r="O109" s="951">
        <v>43432</v>
      </c>
      <c r="P109" s="975">
        <v>968.33</v>
      </c>
      <c r="Q109" s="1181">
        <v>1834.33</v>
      </c>
      <c r="R109" s="952">
        <f t="shared" si="15"/>
        <v>865.99999999999989</v>
      </c>
      <c r="S109" s="1186">
        <v>1834.33</v>
      </c>
    </row>
    <row r="110" spans="2:19">
      <c r="B110" s="1250"/>
      <c r="C110" s="1108" t="s">
        <v>1658</v>
      </c>
      <c r="D110" s="1109">
        <f>SUM(D108:D109)</f>
        <v>338169.72000000003</v>
      </c>
      <c r="E110" s="1109">
        <f>SUM(E108:E109)</f>
        <v>419867.54000000004</v>
      </c>
      <c r="F110" s="1112">
        <f>SUM(F108:F109)</f>
        <v>325891.60000000003</v>
      </c>
      <c r="G110" s="140"/>
      <c r="H110" s="1258"/>
      <c r="I110" s="1389"/>
      <c r="J110" s="1389"/>
      <c r="K110" s="1389"/>
      <c r="L110" s="1389"/>
      <c r="M110" s="949" t="s">
        <v>1728</v>
      </c>
      <c r="N110" s="953">
        <v>43374</v>
      </c>
      <c r="O110" s="951">
        <v>43462</v>
      </c>
      <c r="P110" s="975">
        <v>968.33</v>
      </c>
      <c r="Q110" s="1181">
        <v>1825.6</v>
      </c>
      <c r="R110" s="952">
        <f t="shared" si="15"/>
        <v>857.26999999999987</v>
      </c>
      <c r="S110" s="1185">
        <v>1825.6</v>
      </c>
    </row>
    <row r="111" spans="2:19">
      <c r="B111" s="1247" t="s">
        <v>1729</v>
      </c>
      <c r="C111" s="4" t="s">
        <v>1724</v>
      </c>
      <c r="D111" s="4">
        <v>23.02</v>
      </c>
      <c r="E111" s="4">
        <v>23.02</v>
      </c>
      <c r="F111" s="1110">
        <v>26.96</v>
      </c>
      <c r="G111" s="140"/>
      <c r="H111" s="1258"/>
      <c r="I111" s="1389"/>
      <c r="J111" s="1389"/>
      <c r="K111" s="1389"/>
      <c r="L111" s="1389"/>
      <c r="M111" s="949" t="s">
        <v>1730</v>
      </c>
      <c r="N111" s="953">
        <v>43405</v>
      </c>
      <c r="O111" s="951">
        <v>43493</v>
      </c>
      <c r="P111" s="975">
        <v>968.33</v>
      </c>
      <c r="Q111" s="1181">
        <v>1982.17</v>
      </c>
      <c r="R111" s="952">
        <f t="shared" si="15"/>
        <v>1013.84</v>
      </c>
      <c r="S111" s="1186">
        <v>1982.17</v>
      </c>
    </row>
    <row r="112" spans="2:19">
      <c r="B112" s="1248"/>
      <c r="C112" s="4" t="s">
        <v>1726</v>
      </c>
      <c r="D112" s="4">
        <v>58.66</v>
      </c>
      <c r="E112" s="4">
        <v>80.150000000000006</v>
      </c>
      <c r="F112" s="1110">
        <v>92.14</v>
      </c>
      <c r="G112" s="140"/>
      <c r="H112" s="1258"/>
      <c r="I112" s="1389"/>
      <c r="J112" s="1389"/>
      <c r="K112" s="1389"/>
      <c r="L112" s="1389"/>
      <c r="M112" s="949" t="s">
        <v>1731</v>
      </c>
      <c r="N112" s="953">
        <v>43435</v>
      </c>
      <c r="O112" s="951">
        <v>43524</v>
      </c>
      <c r="P112" s="975">
        <v>968.33</v>
      </c>
      <c r="Q112" s="1181">
        <v>1971.7</v>
      </c>
      <c r="R112" s="952">
        <f t="shared" si="15"/>
        <v>1003.37</v>
      </c>
      <c r="S112" s="1185">
        <v>1971.7</v>
      </c>
    </row>
    <row r="113" spans="2:19">
      <c r="B113" s="1248"/>
      <c r="C113" s="4" t="s">
        <v>1724</v>
      </c>
      <c r="D113" s="4">
        <v>23.02</v>
      </c>
      <c r="E113" s="4">
        <v>23.02</v>
      </c>
      <c r="F113" s="1110">
        <v>26.96</v>
      </c>
      <c r="G113" s="140"/>
      <c r="H113" s="1258"/>
      <c r="I113" s="1389"/>
      <c r="J113" s="1389"/>
      <c r="K113" s="1389"/>
      <c r="L113" s="1389"/>
      <c r="M113" s="949" t="s">
        <v>1732</v>
      </c>
      <c r="N113" s="953">
        <v>43466</v>
      </c>
      <c r="O113" s="951">
        <v>43555</v>
      </c>
      <c r="P113" s="975">
        <v>1114.6300000000001</v>
      </c>
      <c r="Q113" s="1181">
        <v>2258.69</v>
      </c>
      <c r="R113" s="952">
        <f t="shared" si="15"/>
        <v>1144.06</v>
      </c>
      <c r="S113" s="1186">
        <v>2258.69</v>
      </c>
    </row>
    <row r="114" spans="2:19">
      <c r="B114" s="1248"/>
      <c r="C114" s="4" t="s">
        <v>1726</v>
      </c>
      <c r="D114" s="4">
        <v>224.31</v>
      </c>
      <c r="E114" s="4">
        <v>80.150000000000006</v>
      </c>
      <c r="F114" s="1110">
        <v>35.630000000000003</v>
      </c>
      <c r="G114" s="140"/>
      <c r="H114" s="1258"/>
      <c r="I114" s="1389"/>
      <c r="J114" s="1389"/>
      <c r="K114" s="1389"/>
      <c r="L114" s="1389"/>
      <c r="M114" s="949" t="s">
        <v>1733</v>
      </c>
      <c r="N114" s="953">
        <v>43497</v>
      </c>
      <c r="O114" s="951">
        <v>43583</v>
      </c>
      <c r="P114" s="975">
        <v>1114.6300000000001</v>
      </c>
      <c r="Q114" s="1181">
        <v>2248.3000000000002</v>
      </c>
      <c r="R114" s="952">
        <f t="shared" si="15"/>
        <v>1133.67</v>
      </c>
      <c r="S114" s="1185">
        <v>2248.3000000000002</v>
      </c>
    </row>
    <row r="115" spans="2:19">
      <c r="B115" s="1248"/>
      <c r="C115" s="4" t="s">
        <v>1724</v>
      </c>
      <c r="D115" s="4">
        <v>23.02</v>
      </c>
      <c r="E115" s="4">
        <v>23.02</v>
      </c>
      <c r="F115" s="1110">
        <v>26.96</v>
      </c>
      <c r="G115" s="871"/>
      <c r="H115" s="1258"/>
      <c r="I115" s="1389"/>
      <c r="J115" s="1389"/>
      <c r="K115" s="1389"/>
      <c r="L115" s="1389"/>
      <c r="M115" s="949" t="s">
        <v>1734</v>
      </c>
      <c r="N115" s="953">
        <v>43525</v>
      </c>
      <c r="O115" s="951">
        <v>43613</v>
      </c>
      <c r="P115" s="975">
        <v>1114.6300000000001</v>
      </c>
      <c r="Q115" s="1181">
        <v>2236.85</v>
      </c>
      <c r="R115" s="952">
        <f t="shared" si="15"/>
        <v>1122.2199999999998</v>
      </c>
      <c r="S115" s="1186">
        <v>2236.85</v>
      </c>
    </row>
    <row r="116" spans="2:19">
      <c r="B116" s="1248"/>
      <c r="C116" s="4" t="s">
        <v>1726</v>
      </c>
      <c r="D116" s="4">
        <v>197.22</v>
      </c>
      <c r="E116" s="4">
        <v>101.64</v>
      </c>
      <c r="F116" s="1110">
        <v>69.510000000000005</v>
      </c>
      <c r="G116" s="60"/>
      <c r="H116" s="1258"/>
      <c r="I116" s="1389"/>
      <c r="J116" s="1389"/>
      <c r="K116" s="1389"/>
      <c r="L116" s="1389"/>
      <c r="M116" s="949" t="s">
        <v>1735</v>
      </c>
      <c r="N116" s="953">
        <v>43556</v>
      </c>
      <c r="O116" s="951">
        <v>43644</v>
      </c>
      <c r="P116" s="975">
        <v>1114.6300000000001</v>
      </c>
      <c r="Q116" s="1181">
        <v>2225.04</v>
      </c>
      <c r="R116" s="952">
        <f t="shared" si="15"/>
        <v>1110.4099999999999</v>
      </c>
      <c r="S116" s="1185">
        <v>2225.04</v>
      </c>
    </row>
    <row r="117" spans="2:19">
      <c r="B117" s="1248"/>
      <c r="C117" s="4" t="s">
        <v>1724</v>
      </c>
      <c r="D117" s="4">
        <v>23.02</v>
      </c>
      <c r="E117" s="4">
        <v>23.02</v>
      </c>
      <c r="F117" s="1110">
        <v>26.96</v>
      </c>
      <c r="G117" s="141"/>
      <c r="H117" s="1258"/>
      <c r="I117" s="1389"/>
      <c r="J117" s="1389"/>
      <c r="K117" s="1389"/>
      <c r="L117" s="1389"/>
      <c r="M117" s="949" t="s">
        <v>1736</v>
      </c>
      <c r="N117" s="953">
        <v>43586</v>
      </c>
      <c r="O117" s="951">
        <v>43674</v>
      </c>
      <c r="P117" s="975">
        <v>1114.6300000000001</v>
      </c>
      <c r="Q117" s="1181">
        <v>2214.81</v>
      </c>
      <c r="R117" s="952">
        <f t="shared" si="15"/>
        <v>1100.1799999999998</v>
      </c>
      <c r="S117" s="1186">
        <v>2214.81</v>
      </c>
    </row>
    <row r="118" spans="2:19">
      <c r="B118" s="1248"/>
      <c r="C118" s="4" t="s">
        <v>1726</v>
      </c>
      <c r="D118" s="4">
        <v>251.39</v>
      </c>
      <c r="E118" s="4">
        <v>449.73</v>
      </c>
      <c r="F118" s="1110">
        <v>369.36</v>
      </c>
      <c r="G118" s="140"/>
      <c r="H118" s="1258"/>
      <c r="I118" s="1389"/>
      <c r="J118" s="1389"/>
      <c r="K118" s="1389"/>
      <c r="L118" s="1389"/>
      <c r="M118" s="949" t="s">
        <v>1737</v>
      </c>
      <c r="N118" s="953">
        <v>43617</v>
      </c>
      <c r="O118" s="951">
        <v>43705</v>
      </c>
      <c r="P118" s="975">
        <v>1114.6300000000001</v>
      </c>
      <c r="Q118" s="1181">
        <v>2202.4499999999998</v>
      </c>
      <c r="R118" s="952">
        <f t="shared" si="15"/>
        <v>1087.8199999999997</v>
      </c>
      <c r="S118" s="1185">
        <v>2202.4499999999998</v>
      </c>
    </row>
    <row r="119" spans="2:19">
      <c r="B119" s="1248"/>
      <c r="C119" s="4" t="s">
        <v>1724</v>
      </c>
      <c r="D119" s="4">
        <v>23.02</v>
      </c>
      <c r="E119" s="4">
        <v>23.02</v>
      </c>
      <c r="F119" s="1110">
        <v>26.96</v>
      </c>
      <c r="G119" s="140"/>
      <c r="H119" s="1258"/>
      <c r="I119" s="1389"/>
      <c r="J119" s="1389"/>
      <c r="K119" s="1389"/>
      <c r="L119" s="1389"/>
      <c r="M119" s="949" t="s">
        <v>1738</v>
      </c>
      <c r="N119" s="953">
        <v>43647</v>
      </c>
      <c r="O119" s="951">
        <v>43736</v>
      </c>
      <c r="P119" s="975">
        <v>1114.6300000000001</v>
      </c>
      <c r="Q119" s="1181">
        <v>2191.6799999999998</v>
      </c>
      <c r="R119" s="952">
        <f t="shared" si="15"/>
        <v>1077.0499999999997</v>
      </c>
      <c r="S119" s="1186">
        <v>2191.6799999999998</v>
      </c>
    </row>
    <row r="120" spans="2:19">
      <c r="B120" s="1248"/>
      <c r="C120" s="4" t="s">
        <v>1726</v>
      </c>
      <c r="D120" s="4">
        <v>23.03</v>
      </c>
      <c r="E120" s="4">
        <v>94.48</v>
      </c>
      <c r="F120" s="1110">
        <v>84.6</v>
      </c>
      <c r="G120" s="871"/>
      <c r="H120" s="1258"/>
      <c r="I120" s="1389"/>
      <c r="J120" s="1389"/>
      <c r="K120" s="1389"/>
      <c r="L120" s="1389"/>
      <c r="M120" s="949" t="s">
        <v>1739</v>
      </c>
      <c r="N120" s="953">
        <v>43678</v>
      </c>
      <c r="O120" s="951">
        <v>43766</v>
      </c>
      <c r="P120" s="975">
        <v>1114.6300000000001</v>
      </c>
      <c r="Q120" s="1181">
        <v>2181.8200000000002</v>
      </c>
      <c r="R120" s="952">
        <f t="shared" si="15"/>
        <v>1067.19</v>
      </c>
      <c r="S120" s="1185">
        <v>2181.8200000000002</v>
      </c>
    </row>
    <row r="121" spans="2:19">
      <c r="B121" s="1248"/>
      <c r="C121" s="4" t="s">
        <v>1724</v>
      </c>
      <c r="D121" s="4">
        <v>23.02</v>
      </c>
      <c r="E121" s="4">
        <v>23.02</v>
      </c>
      <c r="F121" s="1110">
        <v>26.96</v>
      </c>
      <c r="H121" s="1258"/>
      <c r="I121" s="1389"/>
      <c r="J121" s="1389"/>
      <c r="K121" s="1389"/>
      <c r="L121" s="1389"/>
      <c r="M121" s="949" t="s">
        <v>1740</v>
      </c>
      <c r="N121" s="953">
        <v>43709</v>
      </c>
      <c r="O121" s="951">
        <v>43797</v>
      </c>
      <c r="P121" s="975">
        <v>1114.6300000000001</v>
      </c>
      <c r="Q121" s="1181">
        <v>2171.5700000000002</v>
      </c>
      <c r="R121" s="952">
        <f t="shared" si="15"/>
        <v>1056.94</v>
      </c>
      <c r="S121" s="1186">
        <v>2171.5700000000002</v>
      </c>
    </row>
    <row r="122" spans="2:19">
      <c r="B122" s="1248"/>
      <c r="C122" s="4" t="s">
        <v>1726</v>
      </c>
      <c r="D122" s="4">
        <v>44.33</v>
      </c>
      <c r="E122" s="4">
        <v>17.7</v>
      </c>
      <c r="F122" s="1110">
        <v>24.38</v>
      </c>
      <c r="H122" s="1258"/>
      <c r="I122" s="1389"/>
      <c r="J122" s="1389"/>
      <c r="K122" s="1389"/>
      <c r="L122" s="1389"/>
      <c r="M122" s="949" t="s">
        <v>1741</v>
      </c>
      <c r="N122" s="953">
        <v>43739</v>
      </c>
      <c r="O122" s="951">
        <v>43832</v>
      </c>
      <c r="P122" s="975">
        <v>1114.6300000000001</v>
      </c>
      <c r="Q122" s="1181">
        <v>2155.65</v>
      </c>
      <c r="R122" s="952">
        <f t="shared" si="15"/>
        <v>1041.02</v>
      </c>
      <c r="S122" s="1185">
        <v>2155.65</v>
      </c>
    </row>
    <row r="123" spans="2:19">
      <c r="B123" s="1248"/>
      <c r="C123" s="4" t="s">
        <v>1724</v>
      </c>
      <c r="D123" s="4">
        <v>23.02</v>
      </c>
      <c r="E123" s="4">
        <v>23.02</v>
      </c>
      <c r="F123" s="1110">
        <v>26.96</v>
      </c>
      <c r="H123" s="1258"/>
      <c r="I123" s="1389"/>
      <c r="J123" s="1389"/>
      <c r="K123" s="1389"/>
      <c r="L123" s="1389"/>
      <c r="M123" s="949" t="s">
        <v>1741</v>
      </c>
      <c r="N123" s="953">
        <v>43770</v>
      </c>
      <c r="O123" s="955">
        <v>43858</v>
      </c>
      <c r="P123" s="975">
        <v>1114.6300000000001</v>
      </c>
      <c r="Q123" s="1181">
        <v>2155.65</v>
      </c>
      <c r="R123" s="952">
        <f t="shared" si="15"/>
        <v>1041.02</v>
      </c>
      <c r="S123" s="1186">
        <v>2155.65</v>
      </c>
    </row>
    <row r="124" spans="2:19">
      <c r="B124" s="1248"/>
      <c r="C124" s="4" t="s">
        <v>1726</v>
      </c>
      <c r="D124" s="4">
        <v>14.16</v>
      </c>
      <c r="E124" s="4">
        <v>44.33</v>
      </c>
      <c r="F124" s="1110">
        <v>41.25</v>
      </c>
      <c r="H124" s="1258"/>
      <c r="I124" s="1389"/>
      <c r="J124" s="1389"/>
      <c r="K124" s="1389"/>
      <c r="L124" s="1389"/>
      <c r="M124" s="949" t="s">
        <v>1742</v>
      </c>
      <c r="N124" s="953">
        <v>43800</v>
      </c>
      <c r="O124" s="951">
        <v>43889</v>
      </c>
      <c r="P124" s="975">
        <v>1114.6300000000001</v>
      </c>
      <c r="Q124" s="1181">
        <v>2147.63</v>
      </c>
      <c r="R124" s="952">
        <f t="shared" si="15"/>
        <v>1033</v>
      </c>
      <c r="S124" s="1185">
        <v>2147.63</v>
      </c>
    </row>
    <row r="125" spans="2:19">
      <c r="B125" s="1248"/>
      <c r="C125" s="4" t="s">
        <v>1724</v>
      </c>
      <c r="D125" s="4">
        <v>23.02</v>
      </c>
      <c r="E125" s="4">
        <v>23.02</v>
      </c>
      <c r="F125" s="1110">
        <v>26.96</v>
      </c>
      <c r="H125" s="1258"/>
      <c r="I125" s="1389"/>
      <c r="J125" s="1389"/>
      <c r="K125" s="1389"/>
      <c r="L125" s="1389"/>
      <c r="M125" s="949" t="s">
        <v>1743</v>
      </c>
      <c r="N125" s="953">
        <v>43831</v>
      </c>
      <c r="O125" s="951">
        <v>43918</v>
      </c>
      <c r="P125" s="975">
        <v>1152.8499999999999</v>
      </c>
      <c r="Q125" s="1181">
        <v>2214.96</v>
      </c>
      <c r="R125" s="952">
        <f t="shared" si="15"/>
        <v>1062.1100000000001</v>
      </c>
      <c r="S125" s="1186">
        <v>2214.96</v>
      </c>
    </row>
    <row r="126" spans="2:19">
      <c r="B126" s="1248"/>
      <c r="C126" s="4" t="s">
        <v>1726</v>
      </c>
      <c r="D126" s="4">
        <v>3.54</v>
      </c>
      <c r="E126" s="4">
        <v>80.150000000000006</v>
      </c>
      <c r="F126" s="1110">
        <v>54.42</v>
      </c>
      <c r="H126" s="1258"/>
      <c r="I126" s="1389"/>
      <c r="J126" s="1389"/>
      <c r="K126" s="1389"/>
      <c r="L126" s="1389"/>
      <c r="M126" s="949" t="s">
        <v>1744</v>
      </c>
      <c r="N126" s="953">
        <v>43862</v>
      </c>
      <c r="O126" s="951">
        <v>43949</v>
      </c>
      <c r="P126" s="975">
        <v>1152.8499999999999</v>
      </c>
      <c r="Q126" s="1181">
        <v>2207.58</v>
      </c>
      <c r="R126" s="952">
        <f t="shared" si="15"/>
        <v>1054.73</v>
      </c>
      <c r="S126" s="1185">
        <v>2207.58</v>
      </c>
    </row>
    <row r="127" spans="2:19">
      <c r="B127" s="1248"/>
      <c r="C127" s="4" t="s">
        <v>1724</v>
      </c>
      <c r="D127" s="4">
        <v>23.02</v>
      </c>
      <c r="E127" s="4">
        <v>23.02</v>
      </c>
      <c r="F127" s="1110">
        <v>26.96</v>
      </c>
      <c r="H127" s="1258"/>
      <c r="I127" s="1389"/>
      <c r="J127" s="1389"/>
      <c r="K127" s="1389"/>
      <c r="L127" s="1389"/>
      <c r="M127" s="949" t="s">
        <v>1745</v>
      </c>
      <c r="N127" s="953">
        <v>43891</v>
      </c>
      <c r="O127" s="951">
        <v>43979</v>
      </c>
      <c r="P127" s="975">
        <v>1152.8499999999999</v>
      </c>
      <c r="Q127" s="1181">
        <v>2201.5300000000002</v>
      </c>
      <c r="R127" s="952">
        <f t="shared" si="15"/>
        <v>1048.6800000000003</v>
      </c>
      <c r="S127" s="1186">
        <v>2201.5300000000002</v>
      </c>
    </row>
    <row r="128" spans="2:19">
      <c r="B128" s="1248"/>
      <c r="C128" s="4" t="s">
        <v>1726</v>
      </c>
      <c r="D128" s="4">
        <v>115.97</v>
      </c>
      <c r="E128" s="4">
        <v>80.150000000000006</v>
      </c>
      <c r="F128" s="1110">
        <v>236.12</v>
      </c>
      <c r="H128" s="1258"/>
      <c r="I128" s="1389"/>
      <c r="J128" s="1389"/>
      <c r="K128" s="1389"/>
      <c r="L128" s="1389"/>
      <c r="M128" s="949" t="s">
        <v>1746</v>
      </c>
      <c r="N128" s="953">
        <v>43922</v>
      </c>
      <c r="O128" s="951">
        <v>44008</v>
      </c>
      <c r="P128" s="975">
        <v>1152.8499999999999</v>
      </c>
      <c r="Q128" s="1181">
        <v>2196.35</v>
      </c>
      <c r="R128" s="952">
        <f t="shared" si="15"/>
        <v>1043.5</v>
      </c>
      <c r="S128" s="1185">
        <v>2196.35</v>
      </c>
    </row>
    <row r="129" spans="2:19">
      <c r="B129" s="1248"/>
      <c r="C129" s="4" t="s">
        <v>1724</v>
      </c>
      <c r="D129" s="4">
        <v>23.02</v>
      </c>
      <c r="E129" s="4">
        <v>23.02</v>
      </c>
      <c r="F129" s="1110">
        <v>26.96</v>
      </c>
      <c r="H129" s="1258"/>
      <c r="I129" s="1389"/>
      <c r="J129" s="1389"/>
      <c r="K129" s="1389"/>
      <c r="L129" s="1389"/>
      <c r="M129" s="949" t="s">
        <v>1747</v>
      </c>
      <c r="N129" s="953">
        <v>43952</v>
      </c>
      <c r="O129" s="951">
        <v>44040</v>
      </c>
      <c r="P129" s="975">
        <v>1152.8499999999999</v>
      </c>
      <c r="Q129" s="1181">
        <v>2191.83</v>
      </c>
      <c r="R129" s="952">
        <f t="shared" si="15"/>
        <v>1038.98</v>
      </c>
      <c r="S129" s="1186">
        <v>2191.83</v>
      </c>
    </row>
    <row r="130" spans="2:19">
      <c r="B130" s="1248"/>
      <c r="C130" s="4" t="s">
        <v>1724</v>
      </c>
      <c r="D130" s="4">
        <v>23.02</v>
      </c>
      <c r="E130" s="4">
        <v>23.02</v>
      </c>
      <c r="F130" s="1110">
        <v>26.96</v>
      </c>
      <c r="H130" s="1258"/>
      <c r="I130" s="1389"/>
      <c r="J130" s="1389"/>
      <c r="K130" s="1389"/>
      <c r="L130" s="1389"/>
      <c r="M130" s="949" t="s">
        <v>1748</v>
      </c>
      <c r="N130" s="953">
        <v>43983</v>
      </c>
      <c r="O130" s="951">
        <v>44071</v>
      </c>
      <c r="P130" s="975">
        <v>1152.8499999999999</v>
      </c>
      <c r="Q130" s="1181">
        <v>2187.7399999999998</v>
      </c>
      <c r="R130" s="952">
        <f t="shared" si="15"/>
        <v>1034.8899999999999</v>
      </c>
      <c r="S130" s="1185">
        <v>2187.7399999999998</v>
      </c>
    </row>
    <row r="131" spans="2:19">
      <c r="B131" s="1248"/>
      <c r="C131" s="4" t="s">
        <v>1726</v>
      </c>
      <c r="D131" s="4">
        <v>118966.06</v>
      </c>
      <c r="E131" s="1107">
        <v>122311.74</v>
      </c>
      <c r="F131" s="1111">
        <v>231216.14</v>
      </c>
      <c r="H131" s="1258"/>
      <c r="I131" s="1389"/>
      <c r="J131" s="1389"/>
      <c r="K131" s="1389"/>
      <c r="L131" s="1389"/>
      <c r="M131" s="949" t="s">
        <v>1749</v>
      </c>
      <c r="N131" s="953">
        <v>44013</v>
      </c>
      <c r="O131" s="951">
        <v>44102</v>
      </c>
      <c r="P131" s="975">
        <v>1152.8499999999999</v>
      </c>
      <c r="Q131" s="1181">
        <v>2184.3000000000002</v>
      </c>
      <c r="R131" s="952">
        <f t="shared" si="15"/>
        <v>1031.4500000000003</v>
      </c>
      <c r="S131" s="1186">
        <v>2184.3000000000002</v>
      </c>
    </row>
    <row r="132" spans="2:19">
      <c r="B132" s="1249"/>
      <c r="C132" s="1113" t="s">
        <v>1658</v>
      </c>
      <c r="D132" s="1114">
        <f>SUM(D111:D131)</f>
        <v>120151.89</v>
      </c>
      <c r="E132" s="1114">
        <f>SUM(E111:E131)</f>
        <v>123593.44</v>
      </c>
      <c r="F132" s="1115">
        <f>SUM(F111:F131)</f>
        <v>232520.11000000002</v>
      </c>
      <c r="H132" s="1258"/>
      <c r="I132" s="1389"/>
      <c r="J132" s="1389"/>
      <c r="K132" s="1389"/>
      <c r="L132" s="1389"/>
      <c r="M132" s="949" t="s">
        <v>1750</v>
      </c>
      <c r="N132" s="953">
        <v>44044</v>
      </c>
      <c r="O132" s="951">
        <v>44132</v>
      </c>
      <c r="P132" s="975">
        <v>1152.8499999999999</v>
      </c>
      <c r="Q132" s="1181">
        <v>2180.88</v>
      </c>
      <c r="R132" s="952">
        <f t="shared" si="15"/>
        <v>1028.0300000000002</v>
      </c>
      <c r="S132" s="1185">
        <v>2180.88</v>
      </c>
    </row>
    <row r="133" spans="2:19">
      <c r="H133" s="1258"/>
      <c r="I133" s="1389"/>
      <c r="J133" s="1389"/>
      <c r="K133" s="1389"/>
      <c r="L133" s="1389"/>
      <c r="M133" s="949" t="s">
        <v>1751</v>
      </c>
      <c r="N133" s="953">
        <v>44075</v>
      </c>
      <c r="O133" s="951">
        <v>44163</v>
      </c>
      <c r="P133" s="975">
        <v>1152.8499999999999</v>
      </c>
      <c r="Q133" s="1181">
        <v>2177.4499999999998</v>
      </c>
      <c r="R133" s="952">
        <f t="shared" si="15"/>
        <v>1024.5999999999999</v>
      </c>
      <c r="S133" s="1186">
        <v>2177.4499999999998</v>
      </c>
    </row>
    <row r="134" spans="2:19">
      <c r="H134" s="1258"/>
      <c r="I134" s="1389"/>
      <c r="J134" s="1389"/>
      <c r="K134" s="1389"/>
      <c r="L134" s="1389"/>
      <c r="M134" s="949" t="s">
        <v>1752</v>
      </c>
      <c r="N134" s="953">
        <v>44105</v>
      </c>
      <c r="O134" s="951">
        <v>44193</v>
      </c>
      <c r="P134" s="975">
        <v>1152.8499999999999</v>
      </c>
      <c r="Q134" s="1181">
        <v>2174.25</v>
      </c>
      <c r="R134" s="952">
        <f t="shared" si="15"/>
        <v>1021.4000000000001</v>
      </c>
      <c r="S134" s="1185">
        <v>2174.25</v>
      </c>
    </row>
    <row r="135" spans="2:19">
      <c r="H135" s="1258"/>
      <c r="I135" s="1389"/>
      <c r="J135" s="1389"/>
      <c r="K135" s="1389"/>
      <c r="L135" s="1389"/>
      <c r="M135" s="949" t="s">
        <v>1753</v>
      </c>
      <c r="N135" s="953">
        <v>44136</v>
      </c>
      <c r="O135" s="951">
        <v>44224</v>
      </c>
      <c r="P135" s="975">
        <v>1152.8499999999999</v>
      </c>
      <c r="Q135" s="1181">
        <v>2170.84</v>
      </c>
      <c r="R135" s="952">
        <f t="shared" si="15"/>
        <v>1017.9900000000002</v>
      </c>
      <c r="S135" s="1186">
        <v>2170.84</v>
      </c>
    </row>
    <row r="136" spans="2:19">
      <c r="H136" s="1258"/>
      <c r="I136" s="1389"/>
      <c r="J136" s="1389"/>
      <c r="K136" s="1389"/>
      <c r="L136" s="1389"/>
      <c r="M136" s="949" t="s">
        <v>1754</v>
      </c>
      <c r="N136" s="953">
        <v>44166</v>
      </c>
      <c r="O136" s="951">
        <v>44255</v>
      </c>
      <c r="P136" s="975">
        <v>1152.8499999999999</v>
      </c>
      <c r="Q136" s="1181">
        <v>2167.64</v>
      </c>
      <c r="R136" s="952">
        <f t="shared" si="15"/>
        <v>1014.79</v>
      </c>
      <c r="S136" s="1185">
        <v>2167.64</v>
      </c>
    </row>
    <row r="137" spans="2:19">
      <c r="H137" s="1258"/>
      <c r="I137" s="1389"/>
      <c r="J137" s="1389"/>
      <c r="K137" s="1389"/>
      <c r="L137" s="1389"/>
      <c r="M137" s="949" t="s">
        <v>1755</v>
      </c>
      <c r="N137" s="953">
        <v>44197</v>
      </c>
      <c r="O137" s="951">
        <v>44286</v>
      </c>
      <c r="P137" s="975">
        <v>1213.51</v>
      </c>
      <c r="Q137" s="1181">
        <v>2278.7800000000002</v>
      </c>
      <c r="R137" s="952">
        <f t="shared" si="15"/>
        <v>1065.2700000000002</v>
      </c>
      <c r="S137" s="1186">
        <v>2278.7800000000002</v>
      </c>
    </row>
    <row r="138" spans="2:19">
      <c r="H138" s="1258"/>
      <c r="I138" s="1389"/>
      <c r="J138" s="1389"/>
      <c r="K138" s="1389"/>
      <c r="L138" s="1389"/>
      <c r="M138" s="949" t="s">
        <v>1756</v>
      </c>
      <c r="N138" s="953">
        <v>44228</v>
      </c>
      <c r="O138" s="951">
        <v>44314</v>
      </c>
      <c r="P138" s="975">
        <v>1213.51</v>
      </c>
      <c r="Q138" s="1181">
        <v>2274.3200000000002</v>
      </c>
      <c r="R138" s="952">
        <f t="shared" si="15"/>
        <v>1060.8100000000002</v>
      </c>
      <c r="S138" s="1185">
        <v>2274.3200000000002</v>
      </c>
    </row>
    <row r="139" spans="2:19">
      <c r="H139" s="1258"/>
      <c r="I139" s="1389"/>
      <c r="J139" s="1389"/>
      <c r="K139" s="1389"/>
      <c r="L139" s="1389"/>
      <c r="M139" s="949" t="s">
        <v>1757</v>
      </c>
      <c r="N139" s="953">
        <v>44256</v>
      </c>
      <c r="O139" s="951">
        <v>44344</v>
      </c>
      <c r="P139" s="975">
        <v>1213.51</v>
      </c>
      <c r="Q139" s="1181">
        <v>2269.63</v>
      </c>
      <c r="R139" s="952">
        <f t="shared" si="15"/>
        <v>1056.1200000000001</v>
      </c>
      <c r="S139" s="1186">
        <v>2269.63</v>
      </c>
    </row>
    <row r="140" spans="2:19">
      <c r="H140" s="1258"/>
      <c r="I140" s="1389"/>
      <c r="J140" s="1389"/>
      <c r="K140" s="1389"/>
      <c r="L140" s="1389"/>
      <c r="M140" s="949" t="s">
        <v>1758</v>
      </c>
      <c r="N140" s="953">
        <v>44287</v>
      </c>
      <c r="O140" s="951">
        <v>44375</v>
      </c>
      <c r="P140" s="975">
        <v>1213.51</v>
      </c>
      <c r="Q140" s="1181">
        <v>2263.64</v>
      </c>
      <c r="R140" s="952">
        <f t="shared" si="15"/>
        <v>1050.1299999999999</v>
      </c>
      <c r="S140" s="1185">
        <v>2263.64</v>
      </c>
    </row>
    <row r="141" spans="2:19">
      <c r="H141" s="1258"/>
      <c r="I141" s="1389"/>
      <c r="J141" s="1389"/>
      <c r="K141" s="1389"/>
      <c r="L141" s="1389"/>
      <c r="M141" s="949" t="s">
        <v>1759</v>
      </c>
      <c r="N141" s="953">
        <v>44317</v>
      </c>
      <c r="O141" s="951">
        <v>44405</v>
      </c>
      <c r="P141" s="975">
        <v>1213.51</v>
      </c>
      <c r="Q141" s="1181">
        <v>2256.7600000000002</v>
      </c>
      <c r="R141" s="952">
        <f t="shared" si="15"/>
        <v>1043.2500000000002</v>
      </c>
      <c r="S141" s="1186">
        <v>2256.7600000000002</v>
      </c>
    </row>
    <row r="142" spans="2:19">
      <c r="H142" s="1258"/>
      <c r="I142" s="1389"/>
      <c r="J142" s="1389"/>
      <c r="K142" s="1389"/>
      <c r="L142" s="1389"/>
      <c r="M142" s="949" t="s">
        <v>1760</v>
      </c>
      <c r="N142" s="953">
        <v>44348</v>
      </c>
      <c r="O142" s="951">
        <v>44436</v>
      </c>
      <c r="P142" s="975">
        <v>1213.51</v>
      </c>
      <c r="Q142" s="1181">
        <v>2248.81</v>
      </c>
      <c r="R142" s="952">
        <f t="shared" si="15"/>
        <v>1035.3</v>
      </c>
      <c r="S142" s="1185">
        <v>2248.81</v>
      </c>
    </row>
    <row r="143" spans="2:19">
      <c r="H143" s="1258"/>
      <c r="I143" s="1389"/>
      <c r="J143" s="1389"/>
      <c r="K143" s="1389"/>
      <c r="L143" s="1389"/>
      <c r="M143" s="949" t="s">
        <v>1761</v>
      </c>
      <c r="N143" s="953">
        <v>44378</v>
      </c>
      <c r="O143" s="951">
        <v>44467</v>
      </c>
      <c r="P143" s="975">
        <v>1213.51</v>
      </c>
      <c r="Q143" s="1181">
        <v>2239.35</v>
      </c>
      <c r="R143" s="952">
        <f t="shared" si="15"/>
        <v>1025.8399999999999</v>
      </c>
      <c r="S143" s="1186">
        <v>2239.35</v>
      </c>
    </row>
    <row r="144" spans="2:19">
      <c r="H144" s="1258"/>
      <c r="I144" s="1389"/>
      <c r="J144" s="1389"/>
      <c r="K144" s="1389"/>
      <c r="L144" s="1389"/>
      <c r="M144" s="949" t="s">
        <v>1762</v>
      </c>
      <c r="N144" s="953">
        <v>44409</v>
      </c>
      <c r="O144" s="951">
        <v>44497</v>
      </c>
      <c r="P144" s="975">
        <v>1213.51</v>
      </c>
      <c r="Q144" s="1181">
        <v>2229.71</v>
      </c>
      <c r="R144" s="952">
        <f t="shared" si="15"/>
        <v>1016.2</v>
      </c>
      <c r="S144" s="1185">
        <v>2229.71</v>
      </c>
    </row>
    <row r="145" spans="8:19">
      <c r="H145" s="1258"/>
      <c r="I145" s="1389"/>
      <c r="J145" s="1389"/>
      <c r="K145" s="1389"/>
      <c r="L145" s="1389"/>
      <c r="M145" s="949" t="s">
        <v>1763</v>
      </c>
      <c r="N145" s="953">
        <v>44440</v>
      </c>
      <c r="O145" s="951">
        <v>44528</v>
      </c>
      <c r="P145" s="975">
        <v>1213.51</v>
      </c>
      <c r="Q145" s="1181">
        <v>2219.04</v>
      </c>
      <c r="R145" s="952">
        <f t="shared" si="15"/>
        <v>1005.53</v>
      </c>
      <c r="S145" s="1186">
        <v>2219.04</v>
      </c>
    </row>
    <row r="146" spans="8:19">
      <c r="H146" s="1258"/>
      <c r="I146" s="1389"/>
      <c r="J146" s="1389"/>
      <c r="K146" s="1389"/>
      <c r="L146" s="1389"/>
      <c r="M146" s="949" t="s">
        <v>1764</v>
      </c>
      <c r="N146" s="953">
        <v>44470</v>
      </c>
      <c r="O146" s="951">
        <v>44558</v>
      </c>
      <c r="P146" s="975">
        <v>1213.51</v>
      </c>
      <c r="Q146" s="1181">
        <v>2206.2600000000002</v>
      </c>
      <c r="R146" s="952">
        <f t="shared" si="15"/>
        <v>992.75000000000023</v>
      </c>
      <c r="S146" s="1185">
        <v>2206.2600000000002</v>
      </c>
    </row>
    <row r="147" spans="8:19">
      <c r="H147" s="1258"/>
      <c r="I147" s="1389"/>
      <c r="J147" s="1389"/>
      <c r="K147" s="1389"/>
      <c r="L147" s="1389"/>
      <c r="M147" s="949" t="s">
        <v>1765</v>
      </c>
      <c r="N147" s="953">
        <v>44501</v>
      </c>
      <c r="O147" s="951">
        <v>44589</v>
      </c>
      <c r="P147" s="975">
        <v>2791.7</v>
      </c>
      <c r="Q147" s="1181">
        <v>5037.45</v>
      </c>
      <c r="R147" s="952">
        <f t="shared" si="15"/>
        <v>2245.75</v>
      </c>
      <c r="S147" s="1186">
        <v>5037.45</v>
      </c>
    </row>
    <row r="148" spans="8:19">
      <c r="H148" s="1258"/>
      <c r="I148" s="1389"/>
      <c r="J148" s="1389"/>
      <c r="K148" s="1389"/>
      <c r="L148" s="1389"/>
      <c r="M148" s="949" t="s">
        <v>1766</v>
      </c>
      <c r="N148" s="953">
        <v>44531</v>
      </c>
      <c r="O148" s="951">
        <v>44620</v>
      </c>
      <c r="P148" s="975">
        <v>2791.7</v>
      </c>
      <c r="Q148" s="1181">
        <v>5001.6099999999997</v>
      </c>
      <c r="R148" s="952">
        <f t="shared" si="15"/>
        <v>2209.91</v>
      </c>
      <c r="S148" s="1185">
        <v>5001.6099999999997</v>
      </c>
    </row>
    <row r="149" spans="8:19">
      <c r="H149" s="1258"/>
      <c r="I149" s="1389"/>
      <c r="J149" s="1389"/>
      <c r="K149" s="1389"/>
      <c r="L149" s="1389"/>
      <c r="M149" s="949" t="s">
        <v>1767</v>
      </c>
      <c r="N149" s="953">
        <v>44562</v>
      </c>
      <c r="O149" s="951">
        <v>44651</v>
      </c>
      <c r="P149" s="975">
        <v>3097.23</v>
      </c>
      <c r="Q149" s="1181">
        <v>5507.91</v>
      </c>
      <c r="R149" s="952">
        <f t="shared" si="15"/>
        <v>2410.6799999999998</v>
      </c>
      <c r="S149" s="1186">
        <v>5507.91</v>
      </c>
    </row>
    <row r="150" spans="8:19">
      <c r="H150" s="1258"/>
      <c r="I150" s="1389"/>
      <c r="J150" s="1389"/>
      <c r="K150" s="1389"/>
      <c r="L150" s="1389"/>
      <c r="M150" s="956" t="s">
        <v>1768</v>
      </c>
      <c r="N150" s="957">
        <v>44593</v>
      </c>
      <c r="O150" s="958">
        <v>44679</v>
      </c>
      <c r="P150" s="975">
        <v>3097.23</v>
      </c>
      <c r="Q150" s="1181">
        <v>5548.1</v>
      </c>
      <c r="R150" s="952">
        <f t="shared" si="15"/>
        <v>2450.8700000000003</v>
      </c>
      <c r="S150" s="1185">
        <v>5458.1</v>
      </c>
    </row>
    <row r="151" spans="8:19">
      <c r="H151" s="1258"/>
      <c r="I151" s="1389"/>
      <c r="J151" s="1389"/>
      <c r="K151" s="1389"/>
      <c r="L151" s="1389"/>
      <c r="M151" s="949" t="s">
        <v>1769</v>
      </c>
      <c r="N151" s="953">
        <v>44621</v>
      </c>
      <c r="O151" s="959">
        <v>44709</v>
      </c>
      <c r="P151" s="975">
        <v>2869.36</v>
      </c>
      <c r="Q151" s="1181">
        <v>5015.7</v>
      </c>
      <c r="R151" s="952">
        <f t="shared" si="15"/>
        <v>2146.3399999999997</v>
      </c>
      <c r="S151" s="1186">
        <v>5015.7</v>
      </c>
    </row>
    <row r="152" spans="8:19">
      <c r="H152" s="1258"/>
      <c r="I152" s="1389"/>
      <c r="J152" s="1389"/>
      <c r="K152" s="1389"/>
      <c r="L152" s="1389"/>
      <c r="M152" s="949" t="s">
        <v>1770</v>
      </c>
      <c r="N152" s="953">
        <v>44621</v>
      </c>
      <c r="O152" s="959">
        <v>44709</v>
      </c>
      <c r="P152" s="975">
        <v>41.29</v>
      </c>
      <c r="Q152" s="1181">
        <v>72.180000000000007</v>
      </c>
      <c r="R152" s="952">
        <f t="shared" si="15"/>
        <v>30.890000000000008</v>
      </c>
      <c r="S152" s="1185">
        <v>72.180000000000007</v>
      </c>
    </row>
    <row r="153" spans="8:19">
      <c r="H153" s="1258"/>
      <c r="I153" s="1389"/>
      <c r="J153" s="1389"/>
      <c r="K153" s="1389"/>
      <c r="L153" s="1389"/>
      <c r="M153" s="949" t="s">
        <v>1771</v>
      </c>
      <c r="N153" s="960">
        <v>44652</v>
      </c>
      <c r="O153" s="951">
        <v>44717</v>
      </c>
      <c r="P153" s="975">
        <v>2357.4699999999998</v>
      </c>
      <c r="Q153" s="1182">
        <v>4079.69</v>
      </c>
      <c r="R153" s="952">
        <f t="shared" si="15"/>
        <v>1722.2200000000003</v>
      </c>
      <c r="S153" s="1186">
        <v>4079.69</v>
      </c>
    </row>
    <row r="154" spans="8:19">
      <c r="H154" s="1258"/>
      <c r="I154" s="1389"/>
      <c r="J154" s="1389"/>
      <c r="K154" s="1389"/>
      <c r="L154" s="1389"/>
      <c r="M154" s="949" t="s">
        <v>1772</v>
      </c>
      <c r="N154" s="953">
        <v>44652</v>
      </c>
      <c r="O154" s="959">
        <v>44740</v>
      </c>
      <c r="P154" s="975">
        <v>41.29</v>
      </c>
      <c r="Q154" s="1181">
        <v>71.459999999999994</v>
      </c>
      <c r="R154" s="952">
        <f t="shared" si="15"/>
        <v>30.169999999999995</v>
      </c>
      <c r="S154" s="1185">
        <v>71.459999999999994</v>
      </c>
    </row>
    <row r="155" spans="8:19">
      <c r="H155" s="1258"/>
      <c r="I155" s="1389"/>
      <c r="J155" s="1389"/>
      <c r="K155" s="1389"/>
      <c r="L155" s="1389"/>
      <c r="M155" s="949" t="s">
        <v>1773</v>
      </c>
      <c r="N155" s="960">
        <v>44682</v>
      </c>
      <c r="O155" s="951">
        <v>44754</v>
      </c>
      <c r="P155" s="975">
        <v>3706.56</v>
      </c>
      <c r="Q155" s="1182">
        <v>6350.81</v>
      </c>
      <c r="R155" s="952">
        <f t="shared" si="15"/>
        <v>2644.2500000000005</v>
      </c>
      <c r="S155" s="1186">
        <v>6350.81</v>
      </c>
    </row>
    <row r="156" spans="8:19">
      <c r="H156" s="1258"/>
      <c r="I156" s="1389"/>
      <c r="J156" s="1389"/>
      <c r="K156" s="1389"/>
      <c r="L156" s="1389"/>
      <c r="M156" s="949" t="s">
        <v>1774</v>
      </c>
      <c r="N156" s="953">
        <v>44682</v>
      </c>
      <c r="O156" s="959">
        <v>44770</v>
      </c>
      <c r="P156" s="975">
        <v>41.29</v>
      </c>
      <c r="Q156" s="1181">
        <v>70.75</v>
      </c>
      <c r="R156" s="952">
        <f t="shared" si="15"/>
        <v>29.46</v>
      </c>
      <c r="S156" s="1185">
        <v>70.75</v>
      </c>
    </row>
    <row r="157" spans="8:19">
      <c r="H157" s="1258"/>
      <c r="I157" s="1389"/>
      <c r="J157" s="1389"/>
      <c r="K157" s="1389"/>
      <c r="L157" s="1389"/>
      <c r="M157" s="949" t="s">
        <v>1775</v>
      </c>
      <c r="N157" s="960">
        <v>44713</v>
      </c>
      <c r="O157" s="951">
        <v>44773</v>
      </c>
      <c r="P157" s="975">
        <v>1783.39</v>
      </c>
      <c r="Q157" s="1182">
        <v>3055.66</v>
      </c>
      <c r="R157" s="952">
        <f t="shared" si="15"/>
        <v>1272.2699999999998</v>
      </c>
      <c r="S157" s="1186">
        <v>3055.66</v>
      </c>
    </row>
    <row r="158" spans="8:19">
      <c r="H158" s="1258"/>
      <c r="I158" s="1389"/>
      <c r="J158" s="1389"/>
      <c r="K158" s="1389"/>
      <c r="L158" s="1389"/>
      <c r="M158" s="949" t="s">
        <v>1776</v>
      </c>
      <c r="N158" s="953">
        <v>44713</v>
      </c>
      <c r="O158" s="959">
        <v>44801</v>
      </c>
      <c r="P158" s="975">
        <v>41.29</v>
      </c>
      <c r="Q158" s="1181">
        <v>70.05</v>
      </c>
      <c r="R158" s="952">
        <f t="shared" ref="R158:R221" si="16">Q158-P158</f>
        <v>28.759999999999998</v>
      </c>
      <c r="S158" s="1185">
        <v>70.05</v>
      </c>
    </row>
    <row r="159" spans="8:19">
      <c r="H159" s="1258"/>
      <c r="I159" s="1389"/>
      <c r="J159" s="1389"/>
      <c r="K159" s="1389"/>
      <c r="L159" s="1389"/>
      <c r="M159" s="949" t="s">
        <v>1777</v>
      </c>
      <c r="N159" s="960">
        <v>44743</v>
      </c>
      <c r="O159" s="951">
        <v>44807</v>
      </c>
      <c r="P159" s="975">
        <v>3323.84</v>
      </c>
      <c r="Q159" s="1182">
        <v>5574.18</v>
      </c>
      <c r="R159" s="952">
        <f t="shared" si="16"/>
        <v>2250.34</v>
      </c>
      <c r="S159" s="1186">
        <v>5574.18</v>
      </c>
    </row>
    <row r="160" spans="8:19">
      <c r="H160" s="1258"/>
      <c r="I160" s="1389"/>
      <c r="J160" s="1389"/>
      <c r="K160" s="1389"/>
      <c r="L160" s="1389"/>
      <c r="M160" s="949" t="s">
        <v>1778</v>
      </c>
      <c r="N160" s="953">
        <v>44743</v>
      </c>
      <c r="O160" s="959">
        <v>44832</v>
      </c>
      <c r="P160" s="975">
        <v>41.29</v>
      </c>
      <c r="Q160" s="1181">
        <v>69.25</v>
      </c>
      <c r="R160" s="952">
        <f t="shared" si="16"/>
        <v>27.96</v>
      </c>
      <c r="S160" s="1185">
        <v>69.25</v>
      </c>
    </row>
    <row r="161" spans="8:19">
      <c r="H161" s="1258"/>
      <c r="I161" s="1389"/>
      <c r="J161" s="1389"/>
      <c r="K161" s="1389"/>
      <c r="L161" s="1389"/>
      <c r="M161" s="949" t="s">
        <v>1777</v>
      </c>
      <c r="N161" s="960">
        <v>44774</v>
      </c>
      <c r="O161" s="951">
        <v>44833</v>
      </c>
      <c r="P161" s="975">
        <v>3323.84</v>
      </c>
      <c r="Q161" s="1182">
        <v>5574.18</v>
      </c>
      <c r="R161" s="952">
        <f t="shared" si="16"/>
        <v>2250.34</v>
      </c>
      <c r="S161" s="1186">
        <v>5574.18</v>
      </c>
    </row>
    <row r="162" spans="8:19">
      <c r="H162" s="1258"/>
      <c r="I162" s="1389"/>
      <c r="J162" s="1389"/>
      <c r="K162" s="1389"/>
      <c r="L162" s="1389"/>
      <c r="M162" s="949" t="s">
        <v>1779</v>
      </c>
      <c r="N162" s="953">
        <v>44774</v>
      </c>
      <c r="O162" s="959">
        <v>44862</v>
      </c>
      <c r="P162" s="975">
        <v>41.29</v>
      </c>
      <c r="Q162" s="1181">
        <v>68.53</v>
      </c>
      <c r="R162" s="952">
        <f t="shared" si="16"/>
        <v>27.240000000000002</v>
      </c>
      <c r="S162" s="1185">
        <v>68.53</v>
      </c>
    </row>
    <row r="163" spans="8:19">
      <c r="H163" s="1258"/>
      <c r="I163" s="1389"/>
      <c r="J163" s="1389"/>
      <c r="K163" s="1389"/>
      <c r="L163" s="1389"/>
      <c r="M163" s="949" t="s">
        <v>1780</v>
      </c>
      <c r="N163" s="953">
        <v>44805</v>
      </c>
      <c r="O163" s="959">
        <v>44893</v>
      </c>
      <c r="P163" s="975">
        <v>41.29</v>
      </c>
      <c r="Q163" s="1181">
        <v>67.849999999999994</v>
      </c>
      <c r="R163" s="952">
        <f t="shared" si="16"/>
        <v>26.559999999999995</v>
      </c>
      <c r="S163" s="1186">
        <v>67.849999999999994</v>
      </c>
    </row>
    <row r="164" spans="8:19">
      <c r="H164" s="1258"/>
      <c r="I164" s="1389"/>
      <c r="J164" s="1389"/>
      <c r="K164" s="1389"/>
      <c r="L164" s="1389"/>
      <c r="M164" s="949" t="s">
        <v>1781</v>
      </c>
      <c r="N164" s="960">
        <v>44805</v>
      </c>
      <c r="O164" s="951">
        <v>44873</v>
      </c>
      <c r="P164" s="975">
        <v>1974.75</v>
      </c>
      <c r="Q164" s="1182">
        <v>3244.91</v>
      </c>
      <c r="R164" s="952">
        <f t="shared" si="16"/>
        <v>1270.1599999999999</v>
      </c>
      <c r="S164" s="1185">
        <v>3244.91</v>
      </c>
    </row>
    <row r="165" spans="8:19">
      <c r="H165" s="1258"/>
      <c r="I165" s="1389"/>
      <c r="J165" s="1389"/>
      <c r="K165" s="1389"/>
      <c r="L165" s="1389"/>
      <c r="M165" s="949" t="s">
        <v>1782</v>
      </c>
      <c r="N165" s="960">
        <v>44835</v>
      </c>
      <c r="O165" s="951">
        <v>44893</v>
      </c>
      <c r="P165" s="975">
        <v>2352.69</v>
      </c>
      <c r="Q165" s="1183">
        <v>3865.94</v>
      </c>
      <c r="R165" s="952">
        <f t="shared" si="16"/>
        <v>1513.25</v>
      </c>
      <c r="S165" s="1186">
        <v>3865.94</v>
      </c>
    </row>
    <row r="166" spans="8:19">
      <c r="H166" s="1258"/>
      <c r="I166" s="1389"/>
      <c r="J166" s="1389"/>
      <c r="K166" s="1389"/>
      <c r="L166" s="1389"/>
      <c r="M166" s="949" t="s">
        <v>1783</v>
      </c>
      <c r="N166" s="953">
        <v>44835</v>
      </c>
      <c r="O166" s="959">
        <v>44923</v>
      </c>
      <c r="P166" s="975">
        <v>41.29</v>
      </c>
      <c r="Q166" s="954">
        <v>67.180000000000007</v>
      </c>
      <c r="R166" s="952">
        <f t="shared" si="16"/>
        <v>25.890000000000008</v>
      </c>
      <c r="S166" s="1185">
        <v>67.180000000000007</v>
      </c>
    </row>
    <row r="167" spans="8:19">
      <c r="H167" s="1258"/>
      <c r="I167" s="1389"/>
      <c r="J167" s="1389"/>
      <c r="K167" s="1389"/>
      <c r="L167" s="1389"/>
      <c r="M167" s="949" t="s">
        <v>1784</v>
      </c>
      <c r="N167" s="960">
        <v>44866</v>
      </c>
      <c r="O167" s="951">
        <v>44929</v>
      </c>
      <c r="P167" s="975">
        <v>1022.74</v>
      </c>
      <c r="Q167" s="961">
        <v>1645.88</v>
      </c>
      <c r="R167" s="952">
        <f t="shared" si="16"/>
        <v>623.1400000000001</v>
      </c>
      <c r="S167" s="1186">
        <v>1645.88</v>
      </c>
    </row>
    <row r="168" spans="8:19">
      <c r="H168" s="1258"/>
      <c r="I168" s="1389"/>
      <c r="J168" s="1389"/>
      <c r="K168" s="1389"/>
      <c r="L168" s="1389"/>
      <c r="M168" s="949" t="s">
        <v>1785</v>
      </c>
      <c r="N168" s="953">
        <v>44866</v>
      </c>
      <c r="O168" s="959">
        <v>44954</v>
      </c>
      <c r="P168" s="975">
        <v>41.29</v>
      </c>
      <c r="Q168" s="954">
        <v>66.45</v>
      </c>
      <c r="R168" s="952">
        <f t="shared" si="16"/>
        <v>25.160000000000004</v>
      </c>
      <c r="S168" s="1185">
        <v>66.45</v>
      </c>
    </row>
    <row r="169" spans="8:19">
      <c r="H169" s="1258"/>
      <c r="I169" s="1389"/>
      <c r="J169" s="1389"/>
      <c r="K169" s="1389"/>
      <c r="L169" s="1389"/>
      <c r="M169" s="949" t="s">
        <v>1784</v>
      </c>
      <c r="N169" s="960">
        <v>44896</v>
      </c>
      <c r="O169" s="951">
        <v>44956</v>
      </c>
      <c r="P169" s="975">
        <v>1022.74</v>
      </c>
      <c r="Q169" s="961">
        <v>1645.88</v>
      </c>
      <c r="R169" s="952">
        <f t="shared" si="16"/>
        <v>623.1400000000001</v>
      </c>
      <c r="S169" s="1186">
        <v>1645.88</v>
      </c>
    </row>
    <row r="170" spans="8:19">
      <c r="H170" s="1258"/>
      <c r="I170" s="1389"/>
      <c r="J170" s="1389"/>
      <c r="K170" s="1389"/>
      <c r="L170" s="1389"/>
      <c r="M170" s="949" t="s">
        <v>1786</v>
      </c>
      <c r="N170" s="953">
        <v>44896</v>
      </c>
      <c r="O170" s="959">
        <v>44985</v>
      </c>
      <c r="P170" s="975">
        <v>41.29</v>
      </c>
      <c r="Q170" s="954">
        <v>65.739999999999995</v>
      </c>
      <c r="R170" s="952">
        <f t="shared" si="16"/>
        <v>24.449999999999996</v>
      </c>
      <c r="S170" s="1185">
        <v>65.739999999999995</v>
      </c>
    </row>
    <row r="171" spans="8:19">
      <c r="H171" s="1258"/>
      <c r="I171" s="1389"/>
      <c r="J171" s="1389"/>
      <c r="K171" s="1389"/>
      <c r="L171" s="1389"/>
      <c r="M171" s="949" t="s">
        <v>1787</v>
      </c>
      <c r="N171" s="960">
        <v>44927</v>
      </c>
      <c r="O171" s="951">
        <v>44987</v>
      </c>
      <c r="P171" s="975">
        <v>1022.74</v>
      </c>
      <c r="Q171" s="961">
        <v>1613.49</v>
      </c>
      <c r="R171" s="952">
        <f t="shared" si="16"/>
        <v>590.75</v>
      </c>
      <c r="S171" s="1186">
        <v>1613.49</v>
      </c>
    </row>
    <row r="172" spans="8:19">
      <c r="H172" s="1258"/>
      <c r="I172" s="1389"/>
      <c r="J172" s="1389"/>
      <c r="K172" s="1389"/>
      <c r="L172" s="1389"/>
      <c r="M172" s="949" t="s">
        <v>1788</v>
      </c>
      <c r="N172" s="953">
        <v>44927</v>
      </c>
      <c r="O172" s="959">
        <v>45016</v>
      </c>
      <c r="P172" s="975">
        <v>41.29</v>
      </c>
      <c r="Q172" s="954">
        <v>65.14</v>
      </c>
      <c r="R172" s="952">
        <f t="shared" si="16"/>
        <v>23.85</v>
      </c>
      <c r="S172" s="1185">
        <v>65.14</v>
      </c>
    </row>
    <row r="173" spans="8:19">
      <c r="H173" s="1258"/>
      <c r="I173" s="1389"/>
      <c r="J173" s="1389"/>
      <c r="K173" s="1389"/>
      <c r="L173" s="1389"/>
      <c r="M173" s="949" t="s">
        <v>1789</v>
      </c>
      <c r="N173" s="960">
        <v>44958</v>
      </c>
      <c r="O173" s="951">
        <v>45016</v>
      </c>
      <c r="P173" s="975">
        <v>1022.74</v>
      </c>
      <c r="Q173" s="961">
        <v>1631.82</v>
      </c>
      <c r="R173" s="952">
        <f t="shared" si="16"/>
        <v>609.07999999999993</v>
      </c>
      <c r="S173" s="1186">
        <v>1631.82</v>
      </c>
    </row>
    <row r="174" spans="8:19">
      <c r="H174" s="1258"/>
      <c r="I174" s="1389"/>
      <c r="J174" s="1389"/>
      <c r="K174" s="1389"/>
      <c r="L174" s="1389"/>
      <c r="M174" s="949" t="s">
        <v>1790</v>
      </c>
      <c r="N174" s="953">
        <v>44958</v>
      </c>
      <c r="O174" s="959">
        <v>45044</v>
      </c>
      <c r="P174" s="975">
        <v>41.29</v>
      </c>
      <c r="Q174" s="954">
        <v>64.41</v>
      </c>
      <c r="R174" s="952">
        <f t="shared" si="16"/>
        <v>23.119999999999997</v>
      </c>
      <c r="S174" s="1185">
        <v>64.41</v>
      </c>
    </row>
    <row r="175" spans="8:19">
      <c r="H175" s="1258"/>
      <c r="I175" s="1389"/>
      <c r="J175" s="1389"/>
      <c r="K175" s="1389"/>
      <c r="L175" s="1389"/>
      <c r="M175" s="949" t="s">
        <v>1791</v>
      </c>
      <c r="N175" s="960">
        <v>44986</v>
      </c>
      <c r="O175" s="951">
        <v>45045</v>
      </c>
      <c r="P175" s="975">
        <v>1022.74</v>
      </c>
      <c r="Q175" s="961">
        <v>1595.22</v>
      </c>
      <c r="R175" s="952">
        <f t="shared" si="16"/>
        <v>572.48</v>
      </c>
      <c r="S175" s="1186">
        <v>1595.22</v>
      </c>
    </row>
    <row r="176" spans="8:19">
      <c r="H176" s="1258"/>
      <c r="I176" s="1389"/>
      <c r="J176" s="1389"/>
      <c r="K176" s="1389"/>
      <c r="L176" s="1389"/>
      <c r="M176" s="949" t="s">
        <v>1792</v>
      </c>
      <c r="N176" s="953">
        <v>44986</v>
      </c>
      <c r="O176" s="959">
        <v>45074</v>
      </c>
      <c r="P176" s="975">
        <v>41.29</v>
      </c>
      <c r="Q176" s="954">
        <v>63.83</v>
      </c>
      <c r="R176" s="952">
        <f t="shared" si="16"/>
        <v>22.54</v>
      </c>
      <c r="S176" s="1185">
        <v>63.83</v>
      </c>
    </row>
    <row r="177" spans="8:19">
      <c r="H177" s="1258"/>
      <c r="I177" s="1389"/>
      <c r="J177" s="1389"/>
      <c r="K177" s="1389"/>
      <c r="L177" s="1389"/>
      <c r="M177" s="949" t="s">
        <v>1793</v>
      </c>
      <c r="N177" s="960">
        <v>45017</v>
      </c>
      <c r="O177" s="951">
        <v>45075</v>
      </c>
      <c r="P177" s="975">
        <v>1022.74</v>
      </c>
      <c r="Q177" s="961">
        <v>1580.99</v>
      </c>
      <c r="R177" s="952">
        <f t="shared" si="16"/>
        <v>558.25</v>
      </c>
      <c r="S177" s="1186">
        <v>1580.99</v>
      </c>
    </row>
    <row r="178" spans="8:19">
      <c r="H178" s="1258"/>
      <c r="I178" s="1389"/>
      <c r="J178" s="1389"/>
      <c r="K178" s="1389"/>
      <c r="L178" s="1389"/>
      <c r="M178" s="949" t="s">
        <v>1794</v>
      </c>
      <c r="N178" s="953">
        <v>45017</v>
      </c>
      <c r="O178" s="959">
        <v>45105</v>
      </c>
      <c r="P178" s="975">
        <v>41.29</v>
      </c>
      <c r="Q178" s="954">
        <v>63.14</v>
      </c>
      <c r="R178" s="952">
        <f t="shared" si="16"/>
        <v>21.85</v>
      </c>
      <c r="S178" s="1185">
        <v>63.14</v>
      </c>
    </row>
    <row r="179" spans="8:19">
      <c r="H179" s="1258"/>
      <c r="I179" s="1389"/>
      <c r="J179" s="1389"/>
      <c r="K179" s="1389"/>
      <c r="L179" s="1389"/>
      <c r="M179" s="949" t="s">
        <v>1795</v>
      </c>
      <c r="N179" s="960">
        <v>45047</v>
      </c>
      <c r="O179" s="951">
        <v>45106</v>
      </c>
      <c r="P179" s="975">
        <v>1022.74</v>
      </c>
      <c r="Q179" s="961">
        <v>1563.85</v>
      </c>
      <c r="R179" s="952">
        <f t="shared" si="16"/>
        <v>541.1099999999999</v>
      </c>
      <c r="S179" s="1186">
        <v>1563.85</v>
      </c>
    </row>
    <row r="180" spans="8:19">
      <c r="H180" s="1258"/>
      <c r="I180" s="1389"/>
      <c r="J180" s="1389"/>
      <c r="K180" s="1389"/>
      <c r="L180" s="1389"/>
      <c r="M180" s="949" t="s">
        <v>1796</v>
      </c>
      <c r="N180" s="953">
        <v>45047</v>
      </c>
      <c r="O180" s="959">
        <v>45135</v>
      </c>
      <c r="P180" s="975">
        <v>41.29</v>
      </c>
      <c r="Q180" s="954">
        <v>62.49</v>
      </c>
      <c r="R180" s="952">
        <f t="shared" si="16"/>
        <v>21.200000000000003</v>
      </c>
      <c r="S180" s="1185">
        <v>62.49</v>
      </c>
    </row>
    <row r="181" spans="8:19">
      <c r="H181" s="1258"/>
      <c r="I181" s="1389"/>
      <c r="J181" s="1389"/>
      <c r="K181" s="1389"/>
      <c r="L181" s="1389"/>
      <c r="M181" s="949" t="s">
        <v>1797</v>
      </c>
      <c r="N181" s="960">
        <v>45078</v>
      </c>
      <c r="O181" s="951">
        <v>45137</v>
      </c>
      <c r="P181" s="975">
        <v>812.24</v>
      </c>
      <c r="Q181" s="961">
        <v>1229.1099999999999</v>
      </c>
      <c r="R181" s="952">
        <f t="shared" si="16"/>
        <v>416.86999999999989</v>
      </c>
      <c r="S181" s="1186">
        <v>1229.1099999999999</v>
      </c>
    </row>
    <row r="182" spans="8:19">
      <c r="H182" s="1258"/>
      <c r="I182" s="1389"/>
      <c r="J182" s="1389"/>
      <c r="K182" s="1389"/>
      <c r="L182" s="1389"/>
      <c r="M182" s="949" t="s">
        <v>1798</v>
      </c>
      <c r="N182" s="953">
        <v>45078</v>
      </c>
      <c r="O182" s="959">
        <v>45166</v>
      </c>
      <c r="P182" s="975">
        <v>41.29</v>
      </c>
      <c r="Q182" s="954">
        <v>61.84</v>
      </c>
      <c r="R182" s="952">
        <f t="shared" si="16"/>
        <v>20.550000000000004</v>
      </c>
      <c r="S182" s="1185">
        <v>61.84</v>
      </c>
    </row>
    <row r="183" spans="8:19">
      <c r="H183" s="1258"/>
      <c r="I183" s="1389"/>
      <c r="J183" s="1389"/>
      <c r="K183" s="1389"/>
      <c r="L183" s="1389"/>
      <c r="M183" s="949" t="s">
        <v>1799</v>
      </c>
      <c r="N183" s="960">
        <v>45108</v>
      </c>
      <c r="O183" s="951">
        <v>45166</v>
      </c>
      <c r="P183" s="975">
        <v>1022.74</v>
      </c>
      <c r="Q183" s="961">
        <v>1531.62</v>
      </c>
      <c r="R183" s="952">
        <f t="shared" si="16"/>
        <v>508.87999999999988</v>
      </c>
      <c r="S183" s="1186">
        <v>1531.62</v>
      </c>
    </row>
    <row r="184" spans="8:19">
      <c r="H184" s="1258"/>
      <c r="I184" s="1389"/>
      <c r="J184" s="1389"/>
      <c r="K184" s="1389"/>
      <c r="L184" s="1389"/>
      <c r="M184" s="949" t="s">
        <v>1800</v>
      </c>
      <c r="N184" s="953">
        <v>45108</v>
      </c>
      <c r="O184" s="959">
        <v>45197</v>
      </c>
      <c r="P184" s="975">
        <v>41.29</v>
      </c>
      <c r="Q184" s="954">
        <v>61.16</v>
      </c>
      <c r="R184" s="952">
        <f t="shared" si="16"/>
        <v>19.869999999999997</v>
      </c>
      <c r="S184" s="1185">
        <v>61.16</v>
      </c>
    </row>
    <row r="185" spans="8:19">
      <c r="H185" s="1258"/>
      <c r="I185" s="1389"/>
      <c r="J185" s="1389"/>
      <c r="K185" s="1389"/>
      <c r="L185" s="1389"/>
      <c r="M185" s="949" t="s">
        <v>1801</v>
      </c>
      <c r="N185" s="960">
        <v>45139</v>
      </c>
      <c r="O185" s="951">
        <v>45197</v>
      </c>
      <c r="P185" s="975">
        <v>1022.74</v>
      </c>
      <c r="Q185" s="961">
        <v>1514.73</v>
      </c>
      <c r="R185" s="952">
        <f t="shared" si="16"/>
        <v>491.99</v>
      </c>
      <c r="S185" s="1186">
        <v>1514.73</v>
      </c>
    </row>
    <row r="186" spans="8:19">
      <c r="H186" s="1258"/>
      <c r="I186" s="1389"/>
      <c r="J186" s="1389"/>
      <c r="K186" s="1389"/>
      <c r="L186" s="1389"/>
      <c r="M186" s="949" t="s">
        <v>1802</v>
      </c>
      <c r="N186" s="953">
        <v>45139</v>
      </c>
      <c r="O186" s="959">
        <v>45227</v>
      </c>
      <c r="P186" s="975">
        <v>41.29</v>
      </c>
      <c r="Q186" s="954">
        <v>60.59</v>
      </c>
      <c r="R186" s="952">
        <f t="shared" si="16"/>
        <v>19.300000000000004</v>
      </c>
      <c r="S186" s="1185">
        <v>60.59</v>
      </c>
    </row>
    <row r="187" spans="8:19">
      <c r="H187" s="1258"/>
      <c r="I187" s="1389"/>
      <c r="J187" s="1389"/>
      <c r="K187" s="1389"/>
      <c r="L187" s="1389"/>
      <c r="M187" s="949" t="s">
        <v>1803</v>
      </c>
      <c r="N187" s="960">
        <v>45170</v>
      </c>
      <c r="O187" s="951">
        <v>45228</v>
      </c>
      <c r="P187" s="975">
        <v>1022.74</v>
      </c>
      <c r="Q187" s="961">
        <v>1500.51</v>
      </c>
      <c r="R187" s="952">
        <f t="shared" si="16"/>
        <v>477.77</v>
      </c>
      <c r="S187" s="1186">
        <v>1500.51</v>
      </c>
    </row>
    <row r="188" spans="8:19">
      <c r="H188" s="1258"/>
      <c r="I188" s="1389"/>
      <c r="J188" s="1389"/>
      <c r="K188" s="1389"/>
      <c r="L188" s="1389"/>
      <c r="M188" s="962" t="s">
        <v>1804</v>
      </c>
      <c r="N188" s="963">
        <v>45170</v>
      </c>
      <c r="O188" s="951">
        <v>45258</v>
      </c>
      <c r="P188" s="975">
        <v>41.29</v>
      </c>
      <c r="Q188" s="954">
        <v>59.99</v>
      </c>
      <c r="R188" s="952">
        <f t="shared" si="16"/>
        <v>18.700000000000003</v>
      </c>
      <c r="S188" s="1185">
        <v>59.99</v>
      </c>
    </row>
    <row r="189" spans="8:19">
      <c r="H189" s="1258"/>
      <c r="I189" s="1389"/>
      <c r="J189" s="1389"/>
      <c r="K189" s="1389"/>
      <c r="L189" s="1389"/>
      <c r="M189" s="949" t="s">
        <v>1805</v>
      </c>
      <c r="N189" s="960">
        <v>45200</v>
      </c>
      <c r="O189" s="951">
        <v>45260</v>
      </c>
      <c r="P189" s="975">
        <v>1253.54</v>
      </c>
      <c r="Q189" s="961">
        <v>1821.34</v>
      </c>
      <c r="R189" s="952">
        <f t="shared" si="16"/>
        <v>567.79999999999995</v>
      </c>
      <c r="S189" s="1186">
        <v>1821.34</v>
      </c>
    </row>
    <row r="190" spans="8:19">
      <c r="H190" s="1258"/>
      <c r="I190" s="1389"/>
      <c r="J190" s="1389"/>
      <c r="K190" s="1389"/>
      <c r="L190" s="1389"/>
      <c r="M190" s="949" t="s">
        <v>1806</v>
      </c>
      <c r="N190" s="953">
        <v>45200</v>
      </c>
      <c r="O190" s="951">
        <v>45288</v>
      </c>
      <c r="P190" s="975">
        <v>50.58</v>
      </c>
      <c r="Q190" s="954">
        <v>72.83</v>
      </c>
      <c r="R190" s="952">
        <f t="shared" si="16"/>
        <v>22.25</v>
      </c>
      <c r="S190" s="1185">
        <v>72.83</v>
      </c>
    </row>
    <row r="191" spans="8:19">
      <c r="H191" s="1258"/>
      <c r="I191" s="1389"/>
      <c r="J191" s="1389"/>
      <c r="K191" s="1389"/>
      <c r="L191" s="1389"/>
      <c r="M191" s="949" t="s">
        <v>1807</v>
      </c>
      <c r="N191" s="960">
        <v>45231</v>
      </c>
      <c r="O191" s="951">
        <v>45294</v>
      </c>
      <c r="P191" s="975">
        <v>1253.54</v>
      </c>
      <c r="Q191" s="961">
        <v>1789.55</v>
      </c>
      <c r="R191" s="952">
        <f t="shared" si="16"/>
        <v>536.01</v>
      </c>
      <c r="S191" s="1186">
        <v>1789.55</v>
      </c>
    </row>
    <row r="192" spans="8:19">
      <c r="H192" s="1258"/>
      <c r="I192" s="1389"/>
      <c r="J192" s="1389"/>
      <c r="K192" s="1389"/>
      <c r="L192" s="1389"/>
      <c r="M192" s="949" t="s">
        <v>1808</v>
      </c>
      <c r="N192" s="953">
        <v>45231</v>
      </c>
      <c r="O192" s="951">
        <v>45319</v>
      </c>
      <c r="P192" s="975">
        <v>50.58</v>
      </c>
      <c r="Q192" s="954">
        <v>72.2</v>
      </c>
      <c r="R192" s="952">
        <f t="shared" si="16"/>
        <v>21.620000000000005</v>
      </c>
      <c r="S192" s="1185">
        <v>72.2</v>
      </c>
    </row>
    <row r="193" spans="8:19">
      <c r="H193" s="1258"/>
      <c r="I193" s="1389"/>
      <c r="J193" s="1389"/>
      <c r="K193" s="1389"/>
      <c r="L193" s="1389"/>
      <c r="M193" s="949" t="s">
        <v>1809</v>
      </c>
      <c r="N193" s="960">
        <v>45261</v>
      </c>
      <c r="O193" s="951">
        <v>45318</v>
      </c>
      <c r="P193" s="975">
        <v>960.34</v>
      </c>
      <c r="Q193" s="961">
        <v>1370.99</v>
      </c>
      <c r="R193" s="952">
        <f t="shared" si="16"/>
        <v>410.65</v>
      </c>
      <c r="S193" s="1186">
        <v>1370.99</v>
      </c>
    </row>
    <row r="194" spans="8:19">
      <c r="H194" s="1258"/>
      <c r="I194" s="1389"/>
      <c r="J194" s="1389"/>
      <c r="K194" s="1389"/>
      <c r="L194" s="1389"/>
      <c r="M194" s="949" t="s">
        <v>1810</v>
      </c>
      <c r="N194" s="953">
        <v>45261</v>
      </c>
      <c r="O194" s="951">
        <v>45350</v>
      </c>
      <c r="P194" s="975">
        <v>50.58</v>
      </c>
      <c r="Q194" s="954">
        <v>71.53</v>
      </c>
      <c r="R194" s="952">
        <f t="shared" si="16"/>
        <v>20.950000000000003</v>
      </c>
      <c r="S194" s="1185">
        <v>71.53</v>
      </c>
    </row>
    <row r="195" spans="8:19">
      <c r="H195" s="1258"/>
      <c r="I195" s="1389"/>
      <c r="J195" s="1389"/>
      <c r="K195" s="1389"/>
      <c r="L195" s="1389"/>
      <c r="M195" s="949" t="s">
        <v>1811</v>
      </c>
      <c r="N195" s="964">
        <v>45292</v>
      </c>
      <c r="O195" s="959">
        <v>45349</v>
      </c>
      <c r="P195" s="975">
        <v>1153.8599999999999</v>
      </c>
      <c r="Q195" s="961">
        <v>1631.8</v>
      </c>
      <c r="R195" s="952">
        <f t="shared" si="16"/>
        <v>477.94000000000005</v>
      </c>
      <c r="S195" s="1186">
        <v>1631.8</v>
      </c>
    </row>
    <row r="196" spans="8:19">
      <c r="H196" s="1258"/>
      <c r="I196" s="1389"/>
      <c r="J196" s="1389"/>
      <c r="K196" s="1389"/>
      <c r="L196" s="1389"/>
      <c r="M196" s="949" t="s">
        <v>1812</v>
      </c>
      <c r="N196" s="953">
        <v>45292</v>
      </c>
      <c r="O196" s="951">
        <v>45379</v>
      </c>
      <c r="P196" s="975">
        <v>50.58</v>
      </c>
      <c r="Q196" s="954">
        <v>70.97</v>
      </c>
      <c r="R196" s="952">
        <f t="shared" si="16"/>
        <v>20.39</v>
      </c>
      <c r="S196" s="1185">
        <v>70.97</v>
      </c>
    </row>
    <row r="197" spans="8:19">
      <c r="H197" s="1258"/>
      <c r="I197" s="1389"/>
      <c r="J197" s="1389"/>
      <c r="K197" s="1389"/>
      <c r="L197" s="1389"/>
      <c r="M197" s="949" t="s">
        <v>1813</v>
      </c>
      <c r="N197" s="964">
        <v>45323</v>
      </c>
      <c r="O197" s="959">
        <v>45379</v>
      </c>
      <c r="P197" s="975">
        <v>72213.81</v>
      </c>
      <c r="Q197" s="961">
        <v>101333.06</v>
      </c>
      <c r="R197" s="952">
        <f t="shared" si="16"/>
        <v>29119.25</v>
      </c>
      <c r="S197" s="1186">
        <v>101333.06</v>
      </c>
    </row>
    <row r="198" spans="8:19">
      <c r="H198" s="1258"/>
      <c r="I198" s="1389"/>
      <c r="J198" s="1389"/>
      <c r="K198" s="1389"/>
      <c r="L198" s="1389"/>
      <c r="M198" s="949" t="s">
        <v>1814</v>
      </c>
      <c r="N198" s="953">
        <v>45323</v>
      </c>
      <c r="O198" s="951">
        <v>45410</v>
      </c>
      <c r="P198" s="975">
        <v>50.58</v>
      </c>
      <c r="Q198" s="954">
        <v>70.400000000000006</v>
      </c>
      <c r="R198" s="952">
        <f t="shared" si="16"/>
        <v>19.820000000000007</v>
      </c>
      <c r="S198" s="1185">
        <v>70.400000000000006</v>
      </c>
    </row>
    <row r="199" spans="8:19">
      <c r="H199" s="1258"/>
      <c r="I199" s="1389"/>
      <c r="J199" s="1389"/>
      <c r="K199" s="1389"/>
      <c r="L199" s="1389"/>
      <c r="M199" s="949" t="s">
        <v>1815</v>
      </c>
      <c r="N199" s="964">
        <v>45352</v>
      </c>
      <c r="O199" s="959">
        <v>45410</v>
      </c>
      <c r="P199" s="975">
        <v>6361.09</v>
      </c>
      <c r="Q199" s="961">
        <v>8854.36</v>
      </c>
      <c r="R199" s="952">
        <f t="shared" si="16"/>
        <v>2493.2700000000004</v>
      </c>
      <c r="S199" s="1186">
        <v>8854.36</v>
      </c>
    </row>
    <row r="200" spans="8:19">
      <c r="H200" s="1258"/>
      <c r="I200" s="1389"/>
      <c r="J200" s="1389"/>
      <c r="K200" s="1389"/>
      <c r="L200" s="1389"/>
      <c r="M200" s="949" t="s">
        <v>1816</v>
      </c>
      <c r="N200" s="953">
        <v>45352</v>
      </c>
      <c r="O200" s="951">
        <v>45440</v>
      </c>
      <c r="P200" s="975">
        <v>50.58</v>
      </c>
      <c r="Q200" s="954">
        <v>69.8</v>
      </c>
      <c r="R200" s="952">
        <f t="shared" si="16"/>
        <v>19.22</v>
      </c>
      <c r="S200" s="1185">
        <v>69.8</v>
      </c>
    </row>
    <row r="201" spans="8:19">
      <c r="H201" s="1258"/>
      <c r="I201" s="1389"/>
      <c r="J201" s="1389"/>
      <c r="K201" s="1389"/>
      <c r="L201" s="1389"/>
      <c r="M201" s="949" t="s">
        <v>1817</v>
      </c>
      <c r="N201" s="964">
        <v>45383</v>
      </c>
      <c r="O201" s="959">
        <v>45439</v>
      </c>
      <c r="P201" s="975">
        <v>1581.93</v>
      </c>
      <c r="Q201" s="961">
        <v>2183.02</v>
      </c>
      <c r="R201" s="952">
        <f t="shared" si="16"/>
        <v>601.08999999999992</v>
      </c>
      <c r="S201" s="1186">
        <v>2183.02</v>
      </c>
    </row>
    <row r="202" spans="8:19">
      <c r="H202" s="1258"/>
      <c r="I202" s="1389"/>
      <c r="J202" s="1389"/>
      <c r="K202" s="1389"/>
      <c r="L202" s="1389"/>
      <c r="M202" s="949" t="s">
        <v>1818</v>
      </c>
      <c r="N202" s="953">
        <v>45383</v>
      </c>
      <c r="O202" s="958">
        <v>45471</v>
      </c>
      <c r="P202" s="975">
        <v>50.58</v>
      </c>
      <c r="Q202" s="1188">
        <v>69.23</v>
      </c>
      <c r="R202" s="952">
        <f t="shared" si="16"/>
        <v>18.650000000000006</v>
      </c>
      <c r="S202" s="1187">
        <v>69.23</v>
      </c>
    </row>
    <row r="203" spans="8:19">
      <c r="H203" s="1258"/>
      <c r="I203" s="1389"/>
      <c r="J203" s="1389"/>
      <c r="K203" s="1389"/>
      <c r="L203" s="1389"/>
      <c r="M203" s="949" t="s">
        <v>1819</v>
      </c>
      <c r="N203" s="964">
        <v>45413</v>
      </c>
      <c r="O203" s="959">
        <v>45471</v>
      </c>
      <c r="P203" s="975">
        <v>22.48</v>
      </c>
      <c r="Q203" s="961">
        <v>30.78</v>
      </c>
      <c r="R203" s="952">
        <f t="shared" si="16"/>
        <v>8.3000000000000007</v>
      </c>
      <c r="S203" s="1186">
        <v>30.78</v>
      </c>
    </row>
    <row r="204" spans="8:19">
      <c r="H204" s="1258"/>
      <c r="I204" s="1389"/>
      <c r="J204" s="1389"/>
      <c r="K204" s="1389"/>
      <c r="L204" s="1389"/>
      <c r="M204" s="949" t="s">
        <v>1820</v>
      </c>
      <c r="N204" s="965">
        <v>45413</v>
      </c>
      <c r="O204" s="959">
        <v>45501</v>
      </c>
      <c r="P204" s="975">
        <v>50.58</v>
      </c>
      <c r="Q204" s="954">
        <v>68.709999999999994</v>
      </c>
      <c r="R204" s="952">
        <f t="shared" si="16"/>
        <v>18.129999999999995</v>
      </c>
      <c r="S204" s="1185">
        <v>68.709999999999994</v>
      </c>
    </row>
    <row r="205" spans="8:19">
      <c r="H205" s="1258"/>
      <c r="I205" s="1389"/>
      <c r="J205" s="1389"/>
      <c r="K205" s="1389"/>
      <c r="L205" s="1389"/>
      <c r="M205" s="949" t="s">
        <v>1821</v>
      </c>
      <c r="N205" s="964">
        <v>45444</v>
      </c>
      <c r="O205" s="959">
        <v>45500</v>
      </c>
      <c r="P205" s="975">
        <v>8313.7999999999993</v>
      </c>
      <c r="Q205" s="961">
        <v>11293.56</v>
      </c>
      <c r="R205" s="952">
        <f t="shared" si="16"/>
        <v>2979.76</v>
      </c>
      <c r="S205" s="1186">
        <v>11293.56</v>
      </c>
    </row>
    <row r="206" spans="8:19">
      <c r="H206" s="1258"/>
      <c r="I206" s="1389"/>
      <c r="J206" s="1389"/>
      <c r="K206" s="1389"/>
      <c r="L206" s="1389"/>
      <c r="M206" s="949" t="s">
        <v>1822</v>
      </c>
      <c r="N206" s="965">
        <v>45444</v>
      </c>
      <c r="O206" s="959">
        <v>45532</v>
      </c>
      <c r="P206" s="975">
        <v>50.58</v>
      </c>
      <c r="Q206" s="954">
        <v>68.099999999999994</v>
      </c>
      <c r="R206" s="952">
        <f t="shared" si="16"/>
        <v>17.519999999999996</v>
      </c>
      <c r="S206" s="1185">
        <v>68.099999999999994</v>
      </c>
    </row>
    <row r="207" spans="8:19">
      <c r="H207" s="1258"/>
      <c r="I207" s="1389"/>
      <c r="J207" s="1389"/>
      <c r="K207" s="1389"/>
      <c r="L207" s="1389"/>
      <c r="M207" s="949" t="s">
        <v>1823</v>
      </c>
      <c r="N207" s="964">
        <v>45474</v>
      </c>
      <c r="O207" s="959">
        <v>45533</v>
      </c>
      <c r="P207" s="975">
        <v>2965.83</v>
      </c>
      <c r="Q207" s="961">
        <v>3993.37</v>
      </c>
      <c r="R207" s="952">
        <f t="shared" si="16"/>
        <v>1027.54</v>
      </c>
      <c r="S207" s="1186">
        <v>3993.37</v>
      </c>
    </row>
    <row r="208" spans="8:19">
      <c r="H208" s="1258"/>
      <c r="I208" s="1389"/>
      <c r="J208" s="1389"/>
      <c r="K208" s="1389"/>
      <c r="L208" s="1389"/>
      <c r="M208" s="949" t="s">
        <v>1824</v>
      </c>
      <c r="N208" s="965">
        <v>45474</v>
      </c>
      <c r="O208" s="959">
        <v>45563</v>
      </c>
      <c r="P208" s="975">
        <v>50.58</v>
      </c>
      <c r="Q208" s="954">
        <v>67.53</v>
      </c>
      <c r="R208" s="952">
        <f t="shared" si="16"/>
        <v>16.950000000000003</v>
      </c>
      <c r="S208" s="1185">
        <v>67.53</v>
      </c>
    </row>
    <row r="209" spans="8:19">
      <c r="H209" s="1258"/>
      <c r="I209" s="1389"/>
      <c r="J209" s="1389"/>
      <c r="K209" s="1389"/>
      <c r="L209" s="1389"/>
      <c r="M209" s="949" t="s">
        <v>1825</v>
      </c>
      <c r="N209" s="964">
        <v>45505</v>
      </c>
      <c r="O209" s="959">
        <v>45564</v>
      </c>
      <c r="P209" s="975">
        <v>3634.33</v>
      </c>
      <c r="Q209" s="961">
        <v>4852.3100000000004</v>
      </c>
      <c r="R209" s="952">
        <f t="shared" si="16"/>
        <v>1217.9800000000005</v>
      </c>
      <c r="S209" s="1186">
        <v>4852.3100000000004</v>
      </c>
    </row>
    <row r="210" spans="8:19">
      <c r="H210" s="1258"/>
      <c r="I210" s="1389"/>
      <c r="J210" s="1389"/>
      <c r="K210" s="1389"/>
      <c r="L210" s="1389"/>
      <c r="M210" s="949" t="s">
        <v>1826</v>
      </c>
      <c r="N210" s="965">
        <v>45505</v>
      </c>
      <c r="O210" s="959">
        <v>45593</v>
      </c>
      <c r="P210" s="975">
        <v>50.58</v>
      </c>
      <c r="Q210" s="954">
        <v>66.98</v>
      </c>
      <c r="R210" s="952">
        <f t="shared" si="16"/>
        <v>16.400000000000006</v>
      </c>
      <c r="S210" s="1185">
        <v>66.98</v>
      </c>
    </row>
    <row r="211" spans="8:19">
      <c r="H211" s="1258"/>
      <c r="I211" s="1389"/>
      <c r="J211" s="1389"/>
      <c r="K211" s="1389"/>
      <c r="L211" s="1389"/>
      <c r="M211" s="949" t="s">
        <v>1827</v>
      </c>
      <c r="N211" s="964">
        <v>45536</v>
      </c>
      <c r="O211" s="959">
        <v>45592</v>
      </c>
      <c r="P211" s="975">
        <v>4467.0200000000004</v>
      </c>
      <c r="Q211" s="961">
        <v>5195.6000000000004</v>
      </c>
      <c r="R211" s="952">
        <f t="shared" si="16"/>
        <v>728.57999999999993</v>
      </c>
      <c r="S211" s="1186">
        <v>5915.6</v>
      </c>
    </row>
    <row r="212" spans="8:19">
      <c r="H212" s="1258"/>
      <c r="I212" s="1389"/>
      <c r="J212" s="1389"/>
      <c r="K212" s="1389"/>
      <c r="L212" s="1389"/>
      <c r="M212" s="949" t="s">
        <v>1828</v>
      </c>
      <c r="N212" s="965">
        <v>45536</v>
      </c>
      <c r="O212" s="959">
        <v>45624</v>
      </c>
      <c r="P212" s="975">
        <v>50.58</v>
      </c>
      <c r="Q212" s="954">
        <v>66.37</v>
      </c>
      <c r="R212" s="952">
        <f t="shared" si="16"/>
        <v>15.790000000000006</v>
      </c>
      <c r="S212" s="1185">
        <v>66.37</v>
      </c>
    </row>
    <row r="213" spans="8:19">
      <c r="H213" s="1258"/>
      <c r="I213" s="1389"/>
      <c r="J213" s="1389"/>
      <c r="K213" s="1389"/>
      <c r="L213" s="1389"/>
      <c r="M213" s="949" t="s">
        <v>1829</v>
      </c>
      <c r="N213" s="964">
        <v>45566</v>
      </c>
      <c r="O213" s="959">
        <v>45624</v>
      </c>
      <c r="P213" s="975">
        <v>3066.88</v>
      </c>
      <c r="Q213" s="961">
        <v>3946.18</v>
      </c>
      <c r="R213" s="952">
        <f t="shared" si="16"/>
        <v>879.29999999999973</v>
      </c>
      <c r="S213" s="1186">
        <v>3946.18</v>
      </c>
    </row>
    <row r="214" spans="8:19">
      <c r="H214" s="1258"/>
      <c r="I214" s="1389"/>
      <c r="J214" s="1389"/>
      <c r="K214" s="1389"/>
      <c r="L214" s="1389"/>
      <c r="M214" s="949" t="s">
        <v>1830</v>
      </c>
      <c r="N214" s="965">
        <v>45566</v>
      </c>
      <c r="O214" s="959">
        <v>45654</v>
      </c>
      <c r="P214" s="975">
        <v>50.58</v>
      </c>
      <c r="Q214" s="954">
        <v>65.87</v>
      </c>
      <c r="R214" s="952">
        <f t="shared" si="16"/>
        <v>15.290000000000006</v>
      </c>
      <c r="S214" s="1185">
        <v>65.87</v>
      </c>
    </row>
    <row r="215" spans="8:19">
      <c r="H215" s="1258"/>
      <c r="I215" s="1389"/>
      <c r="J215" s="1389"/>
      <c r="K215" s="1389"/>
      <c r="L215" s="1389"/>
      <c r="M215" s="949" t="s">
        <v>1831</v>
      </c>
      <c r="N215" s="964">
        <v>45597</v>
      </c>
      <c r="O215" s="959">
        <v>45653</v>
      </c>
      <c r="P215" s="975">
        <v>3614.78</v>
      </c>
      <c r="Q215" s="961">
        <v>4707.74</v>
      </c>
      <c r="R215" s="952">
        <f t="shared" si="16"/>
        <v>1092.9599999999996</v>
      </c>
      <c r="S215" s="1186">
        <v>4707.74</v>
      </c>
    </row>
    <row r="216" spans="8:19">
      <c r="H216" s="1258"/>
      <c r="I216" s="1389"/>
      <c r="J216" s="1389"/>
      <c r="K216" s="1389"/>
      <c r="L216" s="1389"/>
      <c r="M216" s="949" t="s">
        <v>1832</v>
      </c>
      <c r="N216" s="965">
        <v>45597</v>
      </c>
      <c r="O216" s="959">
        <v>45685</v>
      </c>
      <c r="P216" s="975">
        <v>52.49</v>
      </c>
      <c r="Q216" s="954">
        <v>52.49</v>
      </c>
      <c r="R216" s="952">
        <f t="shared" si="16"/>
        <v>0</v>
      </c>
      <c r="S216" s="1185">
        <v>52.49</v>
      </c>
    </row>
    <row r="217" spans="8:19">
      <c r="H217" s="1258"/>
      <c r="I217" s="1389"/>
      <c r="J217" s="1389"/>
      <c r="K217" s="1389"/>
      <c r="L217" s="1389"/>
      <c r="M217" s="949" t="s">
        <v>1833</v>
      </c>
      <c r="N217" s="966">
        <v>45627</v>
      </c>
      <c r="O217" s="959">
        <v>45684</v>
      </c>
      <c r="P217" s="975">
        <v>3614.78</v>
      </c>
      <c r="Q217" s="961">
        <v>3614.78</v>
      </c>
      <c r="R217" s="952">
        <f t="shared" si="16"/>
        <v>0</v>
      </c>
      <c r="S217" s="1186">
        <v>3614.78</v>
      </c>
    </row>
    <row r="218" spans="8:19">
      <c r="H218" s="1258"/>
      <c r="I218" s="1389"/>
      <c r="J218" s="1389"/>
      <c r="K218" s="1389"/>
      <c r="L218" s="1389"/>
      <c r="M218" s="949" t="s">
        <v>1832</v>
      </c>
      <c r="N218" s="965">
        <v>45627</v>
      </c>
      <c r="O218" s="959">
        <v>45716</v>
      </c>
      <c r="P218" s="975">
        <v>52.49</v>
      </c>
      <c r="Q218" s="954">
        <v>52.49</v>
      </c>
      <c r="R218" s="952">
        <f t="shared" si="16"/>
        <v>0</v>
      </c>
      <c r="S218" s="1185">
        <v>52.49</v>
      </c>
    </row>
    <row r="219" spans="8:19">
      <c r="H219" s="1258"/>
      <c r="I219" s="1389"/>
      <c r="J219" s="1389"/>
      <c r="K219" s="1389"/>
      <c r="L219" s="1389"/>
      <c r="M219" s="956" t="s">
        <v>1834</v>
      </c>
      <c r="N219" s="967">
        <v>45931</v>
      </c>
      <c r="O219" s="968">
        <v>45989</v>
      </c>
      <c r="P219" s="976">
        <v>10962.99</v>
      </c>
      <c r="Q219" s="961">
        <v>10962.99</v>
      </c>
      <c r="R219" s="952">
        <f t="shared" si="16"/>
        <v>0</v>
      </c>
      <c r="S219" s="1186">
        <v>10962.99</v>
      </c>
    </row>
    <row r="220" spans="8:19">
      <c r="H220" s="1258"/>
      <c r="I220" s="1389"/>
      <c r="J220" s="1389"/>
      <c r="K220" s="1389"/>
      <c r="L220" s="1389"/>
      <c r="M220" s="956" t="s">
        <v>1835</v>
      </c>
      <c r="N220" s="967">
        <v>45931</v>
      </c>
      <c r="O220" s="968">
        <v>46019</v>
      </c>
      <c r="P220" s="975">
        <v>52.49</v>
      </c>
      <c r="Q220" s="954">
        <v>52.49</v>
      </c>
      <c r="R220" s="952">
        <f t="shared" si="16"/>
        <v>0</v>
      </c>
      <c r="S220" s="1185">
        <v>52.49</v>
      </c>
    </row>
    <row r="221" spans="8:19">
      <c r="H221" s="1258"/>
      <c r="I221" s="1389"/>
      <c r="J221" s="1389"/>
      <c r="K221" s="1389"/>
      <c r="L221" s="1389"/>
      <c r="M221" s="949" t="s">
        <v>1834</v>
      </c>
      <c r="N221" s="965">
        <v>45962</v>
      </c>
      <c r="O221" s="959">
        <v>46020</v>
      </c>
      <c r="P221" s="975">
        <v>10962.99</v>
      </c>
      <c r="Q221" s="961">
        <v>10962.99</v>
      </c>
      <c r="R221" s="952">
        <f t="shared" si="16"/>
        <v>0</v>
      </c>
      <c r="S221" s="1186">
        <v>10962.99</v>
      </c>
    </row>
    <row r="222" spans="8:19">
      <c r="H222" s="1258"/>
      <c r="I222" s="1389"/>
      <c r="J222" s="1389"/>
      <c r="K222" s="1389"/>
      <c r="L222" s="1389"/>
      <c r="M222" s="949" t="s">
        <v>1835</v>
      </c>
      <c r="N222" s="965">
        <v>45962</v>
      </c>
      <c r="O222" s="959">
        <v>46050</v>
      </c>
      <c r="P222" s="975">
        <v>52.49</v>
      </c>
      <c r="Q222" s="954">
        <v>52.49</v>
      </c>
      <c r="R222" s="952">
        <f t="shared" ref="R222:R224" si="17">Q222-P222</f>
        <v>0</v>
      </c>
      <c r="S222" s="1185">
        <v>52.49</v>
      </c>
    </row>
    <row r="223" spans="8:19">
      <c r="H223" s="1258"/>
      <c r="I223" s="1389"/>
      <c r="J223" s="1389"/>
      <c r="K223" s="1389"/>
      <c r="L223" s="1389"/>
      <c r="M223" s="956" t="s">
        <v>1836</v>
      </c>
      <c r="N223" s="967">
        <v>45992</v>
      </c>
      <c r="O223" s="968">
        <v>46051</v>
      </c>
      <c r="P223" s="976">
        <v>11437.16</v>
      </c>
      <c r="Q223" s="969">
        <v>11437.16</v>
      </c>
      <c r="R223" s="952">
        <f t="shared" si="17"/>
        <v>0</v>
      </c>
      <c r="S223" s="1186">
        <v>11437.16</v>
      </c>
    </row>
    <row r="224" spans="8:19">
      <c r="H224" s="1259"/>
      <c r="I224" s="1390"/>
      <c r="J224" s="1390"/>
      <c r="K224" s="1390"/>
      <c r="L224" s="1390"/>
      <c r="M224" s="956" t="s">
        <v>1837</v>
      </c>
      <c r="N224" s="967">
        <v>45992</v>
      </c>
      <c r="O224" s="968">
        <v>46081</v>
      </c>
      <c r="P224" s="975">
        <v>55.6</v>
      </c>
      <c r="Q224" s="954">
        <v>55.6</v>
      </c>
      <c r="R224" s="952">
        <f t="shared" si="17"/>
        <v>0</v>
      </c>
      <c r="S224" s="1185">
        <v>55.6</v>
      </c>
    </row>
    <row r="225" spans="8:19" ht="15" customHeight="1">
      <c r="H225" s="970" t="s">
        <v>1657</v>
      </c>
      <c r="I225" s="971" t="s">
        <v>1657</v>
      </c>
      <c r="J225" s="971" t="s">
        <v>1657</v>
      </c>
      <c r="K225" s="971" t="s">
        <v>1657</v>
      </c>
      <c r="L225" s="972" t="s">
        <v>1657</v>
      </c>
      <c r="M225" s="1391" t="s">
        <v>1838</v>
      </c>
      <c r="N225" s="1392"/>
      <c r="O225" s="1392"/>
      <c r="P225" s="973">
        <f>SUM(P93:P224)</f>
        <v>252224.99999999971</v>
      </c>
      <c r="Q225" s="973">
        <f>SUM(Q93:Q224)</f>
        <v>380585.54999999981</v>
      </c>
      <c r="R225" s="973">
        <f t="shared" ref="Q225:R225" si="18">SUM(R93:R224)</f>
        <v>128360.54999999997</v>
      </c>
      <c r="S225" s="1189">
        <f>SUM(S93:S224)</f>
        <v>381215.54999999981</v>
      </c>
    </row>
    <row r="226" spans="8:19" ht="17.25">
      <c r="H226" s="974" t="s">
        <v>1657</v>
      </c>
      <c r="I226" s="974" t="s">
        <v>1657</v>
      </c>
      <c r="J226" s="974" t="s">
        <v>1657</v>
      </c>
      <c r="K226" s="974" t="s">
        <v>1657</v>
      </c>
      <c r="L226" s="974" t="s">
        <v>1657</v>
      </c>
      <c r="M226" s="974" t="s">
        <v>1657</v>
      </c>
      <c r="N226" s="974" t="s">
        <v>1657</v>
      </c>
      <c r="O226" s="974" t="s">
        <v>1657</v>
      </c>
      <c r="P226" s="974" t="s">
        <v>1657</v>
      </c>
      <c r="Q226" s="974" t="s">
        <v>1657</v>
      </c>
      <c r="R226" s="974" t="s">
        <v>1657</v>
      </c>
    </row>
    <row r="227" spans="8:19">
      <c r="R227" s="1189">
        <f>S225-Q225</f>
        <v>630</v>
      </c>
    </row>
  </sheetData>
  <mergeCells count="18">
    <mergeCell ref="M79:O79"/>
    <mergeCell ref="AZ60:AZ61"/>
    <mergeCell ref="F1:G1"/>
    <mergeCell ref="AW60:AW61"/>
    <mergeCell ref="AX60:AX61"/>
    <mergeCell ref="AY60:AY61"/>
    <mergeCell ref="M225:O225"/>
    <mergeCell ref="H93:H224"/>
    <mergeCell ref="I93:I224"/>
    <mergeCell ref="J93:J224"/>
    <mergeCell ref="K93:K224"/>
    <mergeCell ref="L93:L224"/>
    <mergeCell ref="B111:B132"/>
    <mergeCell ref="B108:B110"/>
    <mergeCell ref="D79:F79"/>
    <mergeCell ref="G79:I79"/>
    <mergeCell ref="J79:L79"/>
    <mergeCell ref="F91:G91"/>
  </mergeCells>
  <conditionalFormatting sqref="L58">
    <cfRule type="cellIs" dxfId="49" priority="20" operator="equal">
      <formula>"NÃO"</formula>
    </cfRule>
  </conditionalFormatting>
  <conditionalFormatting sqref="L58">
    <cfRule type="cellIs" dxfId="48" priority="21" operator="equal">
      <formula>"SIM"</formula>
    </cfRule>
  </conditionalFormatting>
  <conditionalFormatting sqref="L50:L51">
    <cfRule type="cellIs" dxfId="47" priority="18" operator="equal">
      <formula>"NÃO"</formula>
    </cfRule>
  </conditionalFormatting>
  <conditionalFormatting sqref="L50:L51">
    <cfRule type="cellIs" dxfId="46" priority="19" operator="equal">
      <formula>"SIM"</formula>
    </cfRule>
  </conditionalFormatting>
  <conditionalFormatting sqref="L35">
    <cfRule type="cellIs" dxfId="45" priority="16" operator="equal">
      <formula>"NÃO"</formula>
    </cfRule>
  </conditionalFormatting>
  <conditionalFormatting sqref="L35">
    <cfRule type="cellIs" dxfId="44" priority="17" operator="equal">
      <formula>"SIM"</formula>
    </cfRule>
  </conditionalFormatting>
  <conditionalFormatting sqref="L67">
    <cfRule type="cellIs" dxfId="43" priority="11" operator="equal">
      <formula>"EM ATRASO"</formula>
    </cfRule>
  </conditionalFormatting>
  <conditionalFormatting sqref="L67">
    <cfRule type="cellIs" dxfId="42" priority="12" operator="equal">
      <formula>"ENCAMINHADO"</formula>
    </cfRule>
  </conditionalFormatting>
  <conditionalFormatting sqref="L67">
    <cfRule type="cellIs" dxfId="41" priority="13" operator="equal">
      <formula>"ENCAMINHAR URGENTE"</formula>
    </cfRule>
  </conditionalFormatting>
  <conditionalFormatting sqref="L67">
    <cfRule type="cellIs" dxfId="40" priority="14" operator="equal">
      <formula>"TIRAR SEGUNDA VIA"</formula>
    </cfRule>
  </conditionalFormatting>
  <conditionalFormatting sqref="L67">
    <cfRule type="cellIs" dxfId="39" priority="15" operator="equal">
      <formula>"DESATIVADA"</formula>
    </cfRule>
  </conditionalFormatting>
  <conditionalFormatting sqref="L68">
    <cfRule type="cellIs" dxfId="38" priority="6" operator="equal">
      <formula>"EM ATRASO"</formula>
    </cfRule>
  </conditionalFormatting>
  <conditionalFormatting sqref="L68">
    <cfRule type="cellIs" dxfId="37" priority="7" operator="equal">
      <formula>"ENCAMINHADO"</formula>
    </cfRule>
  </conditionalFormatting>
  <conditionalFormatting sqref="L68">
    <cfRule type="cellIs" dxfId="36" priority="8" operator="equal">
      <formula>"ENCAMINHAR URGENTE"</formula>
    </cfRule>
  </conditionalFormatting>
  <conditionalFormatting sqref="L68">
    <cfRule type="cellIs" dxfId="35" priority="9" operator="equal">
      <formula>"TIRAR SEGUNDA VIA"</formula>
    </cfRule>
  </conditionalFormatting>
  <conditionalFormatting sqref="L68">
    <cfRule type="cellIs" dxfId="34" priority="10" operator="equal">
      <formula>"DESATIVADA"</formula>
    </cfRule>
  </conditionalFormatting>
  <conditionalFormatting sqref="L69:L71">
    <cfRule type="cellIs" dxfId="33" priority="1" operator="equal">
      <formula>"EM ATRASO"</formula>
    </cfRule>
  </conditionalFormatting>
  <conditionalFormatting sqref="L69:L71">
    <cfRule type="cellIs" dxfId="32" priority="2" operator="equal">
      <formula>"ENCAMINHADO"</formula>
    </cfRule>
  </conditionalFormatting>
  <conditionalFormatting sqref="L69:L71">
    <cfRule type="cellIs" dxfId="31" priority="3" operator="equal">
      <formula>"ENCAMINHAR URGENTE"</formula>
    </cfRule>
  </conditionalFormatting>
  <conditionalFormatting sqref="L69:L71">
    <cfRule type="cellIs" dxfId="30" priority="4" operator="equal">
      <formula>"TIRAR SEGUNDA VIA"</formula>
    </cfRule>
  </conditionalFormatting>
  <conditionalFormatting sqref="L69:L71">
    <cfRule type="cellIs" dxfId="29" priority="5" operator="equal">
      <formula>"DESATIVADA"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19BF-53D4-4714-BD0C-6B52EEE199A2}">
  <dimension ref="A1"/>
  <sheetViews>
    <sheetView workbookViewId="0">
      <selection activeCell="A2" sqref="A2"/>
    </sheetView>
  </sheetViews>
  <sheetFormatPr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7096-8F72-4A21-B5E5-253F1CF199FD}">
  <dimension ref="B2:J20"/>
  <sheetViews>
    <sheetView workbookViewId="0">
      <selection activeCell="B4" sqref="B4"/>
    </sheetView>
  </sheetViews>
  <sheetFormatPr defaultRowHeight="15"/>
  <cols>
    <col min="1" max="1" width="5.42578125" style="175" customWidth="1"/>
    <col min="2" max="2" width="25" style="175" customWidth="1"/>
    <col min="3" max="3" width="55.85546875" style="175" customWidth="1"/>
    <col min="4" max="4" width="28.85546875" style="175" customWidth="1"/>
    <col min="5" max="5" width="20.28515625" style="175" customWidth="1"/>
    <col min="6" max="6" width="28.42578125" style="175" customWidth="1"/>
    <col min="7" max="7" width="27.42578125" style="175" customWidth="1"/>
    <col min="8" max="8" width="22.140625" style="175" customWidth="1"/>
    <col min="9" max="9" width="27.140625" style="175" customWidth="1"/>
    <col min="10" max="10" width="19.42578125" style="175" customWidth="1"/>
    <col min="11" max="16384" width="9.140625" style="175"/>
  </cols>
  <sheetData>
    <row r="2" spans="2:10" ht="20.25" customHeight="1">
      <c r="B2" s="190" t="s">
        <v>1839</v>
      </c>
      <c r="C2" s="190" t="s">
        <v>1560</v>
      </c>
      <c r="D2" s="190" t="s">
        <v>18</v>
      </c>
      <c r="E2" s="190" t="s">
        <v>1840</v>
      </c>
      <c r="F2" s="190" t="s">
        <v>1841</v>
      </c>
      <c r="G2" s="190" t="s">
        <v>1842</v>
      </c>
      <c r="H2" s="191" t="s">
        <v>1843</v>
      </c>
      <c r="I2" s="1141" t="s">
        <v>1844</v>
      </c>
      <c r="J2" s="1141" t="s">
        <v>1845</v>
      </c>
    </row>
    <row r="3" spans="2:10">
      <c r="B3" s="171" t="s">
        <v>1846</v>
      </c>
      <c r="C3" s="171" t="s">
        <v>1847</v>
      </c>
      <c r="D3" s="171" t="s">
        <v>1848</v>
      </c>
      <c r="E3" s="171" t="s">
        <v>1849</v>
      </c>
      <c r="F3" s="172">
        <v>46077</v>
      </c>
      <c r="G3" s="171" t="s">
        <v>1850</v>
      </c>
      <c r="H3" s="1138">
        <v>95964.92</v>
      </c>
      <c r="I3" s="172">
        <v>45945</v>
      </c>
      <c r="J3" s="176"/>
    </row>
    <row r="4" spans="2:10">
      <c r="B4" s="171" t="s">
        <v>1851</v>
      </c>
      <c r="C4" s="171" t="s">
        <v>1852</v>
      </c>
      <c r="D4" s="171" t="s">
        <v>1648</v>
      </c>
      <c r="E4" s="171" t="s">
        <v>1853</v>
      </c>
      <c r="F4" s="1098">
        <v>46111</v>
      </c>
      <c r="G4" s="171" t="s">
        <v>1850</v>
      </c>
      <c r="H4" s="1138">
        <v>241360.55</v>
      </c>
      <c r="I4" s="176"/>
      <c r="J4" s="176"/>
    </row>
    <row r="5" spans="2:10" ht="57.75">
      <c r="B5" s="171" t="s">
        <v>1631</v>
      </c>
      <c r="C5" s="484" t="s">
        <v>1854</v>
      </c>
      <c r="D5" s="484" t="s">
        <v>1855</v>
      </c>
      <c r="E5" s="484" t="s">
        <v>1856</v>
      </c>
      <c r="F5" s="171"/>
      <c r="G5" s="171"/>
      <c r="H5" s="1138">
        <v>170370.47</v>
      </c>
      <c r="I5" s="176"/>
      <c r="J5" s="176"/>
    </row>
    <row r="6" spans="2:10">
      <c r="B6" s="171"/>
      <c r="C6" s="171"/>
      <c r="D6" s="171"/>
      <c r="E6" s="171"/>
      <c r="F6" s="171"/>
      <c r="G6" s="171"/>
      <c r="H6" s="1138"/>
      <c r="I6" s="176"/>
      <c r="J6" s="176"/>
    </row>
    <row r="7" spans="2:10">
      <c r="B7" s="171"/>
      <c r="C7" s="171"/>
      <c r="D7" s="171"/>
      <c r="E7" s="171"/>
      <c r="F7" s="171"/>
      <c r="G7" s="171"/>
      <c r="H7" s="1138"/>
      <c r="I7" s="176"/>
      <c r="J7" s="176"/>
    </row>
    <row r="8" spans="2:10">
      <c r="B8" s="189"/>
      <c r="C8" s="189"/>
      <c r="D8" s="189"/>
      <c r="E8" s="189"/>
      <c r="F8" s="189"/>
      <c r="G8" s="189"/>
      <c r="H8" s="1139"/>
      <c r="I8" s="176"/>
      <c r="J8" s="176"/>
    </row>
    <row r="9" spans="2:10">
      <c r="B9" s="171"/>
      <c r="C9" s="171"/>
      <c r="D9" s="171"/>
      <c r="E9" s="171"/>
      <c r="F9" s="171"/>
      <c r="G9" s="171"/>
      <c r="H9" s="1138"/>
      <c r="I9" s="176"/>
      <c r="J9" s="176"/>
    </row>
    <row r="10" spans="2:10">
      <c r="B10" s="176"/>
      <c r="C10" s="176"/>
      <c r="D10" s="176"/>
      <c r="E10" s="176"/>
      <c r="F10" s="176"/>
      <c r="G10" s="176"/>
      <c r="H10" s="1140"/>
      <c r="I10" s="176"/>
      <c r="J10" s="176"/>
    </row>
    <row r="11" spans="2:10">
      <c r="B11" s="176"/>
      <c r="C11" s="176"/>
      <c r="D11" s="176"/>
      <c r="E11" s="176"/>
      <c r="F11" s="176"/>
      <c r="G11" s="176"/>
      <c r="H11" s="1140"/>
      <c r="I11" s="176"/>
      <c r="J11" s="176"/>
    </row>
    <row r="12" spans="2:10">
      <c r="B12" s="176"/>
      <c r="C12" s="176"/>
      <c r="D12" s="176"/>
      <c r="E12" s="176"/>
      <c r="F12" s="176"/>
      <c r="G12" s="176"/>
      <c r="H12" s="1140"/>
      <c r="I12" s="176"/>
      <c r="J12" s="176"/>
    </row>
    <row r="13" spans="2:10">
      <c r="B13" s="176"/>
      <c r="C13" s="176"/>
      <c r="D13" s="176"/>
      <c r="E13" s="176"/>
      <c r="F13" s="176"/>
      <c r="G13" s="176"/>
      <c r="H13" s="1140"/>
      <c r="I13" s="176"/>
      <c r="J13" s="176"/>
    </row>
    <row r="14" spans="2:10">
      <c r="B14" s="176"/>
      <c r="C14" s="176"/>
      <c r="D14" s="176"/>
      <c r="E14" s="176"/>
      <c r="F14" s="176"/>
      <c r="G14" s="176"/>
      <c r="H14" s="1140"/>
      <c r="I14" s="176"/>
      <c r="J14" s="176"/>
    </row>
    <row r="15" spans="2:10">
      <c r="B15" s="176"/>
      <c r="C15" s="176"/>
      <c r="D15" s="176"/>
      <c r="E15" s="176"/>
      <c r="F15" s="176"/>
      <c r="G15" s="176"/>
      <c r="H15" s="1140"/>
      <c r="I15" s="176"/>
      <c r="J15" s="176"/>
    </row>
    <row r="16" spans="2:10">
      <c r="B16" s="176"/>
      <c r="C16" s="176"/>
      <c r="D16" s="176"/>
      <c r="E16" s="176"/>
      <c r="F16" s="176"/>
      <c r="G16" s="176"/>
      <c r="H16" s="1140"/>
      <c r="I16" s="176"/>
      <c r="J16" s="176"/>
    </row>
    <row r="17" spans="2:10">
      <c r="B17" s="176"/>
      <c r="C17" s="176"/>
      <c r="D17" s="176"/>
      <c r="E17" s="176"/>
      <c r="F17" s="176"/>
      <c r="G17" s="176"/>
      <c r="H17" s="1140"/>
      <c r="I17" s="176"/>
      <c r="J17" s="176"/>
    </row>
    <row r="18" spans="2:10">
      <c r="B18" s="176"/>
      <c r="C18" s="176"/>
      <c r="D18" s="176"/>
      <c r="E18" s="176"/>
      <c r="F18" s="176"/>
      <c r="G18" s="176"/>
      <c r="H18" s="1140"/>
      <c r="I18" s="176"/>
      <c r="J18" s="176"/>
    </row>
    <row r="19" spans="2:10">
      <c r="B19" s="176"/>
      <c r="C19" s="176"/>
      <c r="D19" s="176"/>
      <c r="E19" s="176"/>
      <c r="F19" s="176"/>
      <c r="G19" s="176"/>
      <c r="H19" s="1140"/>
      <c r="I19" s="176"/>
      <c r="J19" s="176"/>
    </row>
    <row r="20" spans="2:10">
      <c r="B20" s="176"/>
      <c r="C20" s="176"/>
      <c r="D20" s="176"/>
      <c r="E20" s="176"/>
      <c r="F20" s="176"/>
      <c r="G20" s="176"/>
      <c r="H20" s="1140"/>
      <c r="I20" s="176"/>
      <c r="J20" s="1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340C-E752-4AB8-A56A-8BD884499F97}">
  <dimension ref="B1:M25"/>
  <sheetViews>
    <sheetView workbookViewId="0">
      <selection activeCell="F19" sqref="F19"/>
    </sheetView>
  </sheetViews>
  <sheetFormatPr defaultRowHeight="0" customHeight="1" zeroHeight="1"/>
  <cols>
    <col min="1" max="1" width="4.28515625" style="175" customWidth="1"/>
    <col min="2" max="2" width="44.7109375" style="175" bestFit="1" customWidth="1"/>
    <col min="3" max="3" width="24.7109375" style="175" bestFit="1" customWidth="1"/>
    <col min="4" max="4" width="43" style="206" customWidth="1"/>
    <col min="5" max="5" width="18.7109375" style="175" customWidth="1"/>
    <col min="6" max="6" width="19.7109375" style="207" customWidth="1"/>
    <col min="7" max="7" width="43.42578125" style="206" bestFit="1" customWidth="1"/>
    <col min="8" max="8" width="15.7109375" style="175" customWidth="1"/>
    <col min="9" max="9" width="16.7109375" style="206" customWidth="1"/>
    <col min="10" max="10" width="16.7109375" style="207" customWidth="1"/>
    <col min="11" max="11" width="20.7109375" style="175" customWidth="1"/>
    <col min="12" max="12" width="24.140625" style="175" customWidth="1"/>
    <col min="13" max="16384" width="9.140625" style="175"/>
  </cols>
  <sheetData>
    <row r="1" spans="2:13" ht="15" customHeight="1"/>
    <row r="2" spans="2:13" ht="18.75">
      <c r="B2" s="1265" t="s">
        <v>1857</v>
      </c>
      <c r="C2" s="1265"/>
      <c r="D2" s="1266"/>
      <c r="E2" s="1265" t="s">
        <v>1858</v>
      </c>
      <c r="F2" s="1265"/>
      <c r="G2" s="1266"/>
      <c r="H2" s="1265" t="s">
        <v>1859</v>
      </c>
      <c r="I2" s="1266"/>
      <c r="J2" s="1267" t="s">
        <v>1860</v>
      </c>
      <c r="K2" s="1268"/>
      <c r="L2" s="254" t="s">
        <v>1861</v>
      </c>
    </row>
    <row r="3" spans="2:13" ht="30" customHeight="1">
      <c r="B3" s="227" t="s">
        <v>1862</v>
      </c>
      <c r="C3" s="227" t="s">
        <v>1863</v>
      </c>
      <c r="D3" s="228" t="s">
        <v>1864</v>
      </c>
      <c r="E3" s="227" t="s">
        <v>1865</v>
      </c>
      <c r="F3" s="229" t="s">
        <v>1866</v>
      </c>
      <c r="G3" s="228" t="s">
        <v>1867</v>
      </c>
      <c r="H3" s="227" t="s">
        <v>1868</v>
      </c>
      <c r="I3" s="227" t="s">
        <v>1869</v>
      </c>
      <c r="J3" s="227" t="s">
        <v>1870</v>
      </c>
      <c r="K3" s="227" t="s">
        <v>1871</v>
      </c>
      <c r="L3" s="230" t="s">
        <v>1872</v>
      </c>
      <c r="M3" s="208"/>
    </row>
    <row r="4" spans="2:13" ht="15">
      <c r="B4" s="231"/>
      <c r="C4" s="223"/>
      <c r="D4" s="224"/>
      <c r="E4" s="223"/>
      <c r="F4" s="225"/>
      <c r="G4" s="224"/>
      <c r="H4" s="223"/>
      <c r="I4" s="224"/>
      <c r="J4" s="225">
        <f>IF(F4=" "," ",F4+7)</f>
        <v>7</v>
      </c>
      <c r="K4" s="226" t="str">
        <f ca="1">IF(L4="CONCLUÍDO", "CONCLUÍDO", IF(F4="", "", IF(TODAY()&lt;=F4, "EM ATRASO", "EM ATRASO")))</f>
        <v/>
      </c>
      <c r="L4" s="247"/>
    </row>
    <row r="5" spans="2:13" ht="15">
      <c r="B5" s="232"/>
      <c r="C5" s="5"/>
      <c r="D5" s="154"/>
      <c r="E5" s="5"/>
      <c r="F5" s="214"/>
      <c r="G5" s="174"/>
      <c r="H5" s="5"/>
      <c r="I5" s="174"/>
      <c r="J5" s="214">
        <f t="shared" ref="J5:J22" si="0">IF(F5=" "," ",F5+7)</f>
        <v>7</v>
      </c>
      <c r="K5" s="215" t="str">
        <f t="shared" ref="K5:K10" ca="1" si="1">IF(L5="CONCLUÍDO", "CONCLUÍDO", IF(F5="", "", IF(TODAY()&lt;=F5, "EM ATRASO", "EM ATRASO")))</f>
        <v/>
      </c>
      <c r="L5" s="248"/>
    </row>
    <row r="6" spans="2:13" ht="15">
      <c r="B6" s="233"/>
      <c r="C6" s="210"/>
      <c r="D6" s="210"/>
      <c r="E6" s="210"/>
      <c r="F6" s="212"/>
      <c r="G6" s="211"/>
      <c r="H6" s="210"/>
      <c r="I6" s="211"/>
      <c r="J6" s="212">
        <f t="shared" si="0"/>
        <v>7</v>
      </c>
      <c r="K6" s="213" t="str">
        <f t="shared" ca="1" si="1"/>
        <v/>
      </c>
      <c r="L6" s="249"/>
    </row>
    <row r="7" spans="2:13" ht="15">
      <c r="B7" s="234"/>
      <c r="C7" s="4"/>
      <c r="D7" s="216"/>
      <c r="E7" s="4"/>
      <c r="F7" s="217"/>
      <c r="G7" s="216"/>
      <c r="H7" s="4"/>
      <c r="I7" s="216"/>
      <c r="J7" s="214">
        <f t="shared" si="0"/>
        <v>7</v>
      </c>
      <c r="K7" s="215"/>
      <c r="L7" s="248"/>
    </row>
    <row r="8" spans="2:13" ht="15">
      <c r="B8" s="235"/>
      <c r="C8" s="218"/>
      <c r="D8" s="219"/>
      <c r="E8" s="218"/>
      <c r="F8" s="220"/>
      <c r="G8" s="219"/>
      <c r="H8" s="218"/>
      <c r="I8" s="219"/>
      <c r="J8" s="212">
        <f t="shared" si="0"/>
        <v>7</v>
      </c>
      <c r="K8" s="213"/>
      <c r="L8" s="249"/>
    </row>
    <row r="9" spans="2:13" ht="15">
      <c r="B9" s="234"/>
      <c r="C9" s="4"/>
      <c r="D9" s="216"/>
      <c r="E9" s="4"/>
      <c r="F9" s="217"/>
      <c r="G9" s="216"/>
      <c r="H9" s="4"/>
      <c r="I9" s="216"/>
      <c r="J9" s="214">
        <f t="shared" si="0"/>
        <v>7</v>
      </c>
      <c r="K9" s="215"/>
      <c r="L9" s="248"/>
    </row>
    <row r="10" spans="2:13" ht="15">
      <c r="B10" s="235"/>
      <c r="C10" s="218"/>
      <c r="D10" s="219"/>
      <c r="E10" s="218"/>
      <c r="F10" s="220"/>
      <c r="G10" s="219"/>
      <c r="H10" s="218"/>
      <c r="I10" s="219"/>
      <c r="J10" s="212">
        <f t="shared" si="0"/>
        <v>7</v>
      </c>
      <c r="K10" s="213"/>
      <c r="L10" s="249"/>
    </row>
    <row r="11" spans="2:13" ht="15">
      <c r="B11" s="234"/>
      <c r="C11" s="4"/>
      <c r="D11" s="216"/>
      <c r="E11" s="4"/>
      <c r="F11" s="217"/>
      <c r="G11" s="216"/>
      <c r="H11" s="4"/>
      <c r="I11" s="216"/>
      <c r="J11" s="214">
        <f t="shared" si="0"/>
        <v>7</v>
      </c>
      <c r="K11" s="215"/>
      <c r="L11" s="248"/>
    </row>
    <row r="12" spans="2:13" ht="15">
      <c r="B12" s="235"/>
      <c r="C12" s="218"/>
      <c r="D12" s="219"/>
      <c r="E12" s="218"/>
      <c r="F12" s="220"/>
      <c r="G12" s="219"/>
      <c r="H12" s="218"/>
      <c r="I12" s="219"/>
      <c r="J12" s="212">
        <f t="shared" si="0"/>
        <v>7</v>
      </c>
      <c r="K12" s="213"/>
      <c r="L12" s="249"/>
    </row>
    <row r="13" spans="2:13" ht="15">
      <c r="B13" s="234"/>
      <c r="C13" s="4"/>
      <c r="D13" s="216"/>
      <c r="E13" s="4"/>
      <c r="F13" s="217"/>
      <c r="G13" s="216"/>
      <c r="H13" s="4"/>
      <c r="I13" s="216"/>
      <c r="J13" s="214">
        <f t="shared" si="0"/>
        <v>7</v>
      </c>
      <c r="K13" s="215"/>
      <c r="L13" s="248"/>
    </row>
    <row r="14" spans="2:13" ht="15">
      <c r="B14" s="235"/>
      <c r="C14" s="218"/>
      <c r="D14" s="219"/>
      <c r="E14" s="218"/>
      <c r="F14" s="220"/>
      <c r="G14" s="219"/>
      <c r="H14" s="218"/>
      <c r="I14" s="219"/>
      <c r="J14" s="212">
        <f t="shared" si="0"/>
        <v>7</v>
      </c>
      <c r="K14" s="213"/>
      <c r="L14" s="249"/>
    </row>
    <row r="15" spans="2:13" ht="15">
      <c r="B15" s="234"/>
      <c r="C15" s="4"/>
      <c r="D15" s="216"/>
      <c r="E15" s="4"/>
      <c r="F15" s="217"/>
      <c r="G15" s="216"/>
      <c r="H15" s="4"/>
      <c r="I15" s="216"/>
      <c r="J15" s="214">
        <f t="shared" si="0"/>
        <v>7</v>
      </c>
      <c r="K15" s="215"/>
      <c r="L15" s="248"/>
    </row>
    <row r="16" spans="2:13" ht="15">
      <c r="B16" s="235"/>
      <c r="C16" s="218"/>
      <c r="D16" s="219"/>
      <c r="E16" s="218"/>
      <c r="F16" s="220"/>
      <c r="G16" s="219"/>
      <c r="H16" s="218"/>
      <c r="I16" s="219"/>
      <c r="J16" s="212">
        <f t="shared" si="0"/>
        <v>7</v>
      </c>
      <c r="K16" s="218" t="str">
        <f ca="1">IF(L16="CONCLUÍDO", "CONCLUÍDO", IF(F16="", "", IF(TODAY()&lt;=F16, "EM ATRASO", "EM ATRASO")))</f>
        <v/>
      </c>
      <c r="L16" s="250"/>
    </row>
    <row r="17" spans="2:12" ht="15">
      <c r="B17" s="236"/>
      <c r="C17" s="176"/>
      <c r="D17" s="221"/>
      <c r="E17" s="176"/>
      <c r="F17" s="186"/>
      <c r="G17" s="221"/>
      <c r="H17" s="176"/>
      <c r="I17" s="221"/>
      <c r="J17" s="214">
        <f t="shared" si="0"/>
        <v>7</v>
      </c>
      <c r="K17" s="176" t="str">
        <f t="shared" ref="K17:K22" ca="1" si="2">IF(L17="CONCLUÍDO", "CONCLUÍDO", IF(F17="", "", IF(TODAY()&lt;=F17, "EM ATRASO", "EM ATRASO")))</f>
        <v/>
      </c>
      <c r="L17" s="251"/>
    </row>
    <row r="18" spans="2:12" ht="15">
      <c r="B18" s="235"/>
      <c r="C18" s="218"/>
      <c r="D18" s="219"/>
      <c r="E18" s="218"/>
      <c r="F18" s="220"/>
      <c r="G18" s="219"/>
      <c r="H18" s="218"/>
      <c r="I18" s="219"/>
      <c r="J18" s="212">
        <f t="shared" si="0"/>
        <v>7</v>
      </c>
      <c r="K18" s="218" t="str">
        <f t="shared" ca="1" si="2"/>
        <v/>
      </c>
      <c r="L18" s="250"/>
    </row>
    <row r="19" spans="2:12" ht="15">
      <c r="B19" s="236"/>
      <c r="C19" s="176"/>
      <c r="D19" s="221"/>
      <c r="E19" s="176"/>
      <c r="F19" s="186"/>
      <c r="G19" s="221"/>
      <c r="H19" s="176"/>
      <c r="I19" s="221"/>
      <c r="J19" s="214">
        <f t="shared" si="0"/>
        <v>7</v>
      </c>
      <c r="K19" s="176" t="str">
        <f t="shared" ca="1" si="2"/>
        <v/>
      </c>
      <c r="L19" s="251"/>
    </row>
    <row r="20" spans="2:12" ht="15">
      <c r="B20" s="235"/>
      <c r="C20" s="218"/>
      <c r="D20" s="219"/>
      <c r="E20" s="218"/>
      <c r="F20" s="220"/>
      <c r="G20" s="219"/>
      <c r="H20" s="218"/>
      <c r="I20" s="219"/>
      <c r="J20" s="212">
        <f t="shared" si="0"/>
        <v>7</v>
      </c>
      <c r="K20" s="218" t="str">
        <f t="shared" ca="1" si="2"/>
        <v/>
      </c>
      <c r="L20" s="250"/>
    </row>
    <row r="21" spans="2:12" ht="15">
      <c r="B21" s="243"/>
      <c r="C21" s="188"/>
      <c r="D21" s="244"/>
      <c r="E21" s="188"/>
      <c r="F21" s="245"/>
      <c r="G21" s="244"/>
      <c r="H21" s="188"/>
      <c r="I21" s="244"/>
      <c r="J21" s="246">
        <f t="shared" si="0"/>
        <v>7</v>
      </c>
      <c r="K21" s="188" t="str">
        <f t="shared" ca="1" si="2"/>
        <v/>
      </c>
      <c r="L21" s="252"/>
    </row>
    <row r="22" spans="2:12" ht="15">
      <c r="B22" s="237"/>
      <c r="C22" s="238"/>
      <c r="D22" s="239"/>
      <c r="E22" s="238"/>
      <c r="F22" s="240"/>
      <c r="G22" s="241"/>
      <c r="H22" s="238"/>
      <c r="I22" s="241"/>
      <c r="J22" s="242">
        <f t="shared" si="0"/>
        <v>7</v>
      </c>
      <c r="K22" s="238" t="str">
        <f t="shared" ca="1" si="2"/>
        <v/>
      </c>
      <c r="L22" s="253"/>
    </row>
    <row r="23" spans="2:12" ht="15">
      <c r="D23" s="175"/>
    </row>
    <row r="24" spans="2:12" ht="15">
      <c r="D24" s="209"/>
    </row>
    <row r="25" spans="2:12" ht="15"/>
  </sheetData>
  <mergeCells count="4">
    <mergeCell ref="B2:D2"/>
    <mergeCell ref="E2:G2"/>
    <mergeCell ref="H2:I2"/>
    <mergeCell ref="J2:K2"/>
  </mergeCells>
  <conditionalFormatting sqref="K4:K22">
    <cfRule type="containsText" dxfId="28" priority="3" operator="containsText" text="NO PRAZO">
      <formula>NOT(ISERROR(SEARCH("NO PRAZO",K4)))</formula>
    </cfRule>
    <cfRule type="containsText" dxfId="27" priority="4" operator="containsText" text="EM ATRASO">
      <formula>NOT(ISERROR(SEARCH("EM ATRASO",K4)))</formula>
    </cfRule>
  </conditionalFormatting>
  <conditionalFormatting sqref="K1:K1048576">
    <cfRule type="containsText" dxfId="26" priority="2" operator="containsText" text="CONCLUÍDO">
      <formula>NOT(ISERROR(SEARCH("CONCLUÍDO",K1)))</formula>
    </cfRule>
  </conditionalFormatting>
  <conditionalFormatting sqref="L4:L22">
    <cfRule type="cellIs" dxfId="25" priority="1" stopIfTrue="1" operator="greaterThan">
      <formula>"CONCLUÍDO"</formula>
    </cfRule>
  </conditionalFormatting>
  <dataValidations count="4">
    <dataValidation type="list" allowBlank="1" showInputMessage="1" showErrorMessage="1" sqref="L4:L15" xr:uid="{FDBEF493-B594-405F-922F-93AEBF38BA5B}">
      <formula1>"AGUARDANDO RETORNO, CONCLUÍDO"</formula1>
    </dataValidation>
    <dataValidation type="list" allowBlank="1" showInputMessage="1" showErrorMessage="1" sqref="L16:L1048576" xr:uid="{5C36C8AA-0277-4A1D-BB99-F08AC74BE945}">
      <formula1>"Em análise, Aguardando retorno, Corrigida"</formula1>
    </dataValidation>
    <dataValidation type="list" allowBlank="1" showInputMessage="1" showErrorMessage="1" sqref="H4:H1048576" xr:uid="{C1E9B261-B4FF-4450-A3BE-E2FA39F53B88}">
      <formula1>"E-mail, E-mail (via SEI),  Site, Telefone, Outros"</formula1>
    </dataValidation>
    <dataValidation type="list" allowBlank="1" showInputMessage="1" showErrorMessage="1" sqref="E4:E1048576" xr:uid="{4896AFBD-6338-49C4-9332-03B060D8A667}">
      <formula1>"Cobrança indevida, Leitura incorreta, Valor divergente, Vencimento, Multa e juros, Multa por atraso de pagamento, Juros"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28BD-4137-4960-9721-FC9C171C377D}">
  <dimension ref="A1:I219"/>
  <sheetViews>
    <sheetView topLeftCell="C13" workbookViewId="0">
      <selection activeCell="D8" sqref="D8"/>
    </sheetView>
  </sheetViews>
  <sheetFormatPr defaultRowHeight="15"/>
  <cols>
    <col min="1" max="1" width="74.85546875" customWidth="1"/>
    <col min="2" max="2" width="22.85546875" customWidth="1"/>
    <col min="3" max="3" width="87.140625" customWidth="1"/>
    <col min="4" max="4" width="61.140625" customWidth="1"/>
    <col min="5" max="5" width="22.28515625" customWidth="1"/>
    <col min="6" max="6" width="83.140625" customWidth="1"/>
    <col min="7" max="7" width="13.5703125" customWidth="1"/>
  </cols>
  <sheetData>
    <row r="1" spans="1:9">
      <c r="A1" s="693" t="s">
        <v>1873</v>
      </c>
      <c r="B1" s="694" t="s">
        <v>1874</v>
      </c>
      <c r="C1" s="695" t="s">
        <v>1875</v>
      </c>
      <c r="D1" s="696" t="s">
        <v>1876</v>
      </c>
      <c r="E1" s="694" t="s">
        <v>1874</v>
      </c>
      <c r="F1" s="697" t="s">
        <v>1875</v>
      </c>
      <c r="G1" s="60"/>
      <c r="H1" s="60"/>
      <c r="I1" s="60"/>
    </row>
    <row r="2" spans="1:9" ht="297">
      <c r="A2" s="672" t="s">
        <v>1877</v>
      </c>
      <c r="B2" s="260" t="s">
        <v>1878</v>
      </c>
      <c r="C2" s="261" t="s">
        <v>1879</v>
      </c>
      <c r="D2" s="678" t="s">
        <v>1880</v>
      </c>
      <c r="E2" s="260" t="s">
        <v>1881</v>
      </c>
      <c r="F2" s="262" t="s">
        <v>1882</v>
      </c>
      <c r="G2" s="60"/>
      <c r="H2" s="60"/>
      <c r="I2" s="60"/>
    </row>
    <row r="3" spans="1:9" ht="310.5">
      <c r="A3" s="672" t="s">
        <v>1883</v>
      </c>
      <c r="B3" s="260" t="s">
        <v>1884</v>
      </c>
      <c r="C3" s="263" t="s">
        <v>1885</v>
      </c>
      <c r="D3" s="679" t="s">
        <v>1886</v>
      </c>
      <c r="E3" s="264" t="s">
        <v>1887</v>
      </c>
      <c r="F3" s="262" t="s">
        <v>1888</v>
      </c>
      <c r="G3" s="60"/>
      <c r="H3" s="60"/>
      <c r="I3" s="60"/>
    </row>
    <row r="4" spans="1:9" ht="390.75">
      <c r="A4" s="672" t="s">
        <v>1889</v>
      </c>
      <c r="B4" s="264" t="s">
        <v>1890</v>
      </c>
      <c r="C4" s="262" t="s">
        <v>1891</v>
      </c>
      <c r="D4" s="672" t="s">
        <v>1892</v>
      </c>
      <c r="E4" s="260" t="s">
        <v>1893</v>
      </c>
      <c r="F4" s="680" t="s">
        <v>1894</v>
      </c>
      <c r="G4" s="60"/>
      <c r="H4" s="60"/>
      <c r="I4" s="60"/>
    </row>
    <row r="5" spans="1:9" ht="297">
      <c r="A5" s="672" t="s">
        <v>1895</v>
      </c>
      <c r="B5" s="264" t="s">
        <v>1896</v>
      </c>
      <c r="C5" s="677" t="s">
        <v>1897</v>
      </c>
      <c r="D5" s="672" t="s">
        <v>1898</v>
      </c>
      <c r="E5" s="265" t="s">
        <v>1899</v>
      </c>
      <c r="F5" s="262" t="s">
        <v>1900</v>
      </c>
      <c r="G5" s="60"/>
      <c r="H5" s="60"/>
      <c r="I5" s="60"/>
    </row>
    <row r="6" spans="1:9" ht="297">
      <c r="A6" s="672" t="s">
        <v>1901</v>
      </c>
      <c r="B6" s="264" t="s">
        <v>1902</v>
      </c>
      <c r="C6" s="266" t="s">
        <v>1903</v>
      </c>
      <c r="D6" s="683" t="s">
        <v>1904</v>
      </c>
      <c r="E6" s="681" t="s">
        <v>1905</v>
      </c>
      <c r="F6" s="682" t="s">
        <v>1906</v>
      </c>
      <c r="G6" s="60"/>
      <c r="H6" s="60"/>
      <c r="I6" s="60"/>
    </row>
    <row r="7" spans="1:9" ht="269.25">
      <c r="A7" s="672" t="s">
        <v>1907</v>
      </c>
      <c r="B7" s="264" t="s">
        <v>1908</v>
      </c>
      <c r="C7" s="266" t="s">
        <v>1909</v>
      </c>
      <c r="D7" s="672" t="s">
        <v>1910</v>
      </c>
      <c r="E7" s="264" t="s">
        <v>1911</v>
      </c>
      <c r="F7" s="267" t="s">
        <v>1912</v>
      </c>
      <c r="G7" s="60"/>
      <c r="H7" s="60"/>
      <c r="I7" s="60"/>
    </row>
    <row r="8" spans="1:9" ht="324">
      <c r="A8" s="673" t="s">
        <v>1913</v>
      </c>
      <c r="B8" s="264" t="s">
        <v>1914</v>
      </c>
      <c r="C8" s="266" t="s">
        <v>1915</v>
      </c>
      <c r="D8" s="672" t="s">
        <v>1916</v>
      </c>
      <c r="E8" s="265" t="s">
        <v>1917</v>
      </c>
      <c r="F8" s="267" t="s">
        <v>1918</v>
      </c>
      <c r="G8" s="60"/>
      <c r="H8" s="60"/>
      <c r="I8" s="60"/>
    </row>
    <row r="9" spans="1:9" ht="337.5">
      <c r="A9" s="672" t="s">
        <v>1919</v>
      </c>
      <c r="B9" s="264" t="s">
        <v>1920</v>
      </c>
      <c r="C9" s="268" t="s">
        <v>1921</v>
      </c>
      <c r="D9" s="672" t="s">
        <v>1922</v>
      </c>
      <c r="E9" s="265" t="s">
        <v>1923</v>
      </c>
      <c r="F9" s="267" t="s">
        <v>1924</v>
      </c>
      <c r="G9" s="60"/>
      <c r="H9" s="60"/>
      <c r="I9" s="60"/>
    </row>
    <row r="10" spans="1:9" ht="297">
      <c r="A10" s="672" t="s">
        <v>1925</v>
      </c>
      <c r="B10" s="264" t="s">
        <v>1926</v>
      </c>
      <c r="C10" s="266" t="s">
        <v>1927</v>
      </c>
      <c r="D10" s="672" t="s">
        <v>1928</v>
      </c>
      <c r="E10" s="265" t="s">
        <v>1929</v>
      </c>
      <c r="F10" s="267" t="s">
        <v>1930</v>
      </c>
      <c r="G10" s="60" t="s">
        <v>1931</v>
      </c>
      <c r="H10" s="60"/>
      <c r="I10" s="60"/>
    </row>
    <row r="11" spans="1:9" ht="377.25">
      <c r="A11" s="672" t="s">
        <v>1932</v>
      </c>
      <c r="B11" s="264" t="s">
        <v>1933</v>
      </c>
      <c r="C11" s="266" t="s">
        <v>1934</v>
      </c>
      <c r="D11" s="672" t="s">
        <v>1935</v>
      </c>
      <c r="E11" s="265" t="s">
        <v>1936</v>
      </c>
      <c r="F11" s="267" t="s">
        <v>1937</v>
      </c>
      <c r="G11" s="60"/>
      <c r="H11" s="60"/>
      <c r="I11" s="60"/>
    </row>
    <row r="12" spans="1:9" ht="269.25">
      <c r="A12" s="672" t="s">
        <v>1938</v>
      </c>
      <c r="B12" s="264" t="s">
        <v>1939</v>
      </c>
      <c r="C12" s="266" t="s">
        <v>1940</v>
      </c>
      <c r="D12" s="672" t="s">
        <v>1941</v>
      </c>
      <c r="E12" s="265" t="s">
        <v>1942</v>
      </c>
      <c r="F12" s="267" t="s">
        <v>1943</v>
      </c>
      <c r="G12" s="60"/>
      <c r="H12" s="60"/>
      <c r="I12" s="60"/>
    </row>
    <row r="13" spans="1:9" ht="282.75">
      <c r="A13" s="672" t="s">
        <v>1944</v>
      </c>
      <c r="B13" s="264" t="s">
        <v>1945</v>
      </c>
      <c r="C13" s="266" t="s">
        <v>1946</v>
      </c>
      <c r="D13" s="672" t="s">
        <v>1947</v>
      </c>
      <c r="E13" s="265" t="s">
        <v>1948</v>
      </c>
      <c r="F13" s="267" t="s">
        <v>1949</v>
      </c>
      <c r="G13" s="60"/>
      <c r="H13" s="60"/>
      <c r="I13" s="60"/>
    </row>
    <row r="14" spans="1:9" ht="390" customHeight="1">
      <c r="A14" s="672" t="s">
        <v>1950</v>
      </c>
      <c r="B14" s="264" t="s">
        <v>1942</v>
      </c>
      <c r="C14" s="268" t="s">
        <v>1951</v>
      </c>
      <c r="D14" s="672" t="s">
        <v>1952</v>
      </c>
      <c r="E14" s="265" t="s">
        <v>1953</v>
      </c>
      <c r="F14" s="684" t="s">
        <v>1954</v>
      </c>
      <c r="G14" s="60"/>
      <c r="H14" s="60"/>
      <c r="I14" s="60"/>
    </row>
    <row r="15" spans="1:9" ht="269.25">
      <c r="A15" s="672" t="s">
        <v>1955</v>
      </c>
      <c r="B15" s="264" t="s">
        <v>1942</v>
      </c>
      <c r="C15" s="266" t="s">
        <v>1956</v>
      </c>
      <c r="D15" s="672" t="s">
        <v>1957</v>
      </c>
      <c r="E15" s="265" t="s">
        <v>1958</v>
      </c>
      <c r="F15" s="262" t="s">
        <v>1959</v>
      </c>
      <c r="G15" s="60"/>
      <c r="H15" s="60"/>
      <c r="I15" s="60"/>
    </row>
    <row r="16" spans="1:9" ht="282.75">
      <c r="A16" s="672" t="s">
        <v>1960</v>
      </c>
      <c r="B16" s="264" t="s">
        <v>1961</v>
      </c>
      <c r="C16" s="268" t="s">
        <v>1962</v>
      </c>
      <c r="D16" s="672" t="s">
        <v>1963</v>
      </c>
      <c r="E16" s="269" t="s">
        <v>1964</v>
      </c>
      <c r="F16" s="267" t="s">
        <v>1965</v>
      </c>
      <c r="G16" s="60"/>
      <c r="H16" s="60"/>
      <c r="I16" s="60"/>
    </row>
    <row r="17" spans="1:9" ht="256.5">
      <c r="A17" s="672" t="s">
        <v>1966</v>
      </c>
      <c r="B17" s="264" t="s">
        <v>1967</v>
      </c>
      <c r="C17" s="266" t="s">
        <v>1968</v>
      </c>
      <c r="D17" s="672" t="s">
        <v>1969</v>
      </c>
      <c r="E17" s="264" t="s">
        <v>1961</v>
      </c>
      <c r="F17" s="270" t="s">
        <v>1970</v>
      </c>
      <c r="G17" s="60"/>
      <c r="H17" s="60"/>
      <c r="I17" s="60"/>
    </row>
    <row r="18" spans="1:9" ht="256.5">
      <c r="A18" s="672" t="s">
        <v>1971</v>
      </c>
      <c r="B18" s="264" t="s">
        <v>1942</v>
      </c>
      <c r="C18" s="266" t="s">
        <v>1972</v>
      </c>
      <c r="D18" s="683" t="s">
        <v>1973</v>
      </c>
      <c r="E18" s="681" t="s">
        <v>1964</v>
      </c>
      <c r="F18" s="685" t="s">
        <v>1974</v>
      </c>
      <c r="G18" s="60"/>
      <c r="H18" s="60"/>
      <c r="I18" s="60"/>
    </row>
    <row r="19" spans="1:9" ht="297">
      <c r="A19" s="672" t="s">
        <v>1975</v>
      </c>
      <c r="B19" s="264" t="s">
        <v>1933</v>
      </c>
      <c r="C19" s="266" t="s">
        <v>1976</v>
      </c>
      <c r="D19" s="686" t="s">
        <v>1977</v>
      </c>
      <c r="E19" s="271" t="s">
        <v>1942</v>
      </c>
      <c r="F19" s="272" t="s">
        <v>1978</v>
      </c>
      <c r="G19" s="60"/>
      <c r="H19" s="60"/>
      <c r="I19" s="60"/>
    </row>
    <row r="20" spans="1:9" ht="390.75">
      <c r="A20" s="676" t="s">
        <v>1979</v>
      </c>
      <c r="B20" s="674" t="s">
        <v>1980</v>
      </c>
      <c r="C20" s="675" t="s">
        <v>1981</v>
      </c>
      <c r="D20" s="672" t="s">
        <v>1982</v>
      </c>
      <c r="E20" s="269" t="s">
        <v>1942</v>
      </c>
      <c r="F20" s="267" t="s">
        <v>1983</v>
      </c>
      <c r="G20" s="60"/>
      <c r="H20" s="60"/>
      <c r="I20" s="60"/>
    </row>
    <row r="21" spans="1:9" ht="297">
      <c r="A21" s="273"/>
      <c r="B21" s="274"/>
      <c r="C21" s="275"/>
      <c r="D21" s="672" t="s">
        <v>1984</v>
      </c>
      <c r="E21" s="260" t="s">
        <v>1985</v>
      </c>
      <c r="F21" s="262" t="s">
        <v>1986</v>
      </c>
      <c r="G21" s="60"/>
      <c r="H21" s="60"/>
      <c r="I21" s="60"/>
    </row>
    <row r="22" spans="1:9" ht="351">
      <c r="A22" s="276"/>
      <c r="B22" s="277"/>
      <c r="C22" s="278"/>
      <c r="D22" s="672" t="s">
        <v>1987</v>
      </c>
      <c r="E22" s="265" t="s">
        <v>1988</v>
      </c>
      <c r="F22" s="262" t="s">
        <v>1989</v>
      </c>
      <c r="G22" s="60"/>
      <c r="H22" s="60"/>
      <c r="I22" s="60"/>
    </row>
    <row r="23" spans="1:9" ht="297">
      <c r="A23" s="276"/>
      <c r="B23" s="277"/>
      <c r="C23" s="278"/>
      <c r="D23" s="672" t="s">
        <v>1990</v>
      </c>
      <c r="E23" s="269" t="s">
        <v>1942</v>
      </c>
      <c r="F23" s="267" t="s">
        <v>1991</v>
      </c>
      <c r="G23" s="60"/>
      <c r="H23" s="60"/>
      <c r="I23" s="60"/>
    </row>
    <row r="24" spans="1:9" ht="324">
      <c r="A24" s="279" t="s">
        <v>1657</v>
      </c>
      <c r="B24" s="280" t="s">
        <v>1657</v>
      </c>
      <c r="C24" s="281"/>
      <c r="D24" s="672" t="s">
        <v>1992</v>
      </c>
      <c r="E24" s="265" t="s">
        <v>1993</v>
      </c>
      <c r="F24" s="267" t="s">
        <v>1994</v>
      </c>
      <c r="G24" s="60"/>
      <c r="H24" s="60"/>
      <c r="I24" s="60"/>
    </row>
    <row r="25" spans="1:9" ht="216">
      <c r="A25" s="273" t="s">
        <v>1657</v>
      </c>
      <c r="B25" s="274" t="s">
        <v>1657</v>
      </c>
      <c r="C25" s="281"/>
      <c r="D25" s="672" t="s">
        <v>1995</v>
      </c>
      <c r="E25" s="265" t="s">
        <v>1996</v>
      </c>
      <c r="F25" s="262" t="s">
        <v>1997</v>
      </c>
      <c r="G25" s="60"/>
      <c r="H25" s="60"/>
      <c r="I25" s="60"/>
    </row>
    <row r="26" spans="1:9" ht="310.5">
      <c r="A26" s="279"/>
      <c r="B26" s="280"/>
      <c r="C26" s="281"/>
      <c r="D26" s="672" t="s">
        <v>1998</v>
      </c>
      <c r="E26" s="265" t="s">
        <v>1942</v>
      </c>
      <c r="F26" s="262" t="s">
        <v>1999</v>
      </c>
      <c r="G26" s="60"/>
      <c r="H26" s="60"/>
      <c r="I26" s="60"/>
    </row>
    <row r="27" spans="1:9" ht="269.25">
      <c r="A27" s="259" t="s">
        <v>1657</v>
      </c>
      <c r="B27" s="282" t="s">
        <v>1657</v>
      </c>
      <c r="C27" s="283"/>
      <c r="D27" s="672" t="s">
        <v>2000</v>
      </c>
      <c r="E27" s="265" t="s">
        <v>2001</v>
      </c>
      <c r="F27" s="267" t="s">
        <v>2002</v>
      </c>
      <c r="G27" s="60"/>
      <c r="H27" s="60"/>
      <c r="I27" s="60"/>
    </row>
    <row r="28" spans="1:9" ht="229.5">
      <c r="A28" s="259" t="s">
        <v>1657</v>
      </c>
      <c r="B28" s="282" t="s">
        <v>1657</v>
      </c>
      <c r="C28" s="283"/>
      <c r="D28" s="672" t="s">
        <v>2003</v>
      </c>
      <c r="E28" s="265" t="s">
        <v>1908</v>
      </c>
      <c r="F28" s="680" t="s">
        <v>2004</v>
      </c>
      <c r="G28" s="60"/>
      <c r="H28" s="60"/>
      <c r="I28" s="60"/>
    </row>
    <row r="29" spans="1:9" ht="312" customHeight="1">
      <c r="A29" s="259" t="s">
        <v>1657</v>
      </c>
      <c r="B29" s="282" t="s">
        <v>1657</v>
      </c>
      <c r="C29" s="283"/>
      <c r="D29" s="672" t="s">
        <v>2005</v>
      </c>
      <c r="E29" s="265" t="s">
        <v>2006</v>
      </c>
      <c r="F29" s="687" t="s">
        <v>2007</v>
      </c>
      <c r="G29" s="60"/>
      <c r="H29" s="60"/>
      <c r="I29" s="60"/>
    </row>
    <row r="30" spans="1:9" ht="363.75">
      <c r="A30" s="259" t="s">
        <v>1657</v>
      </c>
      <c r="B30" s="282" t="s">
        <v>1657</v>
      </c>
      <c r="C30" s="283"/>
      <c r="D30" s="672" t="s">
        <v>2008</v>
      </c>
      <c r="E30" s="265" t="s">
        <v>2009</v>
      </c>
      <c r="F30" s="262" t="s">
        <v>2010</v>
      </c>
      <c r="G30" s="60"/>
      <c r="H30" s="60"/>
      <c r="I30" s="60"/>
    </row>
    <row r="31" spans="1:9" ht="311.25" customHeight="1">
      <c r="A31" s="259" t="s">
        <v>1657</v>
      </c>
      <c r="B31" s="282" t="s">
        <v>1657</v>
      </c>
      <c r="C31" s="283"/>
      <c r="D31" s="672" t="s">
        <v>2011</v>
      </c>
      <c r="E31" s="265" t="s">
        <v>2012</v>
      </c>
      <c r="F31" s="262" t="s">
        <v>2013</v>
      </c>
      <c r="G31" s="60"/>
      <c r="H31" s="60"/>
      <c r="I31" s="60"/>
    </row>
    <row r="32" spans="1:9" ht="269.25">
      <c r="A32" s="259" t="s">
        <v>1657</v>
      </c>
      <c r="B32" s="282" t="s">
        <v>1657</v>
      </c>
      <c r="C32" s="283"/>
      <c r="D32" s="688" t="s">
        <v>2014</v>
      </c>
      <c r="E32" s="689" t="s">
        <v>2009</v>
      </c>
      <c r="F32" s="270" t="s">
        <v>2015</v>
      </c>
      <c r="G32" s="60"/>
      <c r="H32" s="60"/>
      <c r="I32" s="60"/>
    </row>
    <row r="33" spans="1:9" ht="269.25">
      <c r="A33" s="259" t="s">
        <v>1657</v>
      </c>
      <c r="B33" s="282" t="s">
        <v>1657</v>
      </c>
      <c r="C33" s="283"/>
      <c r="D33" s="672" t="s">
        <v>2016</v>
      </c>
      <c r="E33" s="269" t="s">
        <v>2017</v>
      </c>
      <c r="F33" s="270" t="s">
        <v>2018</v>
      </c>
      <c r="G33" s="284"/>
      <c r="H33" s="285"/>
      <c r="I33" s="60"/>
    </row>
    <row r="34" spans="1:9" ht="256.5">
      <c r="A34" s="259" t="s">
        <v>1657</v>
      </c>
      <c r="B34" s="282" t="s">
        <v>1657</v>
      </c>
      <c r="C34" s="283"/>
      <c r="D34" s="672" t="s">
        <v>2019</v>
      </c>
      <c r="E34" s="269" t="s">
        <v>2012</v>
      </c>
      <c r="F34" s="270" t="s">
        <v>2020</v>
      </c>
      <c r="G34" s="60"/>
      <c r="H34" s="60"/>
      <c r="I34" s="60"/>
    </row>
    <row r="35" spans="1:9" ht="269.25">
      <c r="A35" s="259" t="s">
        <v>1657</v>
      </c>
      <c r="B35" s="282" t="s">
        <v>1657</v>
      </c>
      <c r="C35" s="283"/>
      <c r="D35" s="672" t="s">
        <v>2021</v>
      </c>
      <c r="E35" s="269" t="s">
        <v>1920</v>
      </c>
      <c r="F35" s="262" t="s">
        <v>2022</v>
      </c>
      <c r="G35" s="60"/>
      <c r="H35" s="60"/>
      <c r="I35" s="60"/>
    </row>
    <row r="36" spans="1:9" ht="282.75">
      <c r="A36" s="259" t="s">
        <v>1657</v>
      </c>
      <c r="B36" s="282" t="s">
        <v>1657</v>
      </c>
      <c r="C36" s="283"/>
      <c r="D36" s="672" t="s">
        <v>2023</v>
      </c>
      <c r="E36" s="269" t="s">
        <v>2012</v>
      </c>
      <c r="F36" s="262" t="s">
        <v>2024</v>
      </c>
      <c r="G36" s="60"/>
      <c r="H36" s="60"/>
      <c r="I36" s="60"/>
    </row>
    <row r="37" spans="1:9" ht="377.25">
      <c r="A37" s="259" t="s">
        <v>1657</v>
      </c>
      <c r="B37" s="282" t="s">
        <v>1657</v>
      </c>
      <c r="C37" s="283"/>
      <c r="D37" s="672" t="s">
        <v>2025</v>
      </c>
      <c r="E37" s="269" t="s">
        <v>2026</v>
      </c>
      <c r="F37" s="262" t="s">
        <v>2027</v>
      </c>
      <c r="G37" s="60"/>
      <c r="H37" s="60"/>
      <c r="I37" s="60"/>
    </row>
    <row r="38" spans="1:9" ht="324">
      <c r="A38" s="259" t="s">
        <v>1657</v>
      </c>
      <c r="B38" s="282" t="s">
        <v>1657</v>
      </c>
      <c r="C38" s="283"/>
      <c r="D38" s="672" t="s">
        <v>2028</v>
      </c>
      <c r="E38" s="269" t="s">
        <v>1942</v>
      </c>
      <c r="F38" s="262" t="s">
        <v>2029</v>
      </c>
      <c r="G38" s="60"/>
      <c r="H38" s="60"/>
      <c r="I38" s="60"/>
    </row>
    <row r="39" spans="1:9" ht="325.5" customHeight="1">
      <c r="A39" s="259" t="s">
        <v>1657</v>
      </c>
      <c r="B39" s="282" t="s">
        <v>1657</v>
      </c>
      <c r="C39" s="283"/>
      <c r="D39" s="672" t="s">
        <v>2030</v>
      </c>
      <c r="E39" s="269" t="s">
        <v>2031</v>
      </c>
      <c r="F39" s="262" t="s">
        <v>2032</v>
      </c>
      <c r="G39" s="60"/>
      <c r="H39" s="60"/>
      <c r="I39" s="60"/>
    </row>
    <row r="40" spans="1:9" ht="297">
      <c r="A40" s="259" t="s">
        <v>1657</v>
      </c>
      <c r="B40" s="282" t="s">
        <v>1657</v>
      </c>
      <c r="C40" s="283"/>
      <c r="D40" s="672" t="s">
        <v>2033</v>
      </c>
      <c r="E40" s="265" t="s">
        <v>2034</v>
      </c>
      <c r="F40" s="267" t="s">
        <v>2035</v>
      </c>
      <c r="G40" s="60"/>
      <c r="H40" s="60"/>
      <c r="I40" s="60"/>
    </row>
    <row r="41" spans="1:9" ht="351">
      <c r="A41" s="259" t="s">
        <v>1657</v>
      </c>
      <c r="B41" s="282" t="s">
        <v>1657</v>
      </c>
      <c r="C41" s="283"/>
      <c r="D41" s="686" t="s">
        <v>2036</v>
      </c>
      <c r="E41" s="271" t="s">
        <v>2037</v>
      </c>
      <c r="F41" s="286" t="s">
        <v>2038</v>
      </c>
      <c r="G41" s="60"/>
      <c r="H41" s="60"/>
      <c r="I41" s="60"/>
    </row>
    <row r="42" spans="1:9" ht="310.5">
      <c r="A42" s="287" t="s">
        <v>1657</v>
      </c>
      <c r="B42" s="288" t="s">
        <v>1657</v>
      </c>
      <c r="C42" s="289"/>
      <c r="D42" s="690" t="s">
        <v>2039</v>
      </c>
      <c r="E42" s="691" t="s">
        <v>1920</v>
      </c>
      <c r="F42" s="692" t="s">
        <v>2040</v>
      </c>
      <c r="G42" s="60"/>
      <c r="H42" s="60"/>
      <c r="I42" s="60"/>
    </row>
    <row r="43" spans="1:9">
      <c r="A43" s="290"/>
      <c r="B43" s="290"/>
      <c r="C43" s="291"/>
      <c r="D43" s="290"/>
      <c r="E43" s="290"/>
      <c r="F43" s="291"/>
      <c r="G43" s="60"/>
      <c r="H43" s="60"/>
      <c r="I43" s="60"/>
    </row>
    <row r="44" spans="1:9">
      <c r="A44" s="258" t="s">
        <v>2041</v>
      </c>
      <c r="B44" s="292" t="s">
        <v>1874</v>
      </c>
      <c r="C44" s="257" t="s">
        <v>1875</v>
      </c>
      <c r="D44" s="293" t="s">
        <v>1876</v>
      </c>
      <c r="E44" s="294" t="s">
        <v>1874</v>
      </c>
      <c r="F44" s="295" t="s">
        <v>1875</v>
      </c>
      <c r="G44" s="60"/>
      <c r="H44" s="60"/>
      <c r="I44" s="60"/>
    </row>
    <row r="45" spans="1:9" ht="27">
      <c r="A45" s="296" t="s">
        <v>2042</v>
      </c>
      <c r="B45" s="1276" t="s">
        <v>2043</v>
      </c>
      <c r="C45" s="297" t="s">
        <v>2044</v>
      </c>
      <c r="D45" s="1279" t="s">
        <v>2045</v>
      </c>
      <c r="E45" s="1282" t="s">
        <v>2046</v>
      </c>
      <c r="F45" s="1285" t="s">
        <v>2047</v>
      </c>
      <c r="G45" s="60"/>
      <c r="H45" s="60"/>
      <c r="I45" s="60"/>
    </row>
    <row r="46" spans="1:9" ht="27">
      <c r="A46" s="298" t="s">
        <v>2048</v>
      </c>
      <c r="B46" s="1277"/>
      <c r="C46" s="299" t="s">
        <v>2049</v>
      </c>
      <c r="D46" s="1280"/>
      <c r="E46" s="1283"/>
      <c r="F46" s="1286"/>
      <c r="G46" s="60"/>
      <c r="H46" s="60"/>
      <c r="I46" s="60"/>
    </row>
    <row r="47" spans="1:9">
      <c r="A47" s="300"/>
      <c r="B47" s="1277"/>
      <c r="C47" s="299"/>
      <c r="D47" s="1280"/>
      <c r="E47" s="1283"/>
      <c r="F47" s="1286"/>
      <c r="G47" s="60"/>
      <c r="H47" s="60"/>
      <c r="I47" s="60"/>
    </row>
    <row r="48" spans="1:9">
      <c r="A48" s="300" t="s">
        <v>2050</v>
      </c>
      <c r="B48" s="1277"/>
      <c r="C48" s="299" t="s">
        <v>2051</v>
      </c>
      <c r="D48" s="1280"/>
      <c r="E48" s="1283"/>
      <c r="F48" s="1286"/>
      <c r="G48" s="60"/>
      <c r="H48" s="60"/>
      <c r="I48" s="60"/>
    </row>
    <row r="49" spans="1:9" ht="213.75" customHeight="1">
      <c r="A49" s="301" t="s">
        <v>2052</v>
      </c>
      <c r="B49" s="1278"/>
      <c r="C49" s="302" t="s">
        <v>2053</v>
      </c>
      <c r="D49" s="1281"/>
      <c r="E49" s="1284"/>
      <c r="F49" s="1287"/>
      <c r="G49" s="60"/>
      <c r="H49" s="60"/>
      <c r="I49" s="60"/>
    </row>
    <row r="50" spans="1:9">
      <c r="A50" s="303" t="s">
        <v>2054</v>
      </c>
      <c r="B50" s="1274" t="s">
        <v>2043</v>
      </c>
      <c r="C50" s="304" t="s">
        <v>2055</v>
      </c>
      <c r="D50" s="305" t="s">
        <v>2056</v>
      </c>
      <c r="E50" s="80"/>
      <c r="F50" s="306"/>
      <c r="G50" s="60"/>
      <c r="H50" s="60"/>
      <c r="I50" s="60"/>
    </row>
    <row r="51" spans="1:9">
      <c r="A51" s="307" t="s">
        <v>2057</v>
      </c>
      <c r="B51" s="1274"/>
      <c r="C51" s="304" t="s">
        <v>2058</v>
      </c>
      <c r="D51" s="308" t="s">
        <v>2059</v>
      </c>
      <c r="E51" s="80"/>
      <c r="F51" s="306"/>
      <c r="G51" s="60"/>
      <c r="H51" s="60"/>
      <c r="I51" s="60"/>
    </row>
    <row r="52" spans="1:9" ht="27">
      <c r="A52" s="309" t="s">
        <v>2060</v>
      </c>
      <c r="B52" s="1274"/>
      <c r="C52" s="304" t="s">
        <v>2061</v>
      </c>
      <c r="D52" s="308" t="s">
        <v>2062</v>
      </c>
      <c r="E52" s="80">
        <v>0</v>
      </c>
      <c r="F52" s="306"/>
      <c r="G52" s="60"/>
      <c r="H52" s="60"/>
      <c r="I52" s="60"/>
    </row>
    <row r="53" spans="1:9" ht="50.25" customHeight="1">
      <c r="A53" s="307" t="s">
        <v>2063</v>
      </c>
      <c r="B53" s="1274"/>
      <c r="C53" s="304" t="s">
        <v>2064</v>
      </c>
      <c r="D53" s="308" t="s">
        <v>2065</v>
      </c>
      <c r="E53" s="80">
        <v>0</v>
      </c>
      <c r="F53" s="306"/>
      <c r="G53" s="60"/>
      <c r="H53" s="60"/>
      <c r="I53" s="60"/>
    </row>
    <row r="54" spans="1:9">
      <c r="A54" s="309" t="s">
        <v>2066</v>
      </c>
      <c r="B54" s="1274"/>
      <c r="C54" s="304" t="s">
        <v>2067</v>
      </c>
      <c r="D54" s="308"/>
      <c r="E54" s="80">
        <v>0</v>
      </c>
      <c r="F54" s="306"/>
      <c r="G54" s="60"/>
      <c r="H54" s="60"/>
      <c r="I54" s="60"/>
    </row>
    <row r="55" spans="1:9" ht="27">
      <c r="A55" s="309" t="s">
        <v>2068</v>
      </c>
      <c r="B55" s="1274"/>
      <c r="C55" s="304" t="s">
        <v>2069</v>
      </c>
      <c r="D55" s="308"/>
      <c r="E55" s="80">
        <v>0</v>
      </c>
      <c r="F55" s="310"/>
      <c r="G55" s="60"/>
      <c r="H55" s="60"/>
      <c r="I55" s="60"/>
    </row>
    <row r="56" spans="1:9">
      <c r="A56" s="309" t="s">
        <v>2070</v>
      </c>
      <c r="B56" s="1274"/>
      <c r="C56" s="304" t="s">
        <v>2071</v>
      </c>
      <c r="D56" s="311"/>
      <c r="E56" s="80">
        <v>0</v>
      </c>
      <c r="F56" s="310"/>
      <c r="G56" s="60"/>
      <c r="H56" s="60"/>
      <c r="I56" s="60"/>
    </row>
    <row r="57" spans="1:9">
      <c r="A57" s="309" t="s">
        <v>2072</v>
      </c>
      <c r="B57" s="1274"/>
      <c r="C57" s="304" t="s">
        <v>2073</v>
      </c>
      <c r="D57" s="308"/>
      <c r="E57" s="80">
        <v>0</v>
      </c>
      <c r="F57" s="306"/>
      <c r="G57" s="60"/>
      <c r="H57" s="60"/>
      <c r="I57" s="60"/>
    </row>
    <row r="58" spans="1:9">
      <c r="A58" s="309" t="s">
        <v>2074</v>
      </c>
      <c r="B58" s="1274"/>
      <c r="C58" s="304" t="s">
        <v>2075</v>
      </c>
      <c r="D58" s="308"/>
      <c r="E58" s="80">
        <v>0</v>
      </c>
      <c r="F58" s="306"/>
      <c r="G58" s="60"/>
      <c r="H58" s="60"/>
      <c r="I58" s="60"/>
    </row>
    <row r="59" spans="1:9">
      <c r="A59" s="309" t="s">
        <v>2076</v>
      </c>
      <c r="B59" s="1274"/>
      <c r="C59" s="304" t="s">
        <v>2077</v>
      </c>
      <c r="D59" s="308"/>
      <c r="E59" s="80">
        <v>0</v>
      </c>
      <c r="F59" s="306"/>
      <c r="G59" s="60"/>
      <c r="H59" s="60"/>
      <c r="I59" s="60"/>
    </row>
    <row r="60" spans="1:9" ht="27">
      <c r="A60" s="309" t="s">
        <v>2078</v>
      </c>
      <c r="B60" s="1274"/>
      <c r="C60" s="304" t="s">
        <v>2079</v>
      </c>
      <c r="D60" s="308"/>
      <c r="E60" s="80">
        <v>0</v>
      </c>
      <c r="F60" s="306"/>
      <c r="G60" s="60"/>
      <c r="H60" s="60"/>
      <c r="I60" s="60"/>
    </row>
    <row r="61" spans="1:9" ht="40.5">
      <c r="A61" s="312" t="s">
        <v>2080</v>
      </c>
      <c r="B61" s="1274"/>
      <c r="C61" s="304" t="s">
        <v>2081</v>
      </c>
      <c r="D61" s="308"/>
      <c r="E61" s="80">
        <v>0</v>
      </c>
      <c r="F61" s="306"/>
      <c r="G61" s="60"/>
      <c r="H61" s="60"/>
      <c r="I61" s="60"/>
    </row>
    <row r="62" spans="1:9" ht="27">
      <c r="A62" s="309" t="s">
        <v>2082</v>
      </c>
      <c r="B62" s="1274"/>
      <c r="C62" s="304" t="s">
        <v>2083</v>
      </c>
      <c r="D62" s="308"/>
      <c r="E62" s="80"/>
      <c r="F62" s="306"/>
      <c r="G62" s="60"/>
      <c r="H62" s="60"/>
      <c r="I62" s="60"/>
    </row>
    <row r="63" spans="1:9">
      <c r="A63" s="307" t="s">
        <v>2084</v>
      </c>
      <c r="B63" s="1274"/>
      <c r="C63" s="304" t="s">
        <v>2085</v>
      </c>
      <c r="D63" s="308"/>
      <c r="E63" s="80"/>
      <c r="F63" s="306"/>
      <c r="G63" s="60"/>
      <c r="H63" s="60"/>
      <c r="I63" s="60"/>
    </row>
    <row r="64" spans="1:9">
      <c r="A64" s="312" t="s">
        <v>2086</v>
      </c>
      <c r="B64" s="1274"/>
      <c r="C64" s="304" t="s">
        <v>2087</v>
      </c>
      <c r="D64" s="308"/>
      <c r="E64" s="80"/>
      <c r="F64" s="306"/>
      <c r="G64" s="60"/>
      <c r="H64" s="60"/>
      <c r="I64" s="60"/>
    </row>
    <row r="65" spans="1:9">
      <c r="A65" s="309" t="s">
        <v>2088</v>
      </c>
      <c r="B65" s="1274"/>
      <c r="C65" s="304" t="s">
        <v>2089</v>
      </c>
      <c r="D65" s="308"/>
      <c r="E65" s="80"/>
      <c r="F65" s="306"/>
      <c r="G65" s="60"/>
      <c r="H65" s="60"/>
      <c r="I65" s="60"/>
    </row>
    <row r="66" spans="1:9" ht="67.5">
      <c r="A66" s="307" t="s">
        <v>2090</v>
      </c>
      <c r="B66" s="1274"/>
      <c r="C66" s="304" t="s">
        <v>2091</v>
      </c>
      <c r="D66" s="308"/>
      <c r="E66" s="80"/>
      <c r="F66" s="306"/>
      <c r="G66" s="60"/>
      <c r="H66" s="60"/>
      <c r="I66" s="60"/>
    </row>
    <row r="67" spans="1:9">
      <c r="A67" s="309" t="s">
        <v>2092</v>
      </c>
      <c r="B67" s="1274"/>
      <c r="C67" s="304" t="s">
        <v>2093</v>
      </c>
      <c r="D67" s="308"/>
      <c r="E67" s="80"/>
      <c r="F67" s="306"/>
      <c r="G67" s="60"/>
      <c r="H67" s="60"/>
      <c r="I67" s="60"/>
    </row>
    <row r="68" spans="1:9" ht="108">
      <c r="A68" s="309" t="s">
        <v>2094</v>
      </c>
      <c r="B68" s="1274"/>
      <c r="C68" s="304" t="s">
        <v>2095</v>
      </c>
      <c r="D68" s="308"/>
      <c r="E68" s="80"/>
      <c r="F68" s="306"/>
      <c r="G68" s="60"/>
      <c r="H68" s="60"/>
      <c r="I68" s="60"/>
    </row>
    <row r="69" spans="1:9" ht="27">
      <c r="A69" s="309" t="s">
        <v>2096</v>
      </c>
      <c r="B69" s="1274"/>
      <c r="C69" s="304" t="s">
        <v>2097</v>
      </c>
      <c r="D69" s="308"/>
      <c r="E69" s="80"/>
      <c r="F69" s="306"/>
      <c r="G69" s="60"/>
      <c r="H69" s="60"/>
      <c r="I69" s="60"/>
    </row>
    <row r="70" spans="1:9">
      <c r="A70" s="307" t="s">
        <v>2098</v>
      </c>
      <c r="B70" s="1274"/>
      <c r="C70" s="304" t="s">
        <v>2099</v>
      </c>
      <c r="D70" s="308"/>
      <c r="E70" s="80"/>
      <c r="F70" s="306"/>
      <c r="G70" s="60"/>
      <c r="H70" s="60"/>
      <c r="I70" s="60"/>
    </row>
    <row r="71" spans="1:9">
      <c r="A71" s="313" t="s">
        <v>2100</v>
      </c>
      <c r="B71" s="1274"/>
      <c r="C71" s="304" t="s">
        <v>2101</v>
      </c>
      <c r="D71" s="308"/>
      <c r="E71" s="80"/>
      <c r="F71" s="306"/>
      <c r="G71" s="60"/>
      <c r="H71" s="60"/>
      <c r="I71" s="60"/>
    </row>
    <row r="72" spans="1:9">
      <c r="A72" s="309" t="s">
        <v>2102</v>
      </c>
      <c r="B72" s="1274"/>
      <c r="C72" s="304" t="s">
        <v>2103</v>
      </c>
      <c r="D72" s="308"/>
      <c r="E72" s="80"/>
      <c r="F72" s="306"/>
      <c r="G72" s="60"/>
      <c r="H72" s="60"/>
      <c r="I72" s="60"/>
    </row>
    <row r="73" spans="1:9" ht="27">
      <c r="A73" s="309" t="s">
        <v>2104</v>
      </c>
      <c r="B73" s="1274"/>
      <c r="C73" s="304" t="s">
        <v>2105</v>
      </c>
      <c r="D73" s="308"/>
      <c r="E73" s="80"/>
      <c r="F73" s="306"/>
      <c r="G73" s="60"/>
      <c r="H73" s="60"/>
      <c r="I73" s="60"/>
    </row>
    <row r="74" spans="1:9" ht="27">
      <c r="A74" s="307" t="s">
        <v>2106</v>
      </c>
      <c r="B74" s="1274"/>
      <c r="C74" s="304" t="s">
        <v>2107</v>
      </c>
      <c r="D74" s="308"/>
      <c r="E74" s="80"/>
      <c r="F74" s="306"/>
      <c r="G74" s="60"/>
      <c r="H74" s="60"/>
      <c r="I74" s="60"/>
    </row>
    <row r="75" spans="1:9">
      <c r="A75" s="309" t="s">
        <v>2108</v>
      </c>
      <c r="B75" s="1274"/>
      <c r="C75" s="304" t="s">
        <v>2109</v>
      </c>
      <c r="D75" s="308"/>
      <c r="E75" s="80"/>
      <c r="F75" s="306"/>
      <c r="G75" s="60"/>
      <c r="H75" s="60"/>
      <c r="I75" s="60"/>
    </row>
    <row r="76" spans="1:9">
      <c r="A76" s="307" t="s">
        <v>2110</v>
      </c>
      <c r="B76" s="1274"/>
      <c r="C76" s="304" t="s">
        <v>2111</v>
      </c>
      <c r="D76" s="308"/>
      <c r="E76" s="80"/>
      <c r="F76" s="306"/>
      <c r="G76" s="60"/>
      <c r="H76" s="60"/>
      <c r="I76" s="60"/>
    </row>
    <row r="77" spans="1:9">
      <c r="A77" s="307" t="s">
        <v>2112</v>
      </c>
      <c r="B77" s="1274"/>
      <c r="C77" s="304" t="s">
        <v>2113</v>
      </c>
      <c r="D77" s="308"/>
      <c r="E77" s="80"/>
      <c r="F77" s="306"/>
      <c r="G77" s="60"/>
      <c r="H77" s="60"/>
      <c r="I77" s="60"/>
    </row>
    <row r="78" spans="1:9">
      <c r="A78" s="309" t="s">
        <v>2114</v>
      </c>
      <c r="B78" s="1274"/>
      <c r="C78" s="304" t="s">
        <v>2115</v>
      </c>
      <c r="D78" s="308"/>
      <c r="E78" s="80"/>
      <c r="F78" s="306"/>
      <c r="G78" s="60"/>
      <c r="H78" s="60"/>
      <c r="I78" s="60"/>
    </row>
    <row r="79" spans="1:9">
      <c r="A79" s="309" t="s">
        <v>2116</v>
      </c>
      <c r="B79" s="1274"/>
      <c r="C79" s="304" t="s">
        <v>2117</v>
      </c>
      <c r="D79" s="308"/>
      <c r="E79" s="80"/>
      <c r="F79" s="306"/>
      <c r="G79" s="60"/>
      <c r="H79" s="60"/>
      <c r="I79" s="60"/>
    </row>
    <row r="80" spans="1:9" ht="27">
      <c r="A80" s="309" t="s">
        <v>2118</v>
      </c>
      <c r="B80" s="1274"/>
      <c r="C80" s="304" t="s">
        <v>2119</v>
      </c>
      <c r="D80" s="308"/>
      <c r="E80" s="80"/>
      <c r="F80" s="306"/>
      <c r="G80" s="60"/>
      <c r="H80" s="60"/>
      <c r="I80" s="60"/>
    </row>
    <row r="81" spans="1:9" ht="40.5">
      <c r="A81" s="309" t="s">
        <v>2120</v>
      </c>
      <c r="B81" s="1274"/>
      <c r="C81" s="304" t="s">
        <v>2121</v>
      </c>
      <c r="D81" s="308"/>
      <c r="E81" s="80"/>
      <c r="F81" s="306"/>
      <c r="G81" s="60"/>
      <c r="H81" s="60"/>
      <c r="I81" s="60"/>
    </row>
    <row r="82" spans="1:9">
      <c r="A82" s="309" t="s">
        <v>2122</v>
      </c>
      <c r="B82" s="1274"/>
      <c r="C82" s="304" t="s">
        <v>2123</v>
      </c>
      <c r="D82" s="308"/>
      <c r="E82" s="80"/>
      <c r="F82" s="306"/>
      <c r="G82" s="60"/>
      <c r="H82" s="60"/>
      <c r="I82" s="60"/>
    </row>
    <row r="83" spans="1:9" ht="27">
      <c r="A83" s="309" t="s">
        <v>2124</v>
      </c>
      <c r="B83" s="1274"/>
      <c r="C83" s="304" t="s">
        <v>2125</v>
      </c>
      <c r="D83" s="308"/>
      <c r="E83" s="80"/>
      <c r="F83" s="306"/>
      <c r="G83" s="60"/>
      <c r="H83" s="60"/>
      <c r="I83" s="60"/>
    </row>
    <row r="84" spans="1:9">
      <c r="A84" s="309" t="s">
        <v>2126</v>
      </c>
      <c r="B84" s="1274"/>
      <c r="C84" s="304" t="s">
        <v>2127</v>
      </c>
      <c r="D84" s="308"/>
      <c r="E84" s="80"/>
      <c r="F84" s="306"/>
      <c r="G84" s="60"/>
      <c r="H84" s="60"/>
      <c r="I84" s="60"/>
    </row>
    <row r="85" spans="1:9" ht="27">
      <c r="A85" s="309" t="s">
        <v>2128</v>
      </c>
      <c r="B85" s="1274"/>
      <c r="C85" s="304" t="s">
        <v>2129</v>
      </c>
      <c r="D85" s="308"/>
      <c r="E85" s="80"/>
      <c r="F85" s="306"/>
      <c r="G85" s="60"/>
      <c r="H85" s="60"/>
      <c r="I85" s="60"/>
    </row>
    <row r="86" spans="1:9">
      <c r="A86" s="309" t="s">
        <v>2130</v>
      </c>
      <c r="B86" s="1274"/>
      <c r="C86" s="304" t="s">
        <v>2131</v>
      </c>
      <c r="D86" s="308"/>
      <c r="E86" s="80"/>
      <c r="F86" s="306"/>
      <c r="G86" s="60"/>
      <c r="H86" s="60"/>
      <c r="I86" s="60"/>
    </row>
    <row r="87" spans="1:9">
      <c r="A87" s="309" t="s">
        <v>2132</v>
      </c>
      <c r="B87" s="1274"/>
      <c r="C87" s="304" t="s">
        <v>2133</v>
      </c>
      <c r="D87" s="308"/>
      <c r="E87" s="80"/>
      <c r="F87" s="306"/>
      <c r="G87" s="60"/>
      <c r="H87" s="60"/>
      <c r="I87" s="60"/>
    </row>
    <row r="88" spans="1:9">
      <c r="A88" s="309" t="s">
        <v>2134</v>
      </c>
      <c r="B88" s="1274"/>
      <c r="C88" s="304" t="s">
        <v>2135</v>
      </c>
      <c r="D88" s="308"/>
      <c r="E88" s="80"/>
      <c r="F88" s="306"/>
      <c r="G88" s="60"/>
      <c r="H88" s="60"/>
      <c r="I88" s="60"/>
    </row>
    <row r="89" spans="1:9" ht="27">
      <c r="A89" s="307" t="s">
        <v>2136</v>
      </c>
      <c r="B89" s="1274"/>
      <c r="C89" s="304" t="s">
        <v>2137</v>
      </c>
      <c r="D89" s="308"/>
      <c r="E89" s="80"/>
      <c r="F89" s="306"/>
      <c r="G89" s="60"/>
      <c r="H89" s="60"/>
      <c r="I89" s="60"/>
    </row>
    <row r="90" spans="1:9">
      <c r="A90" s="307" t="s">
        <v>2138</v>
      </c>
      <c r="B90" s="1274"/>
      <c r="C90" s="304" t="s">
        <v>2139</v>
      </c>
      <c r="D90" s="308"/>
      <c r="E90" s="80"/>
      <c r="F90" s="306"/>
      <c r="G90" s="60"/>
      <c r="H90" s="60"/>
      <c r="I90" s="60"/>
    </row>
    <row r="91" spans="1:9" ht="27">
      <c r="A91" s="307" t="s">
        <v>2140</v>
      </c>
      <c r="B91" s="1274"/>
      <c r="C91" s="304" t="s">
        <v>2141</v>
      </c>
      <c r="D91" s="308"/>
      <c r="E91" s="80"/>
      <c r="F91" s="306"/>
      <c r="G91" s="60"/>
      <c r="H91" s="60"/>
      <c r="I91" s="60"/>
    </row>
    <row r="92" spans="1:9">
      <c r="A92" s="309" t="s">
        <v>2142</v>
      </c>
      <c r="B92" s="1274"/>
      <c r="C92" s="304" t="s">
        <v>2143</v>
      </c>
      <c r="D92" s="308"/>
      <c r="E92" s="80"/>
      <c r="F92" s="306"/>
      <c r="G92" s="60"/>
      <c r="H92" s="60"/>
      <c r="I92" s="60"/>
    </row>
    <row r="93" spans="1:9" ht="27">
      <c r="A93" s="309" t="s">
        <v>2144</v>
      </c>
      <c r="B93" s="1274"/>
      <c r="C93" s="304" t="s">
        <v>2145</v>
      </c>
      <c r="D93" s="308"/>
      <c r="E93" s="80"/>
      <c r="F93" s="306"/>
      <c r="G93" s="60"/>
      <c r="H93" s="60"/>
      <c r="I93" s="60"/>
    </row>
    <row r="94" spans="1:9">
      <c r="A94" s="309" t="s">
        <v>2146</v>
      </c>
      <c r="B94" s="1274"/>
      <c r="C94" s="304" t="s">
        <v>2147</v>
      </c>
      <c r="D94" s="308"/>
      <c r="E94" s="80"/>
      <c r="F94" s="306"/>
      <c r="G94" s="60"/>
      <c r="H94" s="60"/>
      <c r="I94" s="60"/>
    </row>
    <row r="95" spans="1:9">
      <c r="A95" s="307" t="s">
        <v>2148</v>
      </c>
      <c r="B95" s="1274"/>
      <c r="C95" s="304" t="s">
        <v>2149</v>
      </c>
      <c r="D95" s="308"/>
      <c r="E95" s="80"/>
      <c r="F95" s="306"/>
      <c r="G95" s="60"/>
      <c r="H95" s="60"/>
      <c r="I95" s="60"/>
    </row>
    <row r="96" spans="1:9">
      <c r="A96" s="309" t="s">
        <v>2150</v>
      </c>
      <c r="B96" s="1274"/>
      <c r="C96" s="304" t="s">
        <v>2151</v>
      </c>
      <c r="D96" s="308"/>
      <c r="E96" s="80"/>
      <c r="F96" s="306"/>
      <c r="G96" s="60"/>
      <c r="H96" s="60"/>
      <c r="I96" s="60"/>
    </row>
    <row r="97" spans="1:9">
      <c r="A97" s="309" t="s">
        <v>2152</v>
      </c>
      <c r="B97" s="1274"/>
      <c r="C97" s="304" t="s">
        <v>2153</v>
      </c>
      <c r="D97" s="308"/>
      <c r="E97" s="80"/>
      <c r="F97" s="306"/>
      <c r="G97" s="60"/>
      <c r="H97" s="60"/>
      <c r="I97" s="60"/>
    </row>
    <row r="98" spans="1:9">
      <c r="A98" s="307" t="s">
        <v>2154</v>
      </c>
      <c r="B98" s="1274"/>
      <c r="C98" s="304" t="s">
        <v>2155</v>
      </c>
      <c r="D98" s="308"/>
      <c r="E98" s="80"/>
      <c r="F98" s="306"/>
      <c r="G98" s="60"/>
      <c r="H98" s="60"/>
      <c r="I98" s="60"/>
    </row>
    <row r="99" spans="1:9">
      <c r="A99" s="307" t="s">
        <v>2156</v>
      </c>
      <c r="B99" s="1274"/>
      <c r="C99" s="304" t="s">
        <v>2157</v>
      </c>
      <c r="D99" s="308"/>
      <c r="E99" s="80"/>
      <c r="F99" s="306"/>
      <c r="G99" s="60"/>
      <c r="H99" s="60"/>
      <c r="I99" s="60"/>
    </row>
    <row r="100" spans="1:9">
      <c r="A100" s="309" t="s">
        <v>2158</v>
      </c>
      <c r="B100" s="1274"/>
      <c r="C100" s="304" t="s">
        <v>2159</v>
      </c>
      <c r="D100" s="308"/>
      <c r="E100" s="80"/>
      <c r="F100" s="306"/>
      <c r="G100" s="60"/>
      <c r="H100" s="60"/>
      <c r="I100" s="60"/>
    </row>
    <row r="101" spans="1:9" ht="27">
      <c r="A101" s="309" t="s">
        <v>2160</v>
      </c>
      <c r="B101" s="1274"/>
      <c r="C101" s="304" t="s">
        <v>2161</v>
      </c>
      <c r="D101" s="308"/>
      <c r="E101" s="80"/>
      <c r="F101" s="306"/>
      <c r="G101" s="60"/>
      <c r="H101" s="60"/>
      <c r="I101" s="60"/>
    </row>
    <row r="102" spans="1:9">
      <c r="A102" s="307" t="s">
        <v>2162</v>
      </c>
      <c r="B102" s="1274"/>
      <c r="C102" s="304" t="s">
        <v>2163</v>
      </c>
      <c r="D102" s="308"/>
      <c r="E102" s="80"/>
      <c r="F102" s="306"/>
      <c r="G102" s="60"/>
      <c r="H102" s="60"/>
      <c r="I102" s="60"/>
    </row>
    <row r="103" spans="1:9">
      <c r="A103" s="307" t="s">
        <v>2164</v>
      </c>
      <c r="B103" s="1274"/>
      <c r="C103" s="304" t="s">
        <v>2165</v>
      </c>
      <c r="D103" s="308"/>
      <c r="E103" s="80"/>
      <c r="F103" s="306"/>
      <c r="G103" s="60"/>
      <c r="H103" s="60"/>
      <c r="I103" s="60"/>
    </row>
    <row r="104" spans="1:9">
      <c r="A104" s="309" t="s">
        <v>2166</v>
      </c>
      <c r="B104" s="1274"/>
      <c r="C104" s="304" t="s">
        <v>2167</v>
      </c>
      <c r="D104" s="308"/>
      <c r="E104" s="80"/>
      <c r="F104" s="306"/>
      <c r="G104" s="60"/>
      <c r="H104" s="60"/>
      <c r="I104" s="60"/>
    </row>
    <row r="105" spans="1:9">
      <c r="A105" s="309" t="s">
        <v>2168</v>
      </c>
      <c r="B105" s="1274"/>
      <c r="C105" s="304" t="s">
        <v>2169</v>
      </c>
      <c r="D105" s="308"/>
      <c r="E105" s="80"/>
      <c r="F105" s="306"/>
      <c r="G105" s="60"/>
      <c r="H105" s="60"/>
      <c r="I105" s="60"/>
    </row>
    <row r="106" spans="1:9" ht="27">
      <c r="A106" s="309" t="s">
        <v>2170</v>
      </c>
      <c r="B106" s="1274"/>
      <c r="C106" s="304" t="s">
        <v>2171</v>
      </c>
      <c r="D106" s="308"/>
      <c r="E106" s="80"/>
      <c r="F106" s="306"/>
      <c r="G106" s="60"/>
      <c r="H106" s="60"/>
      <c r="I106" s="60"/>
    </row>
    <row r="107" spans="1:9">
      <c r="A107" s="307" t="s">
        <v>2172</v>
      </c>
      <c r="B107" s="1274"/>
      <c r="C107" s="304" t="s">
        <v>2173</v>
      </c>
      <c r="D107" s="308"/>
      <c r="E107" s="80"/>
      <c r="F107" s="306"/>
      <c r="G107" s="60"/>
      <c r="H107" s="60"/>
      <c r="I107" s="60"/>
    </row>
    <row r="108" spans="1:9">
      <c r="A108" s="307" t="s">
        <v>2174</v>
      </c>
      <c r="B108" s="1274"/>
      <c r="C108" s="304" t="s">
        <v>2175</v>
      </c>
      <c r="D108" s="308"/>
      <c r="E108" s="80"/>
      <c r="F108" s="306"/>
      <c r="G108" s="60"/>
      <c r="H108" s="60"/>
      <c r="I108" s="60"/>
    </row>
    <row r="109" spans="1:9" ht="27">
      <c r="A109" s="309" t="s">
        <v>2176</v>
      </c>
      <c r="B109" s="1274"/>
      <c r="C109" s="304" t="s">
        <v>2177</v>
      </c>
      <c r="D109" s="308"/>
      <c r="E109" s="80"/>
      <c r="F109" s="306"/>
      <c r="G109" s="60"/>
      <c r="H109" s="60"/>
      <c r="I109" s="60"/>
    </row>
    <row r="110" spans="1:9" ht="27">
      <c r="A110" s="309" t="s">
        <v>2178</v>
      </c>
      <c r="B110" s="1274"/>
      <c r="C110" s="304" t="s">
        <v>2179</v>
      </c>
      <c r="D110" s="308"/>
      <c r="E110" s="80"/>
      <c r="F110" s="306"/>
      <c r="G110" s="60"/>
      <c r="H110" s="60"/>
      <c r="I110" s="60"/>
    </row>
    <row r="111" spans="1:9">
      <c r="A111" s="309" t="s">
        <v>2180</v>
      </c>
      <c r="B111" s="1274"/>
      <c r="C111" s="304" t="s">
        <v>2181</v>
      </c>
      <c r="D111" s="308"/>
      <c r="E111" s="80"/>
      <c r="F111" s="306"/>
      <c r="G111" s="60"/>
      <c r="H111" s="60"/>
      <c r="I111" s="60"/>
    </row>
    <row r="112" spans="1:9">
      <c r="A112" s="309" t="s">
        <v>2182</v>
      </c>
      <c r="B112" s="1274"/>
      <c r="C112" s="304" t="s">
        <v>2183</v>
      </c>
      <c r="D112" s="308"/>
      <c r="E112" s="80"/>
      <c r="F112" s="306"/>
      <c r="G112" s="60"/>
      <c r="H112" s="60"/>
      <c r="I112" s="60"/>
    </row>
    <row r="113" spans="1:9" ht="27">
      <c r="A113" s="309" t="s">
        <v>2184</v>
      </c>
      <c r="B113" s="1274"/>
      <c r="C113" s="304" t="s">
        <v>2185</v>
      </c>
      <c r="D113" s="308"/>
      <c r="E113" s="80"/>
      <c r="F113" s="306"/>
      <c r="G113" s="60"/>
      <c r="H113" s="60"/>
      <c r="I113" s="60"/>
    </row>
    <row r="114" spans="1:9" ht="40.5">
      <c r="A114" s="309" t="s">
        <v>2186</v>
      </c>
      <c r="B114" s="1274"/>
      <c r="C114" s="304" t="s">
        <v>2187</v>
      </c>
      <c r="D114" s="308"/>
      <c r="E114" s="80"/>
      <c r="F114" s="306"/>
      <c r="G114" s="60"/>
      <c r="H114" s="60"/>
      <c r="I114" s="60"/>
    </row>
    <row r="115" spans="1:9">
      <c r="A115" s="309" t="s">
        <v>2188</v>
      </c>
      <c r="B115" s="1274"/>
      <c r="C115" s="304" t="s">
        <v>2189</v>
      </c>
      <c r="D115" s="308"/>
      <c r="E115" s="80"/>
      <c r="F115" s="306"/>
      <c r="G115" s="60"/>
      <c r="H115" s="60"/>
      <c r="I115" s="60"/>
    </row>
    <row r="116" spans="1:9">
      <c r="A116" s="307" t="s">
        <v>2190</v>
      </c>
      <c r="B116" s="1274"/>
      <c r="C116" s="304" t="s">
        <v>2191</v>
      </c>
      <c r="D116" s="308"/>
      <c r="E116" s="80"/>
      <c r="F116" s="306"/>
      <c r="G116" s="60"/>
      <c r="H116" s="60"/>
      <c r="I116" s="60"/>
    </row>
    <row r="117" spans="1:9">
      <c r="A117" s="314" t="s">
        <v>2192</v>
      </c>
      <c r="B117" s="1274"/>
      <c r="C117" s="304" t="s">
        <v>2193</v>
      </c>
      <c r="D117" s="308"/>
      <c r="E117" s="80"/>
      <c r="F117" s="306"/>
      <c r="G117" s="60"/>
      <c r="H117" s="60"/>
      <c r="I117" s="60"/>
    </row>
    <row r="118" spans="1:9">
      <c r="A118" s="307" t="s">
        <v>2194</v>
      </c>
      <c r="B118" s="1274"/>
      <c r="C118" s="304" t="s">
        <v>2195</v>
      </c>
      <c r="D118" s="308"/>
      <c r="E118" s="80"/>
      <c r="F118" s="306"/>
      <c r="G118" s="60"/>
      <c r="H118" s="60"/>
      <c r="I118" s="60"/>
    </row>
    <row r="119" spans="1:9">
      <c r="A119" s="307" t="s">
        <v>2196</v>
      </c>
      <c r="B119" s="1274"/>
      <c r="C119" s="304" t="s">
        <v>2197</v>
      </c>
      <c r="D119" s="308"/>
      <c r="E119" s="80"/>
      <c r="F119" s="306"/>
      <c r="G119" s="60"/>
      <c r="H119" s="60"/>
      <c r="I119" s="60"/>
    </row>
    <row r="120" spans="1:9">
      <c r="A120" s="307" t="s">
        <v>2198</v>
      </c>
      <c r="B120" s="1274"/>
      <c r="C120" s="304" t="s">
        <v>2199</v>
      </c>
      <c r="D120" s="308"/>
      <c r="E120" s="80"/>
      <c r="F120" s="306"/>
      <c r="G120" s="60"/>
      <c r="H120" s="60"/>
      <c r="I120" s="60"/>
    </row>
    <row r="121" spans="1:9" ht="40.5">
      <c r="A121" s="307" t="s">
        <v>2200</v>
      </c>
      <c r="B121" s="1274"/>
      <c r="C121" s="304" t="s">
        <v>2201</v>
      </c>
      <c r="D121" s="308"/>
      <c r="E121" s="80"/>
      <c r="F121" s="306"/>
      <c r="G121" s="60"/>
      <c r="H121" s="60"/>
      <c r="I121" s="60"/>
    </row>
    <row r="122" spans="1:9">
      <c r="A122" s="307" t="s">
        <v>2202</v>
      </c>
      <c r="B122" s="1274"/>
      <c r="C122" s="304" t="s">
        <v>2203</v>
      </c>
      <c r="D122" s="308"/>
      <c r="E122" s="80"/>
      <c r="F122" s="306"/>
      <c r="G122" s="60"/>
      <c r="H122" s="60"/>
      <c r="I122" s="60"/>
    </row>
    <row r="123" spans="1:9">
      <c r="A123" s="309" t="s">
        <v>2204</v>
      </c>
      <c r="B123" s="1274"/>
      <c r="C123" s="304" t="s">
        <v>2205</v>
      </c>
      <c r="D123" s="308"/>
      <c r="E123" s="80"/>
      <c r="F123" s="306"/>
      <c r="G123" s="60"/>
      <c r="H123" s="60"/>
      <c r="I123" s="60"/>
    </row>
    <row r="124" spans="1:9">
      <c r="A124" s="307" t="s">
        <v>2206</v>
      </c>
      <c r="B124" s="1274"/>
      <c r="C124" s="304"/>
      <c r="D124" s="308"/>
      <c r="E124" s="80"/>
      <c r="F124" s="306"/>
      <c r="G124" s="60"/>
      <c r="H124" s="60"/>
      <c r="I124" s="60"/>
    </row>
    <row r="125" spans="1:9">
      <c r="A125" s="307" t="s">
        <v>2207</v>
      </c>
      <c r="B125" s="1274"/>
      <c r="C125" s="304"/>
      <c r="D125" s="308"/>
      <c r="E125" s="80"/>
      <c r="F125" s="306"/>
      <c r="G125" s="60"/>
      <c r="H125" s="60"/>
      <c r="I125" s="60"/>
    </row>
    <row r="126" spans="1:9">
      <c r="A126" s="309" t="s">
        <v>2208</v>
      </c>
      <c r="B126" s="1274"/>
      <c r="C126" s="304"/>
      <c r="D126" s="308"/>
      <c r="E126" s="80"/>
      <c r="F126" s="306"/>
      <c r="G126" s="60"/>
      <c r="H126" s="60"/>
      <c r="I126" s="60"/>
    </row>
    <row r="127" spans="1:9">
      <c r="A127" s="309" t="s">
        <v>2209</v>
      </c>
      <c r="B127" s="1274"/>
      <c r="C127" s="304"/>
      <c r="D127" s="308"/>
      <c r="E127" s="80"/>
      <c r="F127" s="306"/>
      <c r="G127" s="60"/>
      <c r="H127" s="60"/>
      <c r="I127" s="60"/>
    </row>
    <row r="128" spans="1:9">
      <c r="A128" s="307" t="s">
        <v>2210</v>
      </c>
      <c r="B128" s="1274"/>
      <c r="C128" s="304"/>
      <c r="D128" s="308"/>
      <c r="E128" s="80"/>
      <c r="F128" s="306"/>
      <c r="G128" s="60"/>
      <c r="H128" s="60"/>
      <c r="I128" s="60"/>
    </row>
    <row r="129" spans="1:9">
      <c r="A129" s="314" t="s">
        <v>2211</v>
      </c>
      <c r="B129" s="1274"/>
      <c r="C129" s="304"/>
      <c r="D129" s="308"/>
      <c r="E129" s="80"/>
      <c r="F129" s="306"/>
      <c r="G129" s="60"/>
      <c r="H129" s="60"/>
      <c r="I129" s="60"/>
    </row>
    <row r="130" spans="1:9">
      <c r="A130" s="309" t="s">
        <v>2212</v>
      </c>
      <c r="B130" s="1274"/>
      <c r="C130" s="304"/>
      <c r="D130" s="308"/>
      <c r="E130" s="80"/>
      <c r="F130" s="306"/>
      <c r="G130" s="60"/>
      <c r="H130" s="60"/>
      <c r="I130" s="60"/>
    </row>
    <row r="131" spans="1:9">
      <c r="A131" s="307" t="s">
        <v>2213</v>
      </c>
      <c r="B131" s="1274"/>
      <c r="C131" s="304"/>
      <c r="D131" s="308"/>
      <c r="E131" s="80"/>
      <c r="F131" s="306"/>
      <c r="G131" s="60"/>
      <c r="H131" s="60"/>
      <c r="I131" s="60"/>
    </row>
    <row r="132" spans="1:9">
      <c r="A132" s="307" t="s">
        <v>2214</v>
      </c>
      <c r="B132" s="1274"/>
      <c r="C132" s="304"/>
      <c r="D132" s="308"/>
      <c r="E132" s="80"/>
      <c r="F132" s="306"/>
      <c r="G132" s="60"/>
      <c r="H132" s="60"/>
      <c r="I132" s="60"/>
    </row>
    <row r="133" spans="1:9">
      <c r="A133" s="309" t="s">
        <v>2215</v>
      </c>
      <c r="B133" s="1274"/>
      <c r="C133" s="304" t="s">
        <v>2216</v>
      </c>
      <c r="D133" s="308" t="s">
        <v>2217</v>
      </c>
      <c r="E133" s="80"/>
      <c r="F133" s="306"/>
      <c r="G133" s="60"/>
      <c r="H133" s="60"/>
      <c r="I133" s="60"/>
    </row>
    <row r="134" spans="1:9">
      <c r="A134" s="309" t="s">
        <v>2218</v>
      </c>
      <c r="B134" s="1274"/>
      <c r="C134" s="304"/>
      <c r="D134" s="308"/>
      <c r="E134" s="80"/>
      <c r="F134" s="306"/>
      <c r="G134" s="60"/>
      <c r="H134" s="60"/>
      <c r="I134" s="60"/>
    </row>
    <row r="135" spans="1:9">
      <c r="A135" s="307" t="s">
        <v>2219</v>
      </c>
      <c r="B135" s="1274"/>
      <c r="C135" s="304"/>
      <c r="D135" s="308"/>
      <c r="E135" s="80"/>
      <c r="F135" s="306"/>
      <c r="G135" s="60"/>
      <c r="H135" s="60"/>
      <c r="I135" s="60"/>
    </row>
    <row r="136" spans="1:9">
      <c r="A136" s="307" t="s">
        <v>2220</v>
      </c>
      <c r="B136" s="1274"/>
      <c r="C136" s="304"/>
      <c r="D136" s="308"/>
      <c r="E136" s="80"/>
      <c r="F136" s="306"/>
      <c r="G136" s="60"/>
      <c r="H136" s="60"/>
      <c r="I136" s="60"/>
    </row>
    <row r="137" spans="1:9">
      <c r="A137" s="314" t="s">
        <v>2221</v>
      </c>
      <c r="B137" s="1274"/>
      <c r="C137" s="304"/>
      <c r="D137" s="308"/>
      <c r="E137" s="80"/>
      <c r="F137" s="306"/>
      <c r="G137" s="60"/>
      <c r="H137" s="60"/>
      <c r="I137" s="60"/>
    </row>
    <row r="138" spans="1:9">
      <c r="A138" s="307" t="s">
        <v>2222</v>
      </c>
      <c r="B138" s="1274"/>
      <c r="C138" s="304"/>
      <c r="D138" s="308"/>
      <c r="E138" s="80"/>
      <c r="F138" s="306"/>
      <c r="G138" s="60"/>
      <c r="H138" s="60"/>
      <c r="I138" s="60"/>
    </row>
    <row r="139" spans="1:9">
      <c r="A139" s="309" t="s">
        <v>2223</v>
      </c>
      <c r="B139" s="1274"/>
      <c r="C139" s="304"/>
      <c r="D139" s="308"/>
      <c r="E139" s="80"/>
      <c r="F139" s="306"/>
      <c r="G139" s="60"/>
      <c r="H139" s="60"/>
      <c r="I139" s="60"/>
    </row>
    <row r="140" spans="1:9">
      <c r="A140" s="307" t="s">
        <v>2224</v>
      </c>
      <c r="B140" s="1274"/>
      <c r="C140" s="304"/>
      <c r="D140" s="308"/>
      <c r="E140" s="80"/>
      <c r="F140" s="306"/>
      <c r="G140" s="60"/>
      <c r="H140" s="60"/>
      <c r="I140" s="60"/>
    </row>
    <row r="141" spans="1:9">
      <c r="A141" s="314" t="s">
        <v>2225</v>
      </c>
      <c r="B141" s="1274"/>
      <c r="C141" s="304"/>
      <c r="D141" s="308"/>
      <c r="E141" s="80"/>
      <c r="F141" s="306"/>
      <c r="G141" s="60"/>
      <c r="H141" s="60"/>
      <c r="I141" s="60"/>
    </row>
    <row r="142" spans="1:9">
      <c r="A142" s="314" t="s">
        <v>2226</v>
      </c>
      <c r="B142" s="1274"/>
      <c r="C142" s="304"/>
      <c r="D142" s="308"/>
      <c r="E142" s="80"/>
      <c r="F142" s="306"/>
      <c r="G142" s="60"/>
      <c r="H142" s="60"/>
      <c r="I142" s="60"/>
    </row>
    <row r="143" spans="1:9">
      <c r="A143" s="307" t="s">
        <v>2227</v>
      </c>
      <c r="B143" s="1274"/>
      <c r="C143" s="304"/>
      <c r="D143" s="308"/>
      <c r="E143" s="80"/>
      <c r="F143" s="306"/>
      <c r="G143" s="60"/>
      <c r="H143" s="60"/>
      <c r="I143" s="60"/>
    </row>
    <row r="144" spans="1:9">
      <c r="A144" s="314" t="s">
        <v>2228</v>
      </c>
      <c r="B144" s="1274"/>
      <c r="C144" s="304"/>
      <c r="D144" s="308"/>
      <c r="E144" s="80"/>
      <c r="F144" s="306"/>
      <c r="G144" s="60"/>
      <c r="H144" s="60"/>
      <c r="I144" s="60"/>
    </row>
    <row r="145" spans="1:9">
      <c r="A145" s="314" t="s">
        <v>2229</v>
      </c>
      <c r="B145" s="1274"/>
      <c r="C145" s="304"/>
      <c r="D145" s="308"/>
      <c r="E145" s="80"/>
      <c r="F145" s="306"/>
      <c r="G145" s="60"/>
      <c r="H145" s="60"/>
      <c r="I145" s="60"/>
    </row>
    <row r="146" spans="1:9">
      <c r="A146" s="314" t="s">
        <v>2230</v>
      </c>
      <c r="B146" s="1274"/>
      <c r="C146" s="304"/>
      <c r="D146" s="308"/>
      <c r="E146" s="80"/>
      <c r="F146" s="306"/>
      <c r="G146" s="60"/>
      <c r="H146" s="60"/>
      <c r="I146" s="60"/>
    </row>
    <row r="147" spans="1:9">
      <c r="A147" s="314" t="s">
        <v>2231</v>
      </c>
      <c r="B147" s="1274"/>
      <c r="C147" s="304"/>
      <c r="D147" s="308"/>
      <c r="E147" s="80"/>
      <c r="F147" s="306"/>
      <c r="G147" s="60"/>
      <c r="H147" s="60"/>
      <c r="I147" s="60"/>
    </row>
    <row r="148" spans="1:9">
      <c r="A148" s="314" t="s">
        <v>2232</v>
      </c>
      <c r="B148" s="1274"/>
      <c r="C148" s="304"/>
      <c r="D148" s="308"/>
      <c r="E148" s="80"/>
      <c r="F148" s="306"/>
      <c r="G148" s="60"/>
      <c r="H148" s="60"/>
      <c r="I148" s="60"/>
    </row>
    <row r="149" spans="1:9">
      <c r="A149" s="314" t="s">
        <v>2233</v>
      </c>
      <c r="B149" s="1274"/>
      <c r="C149" s="304"/>
      <c r="D149" s="308"/>
      <c r="E149" s="80"/>
      <c r="F149" s="306"/>
      <c r="G149" s="60"/>
      <c r="H149" s="60"/>
      <c r="I149" s="60"/>
    </row>
    <row r="150" spans="1:9">
      <c r="A150" s="314" t="s">
        <v>2234</v>
      </c>
      <c r="B150" s="1274"/>
      <c r="C150" s="304"/>
      <c r="D150" s="308"/>
      <c r="E150" s="80"/>
      <c r="F150" s="306"/>
      <c r="G150" s="60"/>
      <c r="H150" s="60"/>
      <c r="I150" s="60"/>
    </row>
    <row r="151" spans="1:9">
      <c r="A151" s="314" t="s">
        <v>2235</v>
      </c>
      <c r="B151" s="1274"/>
      <c r="C151" s="304"/>
      <c r="D151" s="308"/>
      <c r="E151" s="80"/>
      <c r="F151" s="306"/>
      <c r="G151" s="60"/>
      <c r="H151" s="60"/>
      <c r="I151" s="60"/>
    </row>
    <row r="152" spans="1:9">
      <c r="A152" s="314" t="s">
        <v>2236</v>
      </c>
      <c r="B152" s="1274"/>
      <c r="C152" s="304"/>
      <c r="D152" s="308"/>
      <c r="E152" s="80"/>
      <c r="F152" s="306"/>
      <c r="G152" s="60"/>
      <c r="H152" s="60"/>
      <c r="I152" s="60"/>
    </row>
    <row r="153" spans="1:9">
      <c r="A153" s="314" t="s">
        <v>2237</v>
      </c>
      <c r="B153" s="1274"/>
      <c r="C153" s="304"/>
      <c r="D153" s="308"/>
      <c r="E153" s="80"/>
      <c r="F153" s="306"/>
      <c r="G153" s="60"/>
      <c r="H153" s="60"/>
      <c r="I153" s="60"/>
    </row>
    <row r="154" spans="1:9">
      <c r="A154" s="314" t="s">
        <v>2238</v>
      </c>
      <c r="B154" s="1274"/>
      <c r="C154" s="304"/>
      <c r="D154" s="308"/>
      <c r="E154" s="80"/>
      <c r="F154" s="306"/>
      <c r="G154" s="60"/>
      <c r="H154" s="60"/>
      <c r="I154" s="60"/>
    </row>
    <row r="155" spans="1:9">
      <c r="A155" s="314" t="s">
        <v>2239</v>
      </c>
      <c r="B155" s="1274"/>
      <c r="C155" s="304"/>
      <c r="D155" s="308"/>
      <c r="E155" s="80"/>
      <c r="F155" s="306"/>
      <c r="G155" s="60"/>
      <c r="H155" s="60"/>
      <c r="I155" s="60"/>
    </row>
    <row r="156" spans="1:9">
      <c r="A156" s="314" t="s">
        <v>2240</v>
      </c>
      <c r="B156" s="1274"/>
      <c r="C156" s="304"/>
      <c r="D156" s="308"/>
      <c r="E156" s="80"/>
      <c r="F156" s="306"/>
      <c r="G156" s="60"/>
      <c r="H156" s="60"/>
      <c r="I156" s="60"/>
    </row>
    <row r="157" spans="1:9">
      <c r="A157" s="314" t="s">
        <v>2241</v>
      </c>
      <c r="B157" s="1274"/>
      <c r="C157" s="304"/>
      <c r="D157" s="308"/>
      <c r="E157" s="80"/>
      <c r="F157" s="306"/>
      <c r="G157" s="60"/>
      <c r="H157" s="60"/>
      <c r="I157" s="60"/>
    </row>
    <row r="158" spans="1:9">
      <c r="A158" s="314" t="s">
        <v>2242</v>
      </c>
      <c r="B158" s="1274"/>
      <c r="C158" s="304"/>
      <c r="D158" s="308"/>
      <c r="E158" s="80"/>
      <c r="F158" s="306"/>
      <c r="G158" s="60"/>
      <c r="H158" s="60"/>
      <c r="I158" s="60"/>
    </row>
    <row r="159" spans="1:9">
      <c r="A159" s="314" t="s">
        <v>2243</v>
      </c>
      <c r="B159" s="1274"/>
      <c r="C159" s="315"/>
      <c r="D159" s="308"/>
      <c r="E159" s="80"/>
      <c r="F159" s="306"/>
      <c r="G159" s="60"/>
      <c r="H159" s="60"/>
      <c r="I159" s="60"/>
    </row>
    <row r="160" spans="1:9">
      <c r="A160" s="307" t="s">
        <v>2244</v>
      </c>
      <c r="B160" s="1274"/>
      <c r="C160" s="315"/>
      <c r="D160" s="308"/>
      <c r="E160" s="80"/>
      <c r="F160" s="306"/>
      <c r="G160" s="60"/>
      <c r="H160" s="60"/>
      <c r="I160" s="60"/>
    </row>
    <row r="161" spans="1:9">
      <c r="A161" s="314" t="s">
        <v>2245</v>
      </c>
      <c r="B161" s="1274"/>
      <c r="C161" s="315"/>
      <c r="D161" s="308"/>
      <c r="E161" s="80"/>
      <c r="F161" s="306"/>
      <c r="G161" s="60"/>
      <c r="H161" s="60"/>
      <c r="I161" s="60"/>
    </row>
    <row r="162" spans="1:9">
      <c r="A162" s="314" t="s">
        <v>2246</v>
      </c>
      <c r="B162" s="1274"/>
      <c r="C162" s="315"/>
      <c r="D162" s="308"/>
      <c r="E162" s="80"/>
      <c r="F162" s="306"/>
      <c r="G162" s="60"/>
      <c r="H162" s="60"/>
      <c r="I162" s="60"/>
    </row>
    <row r="163" spans="1:9">
      <c r="A163" s="314" t="s">
        <v>2247</v>
      </c>
      <c r="B163" s="1274"/>
      <c r="C163" s="315"/>
      <c r="D163" s="308"/>
      <c r="E163" s="80"/>
      <c r="F163" s="306"/>
      <c r="G163" s="60"/>
      <c r="H163" s="60"/>
      <c r="I163" s="60"/>
    </row>
    <row r="164" spans="1:9">
      <c r="A164" s="314" t="s">
        <v>2248</v>
      </c>
      <c r="B164" s="1274"/>
      <c r="C164" s="304"/>
      <c r="D164" s="308"/>
      <c r="E164" s="80"/>
      <c r="F164" s="306"/>
      <c r="G164" s="60"/>
      <c r="H164" s="60"/>
      <c r="I164" s="60"/>
    </row>
    <row r="165" spans="1:9">
      <c r="A165" s="309" t="s">
        <v>2249</v>
      </c>
      <c r="B165" s="1274"/>
      <c r="C165" s="304"/>
      <c r="D165" s="308"/>
      <c r="E165" s="80"/>
      <c r="F165" s="306"/>
      <c r="G165" s="60"/>
      <c r="H165" s="60"/>
      <c r="I165" s="60"/>
    </row>
    <row r="166" spans="1:9">
      <c r="A166" s="309" t="s">
        <v>2250</v>
      </c>
      <c r="B166" s="1274"/>
      <c r="C166" s="304"/>
      <c r="D166" s="308"/>
      <c r="E166" s="80"/>
      <c r="F166" s="306"/>
      <c r="G166" s="60"/>
      <c r="H166" s="60"/>
      <c r="I166" s="60"/>
    </row>
    <row r="167" spans="1:9">
      <c r="A167" s="307" t="s">
        <v>2251</v>
      </c>
      <c r="B167" s="1274"/>
      <c r="C167" s="304"/>
      <c r="D167" s="308"/>
      <c r="E167" s="80"/>
      <c r="F167" s="306"/>
      <c r="G167" s="60"/>
      <c r="H167" s="60"/>
      <c r="I167" s="60"/>
    </row>
    <row r="168" spans="1:9">
      <c r="A168" s="314" t="s">
        <v>2252</v>
      </c>
      <c r="B168" s="1274"/>
      <c r="C168" s="304"/>
      <c r="D168" s="308"/>
      <c r="E168" s="80"/>
      <c r="F168" s="306"/>
      <c r="G168" s="60"/>
      <c r="H168" s="60"/>
      <c r="I168" s="60"/>
    </row>
    <row r="169" spans="1:9">
      <c r="A169" s="314" t="s">
        <v>2253</v>
      </c>
      <c r="B169" s="1274"/>
      <c r="C169" s="304"/>
      <c r="D169" s="308"/>
      <c r="E169" s="80"/>
      <c r="F169" s="306"/>
      <c r="G169" s="60"/>
      <c r="H169" s="60"/>
      <c r="I169" s="60"/>
    </row>
    <row r="170" spans="1:9">
      <c r="A170" s="314" t="s">
        <v>2254</v>
      </c>
      <c r="B170" s="1274"/>
      <c r="C170" s="304"/>
      <c r="D170" s="308"/>
      <c r="E170" s="80"/>
      <c r="F170" s="306"/>
      <c r="G170" s="60"/>
      <c r="H170" s="60"/>
      <c r="I170" s="60"/>
    </row>
    <row r="171" spans="1:9">
      <c r="A171" s="307" t="s">
        <v>2255</v>
      </c>
      <c r="B171" s="1274"/>
      <c r="C171" s="304"/>
      <c r="D171" s="308"/>
      <c r="E171" s="80"/>
      <c r="F171" s="306"/>
      <c r="G171" s="60"/>
      <c r="H171" s="60"/>
      <c r="I171" s="60"/>
    </row>
    <row r="172" spans="1:9">
      <c r="A172" s="309" t="s">
        <v>2256</v>
      </c>
      <c r="B172" s="1274"/>
      <c r="C172" s="304"/>
      <c r="D172" s="308"/>
      <c r="E172" s="80"/>
      <c r="F172" s="306"/>
      <c r="G172" s="60"/>
      <c r="H172" s="60"/>
      <c r="I172" s="60"/>
    </row>
    <row r="173" spans="1:9">
      <c r="A173" s="307" t="s">
        <v>2257</v>
      </c>
      <c r="B173" s="1274"/>
      <c r="C173" s="304"/>
      <c r="D173" s="308"/>
      <c r="E173" s="80"/>
      <c r="F173" s="306"/>
      <c r="G173" s="60"/>
      <c r="H173" s="60"/>
      <c r="I173" s="60"/>
    </row>
    <row r="174" spans="1:9">
      <c r="A174" s="307" t="s">
        <v>2258</v>
      </c>
      <c r="B174" s="1274"/>
      <c r="C174" s="304"/>
      <c r="D174" s="308"/>
      <c r="E174" s="80"/>
      <c r="F174" s="306"/>
      <c r="G174" s="60"/>
      <c r="H174" s="60"/>
      <c r="I174" s="60"/>
    </row>
    <row r="175" spans="1:9">
      <c r="A175" s="307" t="s">
        <v>2259</v>
      </c>
      <c r="B175" s="1274"/>
      <c r="C175" s="304"/>
      <c r="D175" s="308"/>
      <c r="E175" s="80"/>
      <c r="F175" s="306"/>
      <c r="G175" s="60"/>
      <c r="H175" s="60"/>
      <c r="I175" s="60"/>
    </row>
    <row r="176" spans="1:9">
      <c r="A176" s="307" t="s">
        <v>2260</v>
      </c>
      <c r="B176" s="1274"/>
      <c r="C176" s="304"/>
      <c r="D176" s="308"/>
      <c r="E176" s="80"/>
      <c r="F176" s="306"/>
      <c r="G176" s="60"/>
      <c r="H176" s="60"/>
      <c r="I176" s="60"/>
    </row>
    <row r="177" spans="1:9">
      <c r="A177" s="307" t="s">
        <v>2261</v>
      </c>
      <c r="B177" s="1275"/>
      <c r="C177" s="304"/>
      <c r="D177" s="308"/>
      <c r="E177" s="80"/>
      <c r="F177" s="306"/>
      <c r="G177" s="60"/>
      <c r="H177" s="60"/>
      <c r="I177" s="60"/>
    </row>
    <row r="178" spans="1:9">
      <c r="A178" s="316" t="s">
        <v>2262</v>
      </c>
      <c r="B178" s="1288" t="s">
        <v>2043</v>
      </c>
      <c r="C178" s="1290" t="s">
        <v>2263</v>
      </c>
      <c r="D178" s="80"/>
      <c r="E178" s="80"/>
      <c r="F178" s="310"/>
      <c r="G178" s="60"/>
      <c r="H178" s="60"/>
      <c r="I178" s="60"/>
    </row>
    <row r="179" spans="1:9">
      <c r="A179" s="317" t="s">
        <v>2264</v>
      </c>
      <c r="B179" s="1289"/>
      <c r="C179" s="1291"/>
      <c r="D179" s="80"/>
      <c r="E179" s="80"/>
      <c r="F179" s="310"/>
      <c r="G179" s="60"/>
      <c r="H179" s="60"/>
      <c r="I179" s="60"/>
    </row>
    <row r="180" spans="1:9" ht="27">
      <c r="A180" s="318" t="s">
        <v>2265</v>
      </c>
      <c r="B180" s="1269" t="s">
        <v>2043</v>
      </c>
      <c r="C180" s="319" t="s">
        <v>2266</v>
      </c>
      <c r="D180" s="80"/>
      <c r="E180" s="80"/>
      <c r="F180" s="310"/>
      <c r="G180" s="60"/>
      <c r="H180" s="60"/>
      <c r="I180" s="60"/>
    </row>
    <row r="181" spans="1:9" ht="27">
      <c r="A181" s="318" t="s">
        <v>2267</v>
      </c>
      <c r="B181" s="1270"/>
      <c r="C181" s="320" t="s">
        <v>2268</v>
      </c>
      <c r="D181" s="80"/>
      <c r="E181" s="80"/>
      <c r="F181" s="310"/>
      <c r="G181" s="60"/>
      <c r="H181" s="60"/>
      <c r="I181" s="60"/>
    </row>
    <row r="182" spans="1:9">
      <c r="A182" s="321" t="s">
        <v>2269</v>
      </c>
      <c r="B182" s="1271" t="s">
        <v>2043</v>
      </c>
      <c r="C182" s="322" t="s">
        <v>2270</v>
      </c>
      <c r="D182" s="323"/>
      <c r="E182" s="323"/>
      <c r="F182" s="324"/>
      <c r="G182" s="135"/>
      <c r="H182" s="135"/>
      <c r="I182" s="135"/>
    </row>
    <row r="183" spans="1:9" ht="40.5">
      <c r="A183" s="325" t="s">
        <v>2271</v>
      </c>
      <c r="B183" s="1271"/>
      <c r="C183" s="322" t="s">
        <v>2272</v>
      </c>
      <c r="D183" s="323"/>
      <c r="E183" s="323"/>
      <c r="F183" s="324"/>
      <c r="G183" s="135"/>
      <c r="H183" s="135"/>
      <c r="I183" s="135"/>
    </row>
    <row r="184" spans="1:9" ht="40.5">
      <c r="A184" s="325" t="s">
        <v>2273</v>
      </c>
      <c r="B184" s="1271"/>
      <c r="C184" s="322" t="s">
        <v>2274</v>
      </c>
      <c r="D184" s="323"/>
      <c r="E184" s="323"/>
      <c r="F184" s="324"/>
      <c r="G184" s="135"/>
      <c r="H184" s="135"/>
      <c r="I184" s="135"/>
    </row>
    <row r="185" spans="1:9">
      <c r="A185" s="325" t="s">
        <v>2275</v>
      </c>
      <c r="B185" s="1271"/>
      <c r="C185" s="322" t="s">
        <v>2276</v>
      </c>
      <c r="D185" s="323"/>
      <c r="E185" s="323"/>
      <c r="F185" s="324"/>
      <c r="G185" s="135"/>
      <c r="H185" s="135"/>
      <c r="I185" s="135"/>
    </row>
    <row r="186" spans="1:9">
      <c r="A186" s="325" t="s">
        <v>2277</v>
      </c>
      <c r="B186" s="1271"/>
      <c r="C186" s="322" t="s">
        <v>2278</v>
      </c>
      <c r="D186" s="323"/>
      <c r="E186" s="323"/>
      <c r="F186" s="324"/>
      <c r="G186" s="135"/>
      <c r="H186" s="135"/>
      <c r="I186" s="135"/>
    </row>
    <row r="187" spans="1:9" ht="27">
      <c r="A187" s="325" t="s">
        <v>2279</v>
      </c>
      <c r="B187" s="1271"/>
      <c r="C187" s="322" t="s">
        <v>2280</v>
      </c>
      <c r="D187" s="323"/>
      <c r="E187" s="323"/>
      <c r="F187" s="324"/>
      <c r="G187" s="135"/>
      <c r="H187" s="135"/>
      <c r="I187" s="135"/>
    </row>
    <row r="188" spans="1:9" ht="27">
      <c r="A188" s="326" t="s">
        <v>2281</v>
      </c>
      <c r="B188" s="1272"/>
      <c r="C188" s="327" t="s">
        <v>2282</v>
      </c>
      <c r="D188" s="323"/>
      <c r="E188" s="323"/>
      <c r="F188" s="324"/>
      <c r="G188" s="135"/>
      <c r="H188" s="135"/>
      <c r="I188" s="135"/>
    </row>
    <row r="189" spans="1:9">
      <c r="A189" s="328" t="s">
        <v>2283</v>
      </c>
      <c r="B189" s="1273" t="s">
        <v>2043</v>
      </c>
      <c r="C189" s="329" t="s">
        <v>2284</v>
      </c>
      <c r="D189" s="80"/>
      <c r="E189" s="80"/>
      <c r="F189" s="310"/>
      <c r="G189" s="60"/>
      <c r="H189" s="60"/>
      <c r="I189" s="60"/>
    </row>
    <row r="190" spans="1:9">
      <c r="A190" s="330" t="s">
        <v>2285</v>
      </c>
      <c r="B190" s="1274"/>
      <c r="C190" s="331" t="s">
        <v>2286</v>
      </c>
      <c r="D190" s="80"/>
      <c r="E190" s="80"/>
      <c r="F190" s="310"/>
      <c r="G190" s="60"/>
      <c r="H190" s="60"/>
      <c r="I190" s="60"/>
    </row>
    <row r="191" spans="1:9">
      <c r="A191" s="318" t="s">
        <v>2287</v>
      </c>
      <c r="B191" s="1274"/>
      <c r="C191" s="331" t="s">
        <v>2288</v>
      </c>
      <c r="D191" s="80"/>
      <c r="E191" s="80"/>
      <c r="F191" s="310"/>
      <c r="G191" s="60"/>
      <c r="H191" s="60"/>
      <c r="I191" s="60"/>
    </row>
    <row r="192" spans="1:9">
      <c r="A192" s="318" t="s">
        <v>2289</v>
      </c>
      <c r="B192" s="1274"/>
      <c r="C192" s="331" t="s">
        <v>2290</v>
      </c>
      <c r="D192" s="80"/>
      <c r="E192" s="80"/>
      <c r="F192" s="310"/>
      <c r="G192" s="60"/>
      <c r="H192" s="60"/>
      <c r="I192" s="60"/>
    </row>
    <row r="193" spans="1:9">
      <c r="A193" s="318" t="s">
        <v>2291</v>
      </c>
      <c r="B193" s="1274"/>
      <c r="C193" s="331" t="s">
        <v>2292</v>
      </c>
      <c r="D193" s="80"/>
      <c r="E193" s="80"/>
      <c r="F193" s="310"/>
      <c r="G193" s="60"/>
      <c r="H193" s="60"/>
      <c r="I193" s="60"/>
    </row>
    <row r="194" spans="1:9">
      <c r="A194" s="318" t="s">
        <v>2293</v>
      </c>
      <c r="B194" s="1274"/>
      <c r="C194" s="331" t="s">
        <v>2294</v>
      </c>
      <c r="D194" s="80"/>
      <c r="E194" s="80"/>
      <c r="F194" s="310"/>
      <c r="G194" s="60"/>
      <c r="H194" s="60"/>
      <c r="I194" s="60"/>
    </row>
    <row r="195" spans="1:9">
      <c r="A195" s="318" t="s">
        <v>2295</v>
      </c>
      <c r="B195" s="1274"/>
      <c r="C195" s="332"/>
      <c r="D195" s="80"/>
      <c r="E195" s="80"/>
      <c r="F195" s="310"/>
      <c r="G195" s="60"/>
      <c r="H195" s="60"/>
      <c r="I195" s="60"/>
    </row>
    <row r="196" spans="1:9">
      <c r="A196" s="318" t="s">
        <v>2296</v>
      </c>
      <c r="B196" s="1274"/>
      <c r="C196" s="333"/>
      <c r="D196" s="80"/>
      <c r="E196" s="80"/>
      <c r="F196" s="310"/>
      <c r="G196" s="60"/>
      <c r="H196" s="60"/>
      <c r="I196" s="60"/>
    </row>
    <row r="197" spans="1:9">
      <c r="A197" s="330" t="s">
        <v>2297</v>
      </c>
      <c r="B197" s="1274"/>
      <c r="C197" s="333"/>
      <c r="D197" s="80"/>
      <c r="E197" s="80"/>
      <c r="F197" s="310"/>
      <c r="G197" s="60"/>
      <c r="H197" s="60"/>
      <c r="I197" s="60"/>
    </row>
    <row r="198" spans="1:9">
      <c r="A198" s="334" t="s">
        <v>2298</v>
      </c>
      <c r="B198" s="1274"/>
      <c r="C198" s="333"/>
      <c r="D198" s="80"/>
      <c r="E198" s="80"/>
      <c r="F198" s="310"/>
      <c r="G198" s="60"/>
      <c r="H198" s="60"/>
      <c r="I198" s="60"/>
    </row>
    <row r="199" spans="1:9">
      <c r="A199" s="335" t="s">
        <v>2299</v>
      </c>
      <c r="B199" s="1275"/>
      <c r="C199" s="333"/>
      <c r="D199" s="80"/>
      <c r="E199" s="80"/>
      <c r="F199" s="310"/>
      <c r="G199" s="60"/>
      <c r="H199" s="60"/>
      <c r="I199" s="60"/>
    </row>
    <row r="200" spans="1:9">
      <c r="A200" s="328" t="s">
        <v>2300</v>
      </c>
      <c r="B200" s="1269" t="s">
        <v>2301</v>
      </c>
      <c r="C200" s="319" t="s">
        <v>2302</v>
      </c>
      <c r="D200" s="80"/>
      <c r="E200" s="80"/>
      <c r="F200" s="310"/>
      <c r="G200" s="60"/>
      <c r="H200" s="60"/>
      <c r="I200" s="60"/>
    </row>
    <row r="201" spans="1:9">
      <c r="A201" s="336" t="s">
        <v>2303</v>
      </c>
      <c r="B201" s="1270"/>
      <c r="C201" s="337" t="s">
        <v>2304</v>
      </c>
      <c r="D201" s="80"/>
      <c r="E201" s="80"/>
      <c r="F201" s="310"/>
      <c r="G201" s="60"/>
      <c r="H201" s="60"/>
      <c r="I201" s="60"/>
    </row>
    <row r="202" spans="1:9">
      <c r="A202" s="80"/>
      <c r="B202" s="80"/>
      <c r="C202" s="310"/>
      <c r="D202" s="80"/>
      <c r="E202" s="80"/>
      <c r="F202" s="310"/>
      <c r="G202" s="60"/>
      <c r="H202" s="60"/>
      <c r="I202" s="60"/>
    </row>
    <row r="203" spans="1:9">
      <c r="A203" s="338" t="s">
        <v>2305</v>
      </c>
      <c r="B203" s="339">
        <v>24</v>
      </c>
      <c r="C203" s="306" t="s">
        <v>2306</v>
      </c>
      <c r="D203" s="80" t="s">
        <v>2307</v>
      </c>
      <c r="E203" s="80"/>
      <c r="F203" s="310"/>
      <c r="G203" s="60"/>
      <c r="H203" s="60"/>
      <c r="I203" s="60"/>
    </row>
    <row r="204" spans="1:9">
      <c r="A204" s="338" t="s">
        <v>1876</v>
      </c>
      <c r="B204" s="339">
        <v>43</v>
      </c>
      <c r="C204" s="306"/>
      <c r="D204" s="80" t="s">
        <v>2308</v>
      </c>
      <c r="E204" s="80"/>
      <c r="F204" s="310"/>
      <c r="G204" s="60"/>
      <c r="H204" s="60"/>
      <c r="I204" s="60"/>
    </row>
    <row r="205" spans="1:9">
      <c r="A205" s="340" t="s">
        <v>1658</v>
      </c>
      <c r="B205" s="341">
        <f>SUM(B203:B204)</f>
        <v>67</v>
      </c>
      <c r="C205" s="306"/>
      <c r="D205" s="80" t="s">
        <v>2309</v>
      </c>
      <c r="E205" s="80"/>
      <c r="F205" s="310"/>
      <c r="G205" s="60"/>
      <c r="H205" s="60"/>
      <c r="I205" s="60"/>
    </row>
    <row r="206" spans="1:9">
      <c r="A206" s="80"/>
      <c r="B206" s="80"/>
      <c r="C206" s="310"/>
      <c r="D206" s="80" t="s">
        <v>2310</v>
      </c>
      <c r="E206" s="80"/>
      <c r="F206" s="310"/>
      <c r="G206" s="60"/>
      <c r="H206" s="60"/>
      <c r="I206" s="60"/>
    </row>
    <row r="207" spans="1:9">
      <c r="A207" s="342" t="s">
        <v>1669</v>
      </c>
      <c r="B207" s="80"/>
      <c r="C207" s="310"/>
      <c r="D207" s="80" t="s">
        <v>2311</v>
      </c>
      <c r="E207" s="80" t="s">
        <v>2311</v>
      </c>
      <c r="F207" s="310"/>
      <c r="G207" s="60"/>
      <c r="H207" s="60"/>
      <c r="I207" s="60"/>
    </row>
    <row r="208" spans="1:9">
      <c r="A208" s="308" t="s">
        <v>1674</v>
      </c>
      <c r="B208" s="308" t="s">
        <v>1873</v>
      </c>
      <c r="C208" s="310"/>
      <c r="D208" s="80" t="s">
        <v>2312</v>
      </c>
      <c r="E208" s="80"/>
      <c r="F208" s="310"/>
      <c r="G208" s="60"/>
      <c r="H208" s="60"/>
      <c r="I208" s="60"/>
    </row>
    <row r="209" spans="1:9">
      <c r="A209" s="308" t="s">
        <v>1688</v>
      </c>
      <c r="B209" s="308" t="s">
        <v>1873</v>
      </c>
      <c r="C209" s="310"/>
      <c r="D209" s="80" t="s">
        <v>2313</v>
      </c>
      <c r="E209" s="80"/>
      <c r="F209" s="310"/>
      <c r="G209" s="60"/>
      <c r="H209" s="60"/>
      <c r="I209" s="60"/>
    </row>
    <row r="210" spans="1:9">
      <c r="A210" s="308" t="s">
        <v>1696</v>
      </c>
      <c r="B210" s="308" t="s">
        <v>1873</v>
      </c>
      <c r="C210" s="310"/>
      <c r="D210" s="80"/>
      <c r="E210" s="80"/>
      <c r="F210" s="310"/>
      <c r="G210" s="60"/>
      <c r="H210" s="60"/>
      <c r="I210" s="60"/>
    </row>
    <row r="211" spans="1:9">
      <c r="A211" s="308" t="s">
        <v>1701</v>
      </c>
      <c r="B211" s="308" t="s">
        <v>1873</v>
      </c>
      <c r="C211" s="310"/>
      <c r="D211" s="80"/>
      <c r="E211" s="80"/>
      <c r="F211" s="310"/>
      <c r="G211" s="60"/>
      <c r="H211" s="60"/>
      <c r="I211" s="60"/>
    </row>
    <row r="212" spans="1:9">
      <c r="A212" s="308" t="s">
        <v>1705</v>
      </c>
      <c r="B212" s="308" t="s">
        <v>1876</v>
      </c>
      <c r="C212" s="310"/>
      <c r="D212" s="80"/>
      <c r="E212" s="80"/>
      <c r="F212" s="310"/>
      <c r="G212" s="60"/>
      <c r="H212" s="60"/>
      <c r="I212" s="60"/>
    </row>
    <row r="213" spans="1:9">
      <c r="A213" s="308" t="s">
        <v>1707</v>
      </c>
      <c r="B213" s="308" t="s">
        <v>1876</v>
      </c>
      <c r="C213" s="310"/>
      <c r="D213" s="80"/>
      <c r="E213" s="80"/>
      <c r="F213" s="310"/>
      <c r="G213" s="60"/>
      <c r="H213" s="60"/>
      <c r="I213" s="60"/>
    </row>
    <row r="214" spans="1:9">
      <c r="A214" s="308" t="s">
        <v>1709</v>
      </c>
      <c r="B214" s="308" t="s">
        <v>1876</v>
      </c>
      <c r="C214" s="310"/>
      <c r="D214" s="80"/>
      <c r="E214" s="80"/>
      <c r="F214" s="310"/>
      <c r="G214" s="60"/>
      <c r="H214" s="60"/>
      <c r="I214" s="60"/>
    </row>
    <row r="215" spans="1:9">
      <c r="A215" s="308" t="s">
        <v>1711</v>
      </c>
      <c r="B215" s="308" t="s">
        <v>1876</v>
      </c>
      <c r="C215" s="310"/>
      <c r="D215" s="80"/>
      <c r="E215" s="80"/>
      <c r="F215" s="310"/>
      <c r="G215" s="60"/>
      <c r="H215" s="60"/>
      <c r="I215" s="60"/>
    </row>
    <row r="216" spans="1:9">
      <c r="A216" s="308" t="s">
        <v>1712</v>
      </c>
      <c r="B216" s="308" t="s">
        <v>1876</v>
      </c>
      <c r="C216" s="310"/>
      <c r="D216" s="80"/>
      <c r="E216" s="80"/>
      <c r="F216" s="310"/>
      <c r="G216" s="60"/>
      <c r="H216" s="60"/>
      <c r="I216" s="60"/>
    </row>
    <row r="217" spans="1:9">
      <c r="A217" s="308" t="s">
        <v>1714</v>
      </c>
      <c r="B217" s="308" t="s">
        <v>1876</v>
      </c>
      <c r="C217" s="310"/>
      <c r="D217" s="80"/>
      <c r="E217" s="80"/>
      <c r="F217" s="310"/>
      <c r="G217" s="60"/>
      <c r="H217" s="60"/>
      <c r="I217" s="60"/>
    </row>
    <row r="218" spans="1:9">
      <c r="A218" s="342" t="s">
        <v>1716</v>
      </c>
      <c r="B218" s="80"/>
      <c r="C218" s="310"/>
      <c r="D218" s="80"/>
      <c r="E218" s="80"/>
      <c r="F218" s="310"/>
      <c r="G218" s="60"/>
      <c r="H218" s="60"/>
      <c r="I218" s="60"/>
    </row>
    <row r="219" spans="1:9">
      <c r="A219" s="80"/>
      <c r="B219" s="80"/>
      <c r="C219" s="310"/>
      <c r="D219" s="80"/>
      <c r="E219" s="80"/>
      <c r="F219" s="310"/>
      <c r="G219" s="60"/>
      <c r="H219" s="60"/>
      <c r="I219" s="60"/>
    </row>
  </sheetData>
  <mergeCells count="11">
    <mergeCell ref="D45:D49"/>
    <mergeCell ref="E45:E49"/>
    <mergeCell ref="F45:F49"/>
    <mergeCell ref="B50:B177"/>
    <mergeCell ref="B178:B179"/>
    <mergeCell ref="C178:C179"/>
    <mergeCell ref="B180:B181"/>
    <mergeCell ref="B182:B188"/>
    <mergeCell ref="B189:B199"/>
    <mergeCell ref="B200:B201"/>
    <mergeCell ref="B45:B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817D-0D70-4170-B98D-3E3B450BC9CA}">
  <dimension ref="A1:H286"/>
  <sheetViews>
    <sheetView workbookViewId="0">
      <pane ySplit="2" topLeftCell="A58" activePane="bottomLeft" state="frozen"/>
      <selection pane="bottomLeft" activeCell="A65" sqref="A65"/>
    </sheetView>
  </sheetViews>
  <sheetFormatPr defaultRowHeight="15"/>
  <cols>
    <col min="1" max="1" width="76.5703125" style="4" customWidth="1"/>
    <col min="2" max="2" width="25" style="4" customWidth="1"/>
    <col min="3" max="3" width="37.7109375" style="4" customWidth="1"/>
    <col min="4" max="4" width="23.140625" style="4" customWidth="1"/>
    <col min="5" max="5" width="61" style="4" customWidth="1"/>
    <col min="6" max="6" width="60.7109375" style="4" customWidth="1"/>
    <col min="7" max="7" width="57.5703125" style="4" customWidth="1"/>
    <col min="8" max="8" width="72.7109375" style="4" customWidth="1"/>
  </cols>
  <sheetData>
    <row r="1" spans="1:8">
      <c r="A1" s="1325" t="s">
        <v>1560</v>
      </c>
      <c r="B1" s="1326" t="s">
        <v>2314</v>
      </c>
      <c r="C1" s="1326" t="s">
        <v>2315</v>
      </c>
      <c r="D1" s="1326" t="s">
        <v>2316</v>
      </c>
      <c r="E1" s="1325" t="s">
        <v>2317</v>
      </c>
      <c r="F1" s="1325"/>
      <c r="G1" s="1325"/>
      <c r="H1" s="1325" t="s">
        <v>1875</v>
      </c>
    </row>
    <row r="2" spans="1:8">
      <c r="A2" s="1325"/>
      <c r="B2" s="1326"/>
      <c r="C2" s="1326"/>
      <c r="D2" s="1326"/>
      <c r="E2" s="1047" t="s">
        <v>18</v>
      </c>
      <c r="F2" s="1047" t="s">
        <v>1560</v>
      </c>
      <c r="G2" s="1047" t="s">
        <v>2318</v>
      </c>
      <c r="H2" s="1325"/>
    </row>
    <row r="3" spans="1:8" ht="79.5" customHeight="1">
      <c r="A3" s="1048" t="s">
        <v>2319</v>
      </c>
      <c r="B3" s="1048" t="s">
        <v>2320</v>
      </c>
      <c r="C3" s="1327" t="s">
        <v>2321</v>
      </c>
      <c r="D3" s="1328" t="s">
        <v>2322</v>
      </c>
      <c r="E3" s="1311" t="s">
        <v>2323</v>
      </c>
      <c r="F3" s="1312" t="s">
        <v>2324</v>
      </c>
      <c r="G3" s="1331" t="s">
        <v>2325</v>
      </c>
      <c r="H3" s="1311" t="s">
        <v>2326</v>
      </c>
    </row>
    <row r="4" spans="1:8">
      <c r="A4" s="1050" t="s">
        <v>2327</v>
      </c>
      <c r="B4" s="1049" t="s">
        <v>2328</v>
      </c>
      <c r="C4" s="1327"/>
      <c r="D4" s="1328"/>
      <c r="E4" s="1330"/>
      <c r="F4" s="1330"/>
      <c r="G4" s="1332"/>
      <c r="H4" s="1311"/>
    </row>
    <row r="5" spans="1:8" ht="76.5" customHeight="1">
      <c r="A5" s="1048" t="s">
        <v>2329</v>
      </c>
      <c r="B5" s="1048" t="s">
        <v>2037</v>
      </c>
      <c r="C5" s="1327" t="s">
        <v>2330</v>
      </c>
      <c r="D5" s="1328" t="s">
        <v>2331</v>
      </c>
      <c r="E5" s="1296" t="s">
        <v>2332</v>
      </c>
      <c r="F5" s="1312" t="s">
        <v>2333</v>
      </c>
      <c r="G5" s="1311" t="s">
        <v>2334</v>
      </c>
      <c r="H5" s="1329"/>
    </row>
    <row r="6" spans="1:8">
      <c r="A6" s="1051" t="s">
        <v>2335</v>
      </c>
      <c r="B6" s="1046" t="s">
        <v>2336</v>
      </c>
      <c r="C6" s="1327"/>
      <c r="D6" s="1328"/>
      <c r="E6" s="1317"/>
      <c r="F6" s="1312"/>
      <c r="G6" s="1312"/>
      <c r="H6" s="1329"/>
    </row>
    <row r="7" spans="1:8" ht="75.75" customHeight="1">
      <c r="A7" s="1048" t="s">
        <v>2337</v>
      </c>
      <c r="B7" s="1048" t="s">
        <v>2338</v>
      </c>
      <c r="C7" s="1061" t="s">
        <v>2339</v>
      </c>
      <c r="D7" s="1328" t="s">
        <v>2340</v>
      </c>
      <c r="E7" s="1311" t="s">
        <v>2341</v>
      </c>
      <c r="F7" s="1312" t="s">
        <v>2342</v>
      </c>
      <c r="G7" s="1311" t="s">
        <v>2343</v>
      </c>
      <c r="H7" s="1334" t="s">
        <v>2344</v>
      </c>
    </row>
    <row r="8" spans="1:8" ht="27">
      <c r="A8" s="1051" t="s">
        <v>2345</v>
      </c>
      <c r="B8" s="1046" t="s">
        <v>2346</v>
      </c>
      <c r="C8" s="1106" t="s">
        <v>2347</v>
      </c>
      <c r="D8" s="1328"/>
      <c r="E8" s="1312"/>
      <c r="F8" s="1312"/>
      <c r="G8" s="1312"/>
      <c r="H8" s="1334"/>
    </row>
    <row r="9" spans="1:8" ht="84" customHeight="1">
      <c r="A9" s="1048" t="s">
        <v>2348</v>
      </c>
      <c r="B9" s="1048" t="s">
        <v>2349</v>
      </c>
      <c r="C9" s="1327" t="s">
        <v>2350</v>
      </c>
      <c r="D9" s="1328" t="s">
        <v>2351</v>
      </c>
      <c r="E9" s="1296" t="s">
        <v>2352</v>
      </c>
      <c r="F9" s="1333" t="s">
        <v>2353</v>
      </c>
      <c r="G9" s="1311" t="s">
        <v>2354</v>
      </c>
      <c r="H9" s="1329"/>
    </row>
    <row r="10" spans="1:8">
      <c r="A10" s="1051" t="s">
        <v>2355</v>
      </c>
      <c r="B10" s="1046" t="s">
        <v>2328</v>
      </c>
      <c r="C10" s="1327"/>
      <c r="D10" s="1328"/>
      <c r="E10" s="1322"/>
      <c r="F10" s="1333"/>
      <c r="G10" s="1312"/>
      <c r="H10" s="1329"/>
    </row>
    <row r="11" spans="1:8" ht="61.5" customHeight="1">
      <c r="A11" s="1052" t="s">
        <v>2356</v>
      </c>
      <c r="B11" s="1048" t="s">
        <v>2357</v>
      </c>
      <c r="C11" s="1327" t="s">
        <v>2350</v>
      </c>
      <c r="D11" s="1328" t="s">
        <v>2351</v>
      </c>
      <c r="E11" s="1296" t="s">
        <v>2352</v>
      </c>
      <c r="F11" s="1312" t="s">
        <v>2358</v>
      </c>
      <c r="G11" s="1311" t="s">
        <v>2359</v>
      </c>
      <c r="H11" s="1311" t="s">
        <v>2360</v>
      </c>
    </row>
    <row r="12" spans="1:8">
      <c r="A12" s="1053" t="s">
        <v>2355</v>
      </c>
      <c r="B12" s="1046" t="s">
        <v>2328</v>
      </c>
      <c r="C12" s="1327"/>
      <c r="D12" s="1328"/>
      <c r="E12" s="1322"/>
      <c r="F12" s="1312"/>
      <c r="G12" s="1312"/>
      <c r="H12" s="1311"/>
    </row>
    <row r="13" spans="1:8" ht="60.75" customHeight="1">
      <c r="A13" s="1048" t="s">
        <v>2361</v>
      </c>
      <c r="B13" s="1052" t="s">
        <v>2362</v>
      </c>
      <c r="C13" s="1335" t="s">
        <v>2363</v>
      </c>
      <c r="D13" s="1336" t="s">
        <v>2364</v>
      </c>
      <c r="E13" s="1311" t="s">
        <v>2365</v>
      </c>
      <c r="F13" s="1312" t="s">
        <v>2366</v>
      </c>
      <c r="G13" s="1311" t="s">
        <v>2367</v>
      </c>
      <c r="H13" s="1311" t="s">
        <v>2368</v>
      </c>
    </row>
    <row r="14" spans="1:8" ht="24.75">
      <c r="A14" s="1050" t="s">
        <v>2345</v>
      </c>
      <c r="B14" s="1054" t="s">
        <v>2369</v>
      </c>
      <c r="C14" s="1335"/>
      <c r="D14" s="1336"/>
      <c r="E14" s="1312"/>
      <c r="F14" s="1312"/>
      <c r="G14" s="1312"/>
      <c r="H14" s="1311"/>
    </row>
    <row r="15" spans="1:8" ht="72" customHeight="1">
      <c r="A15" s="1048" t="s">
        <v>2370</v>
      </c>
      <c r="B15" s="1048" t="s">
        <v>2371</v>
      </c>
      <c r="C15" s="1061" t="s">
        <v>2372</v>
      </c>
      <c r="D15" s="1328" t="s">
        <v>2340</v>
      </c>
      <c r="E15" s="1311" t="s">
        <v>2373</v>
      </c>
      <c r="F15" s="1312" t="s">
        <v>2374</v>
      </c>
      <c r="G15" s="1311" t="s">
        <v>2375</v>
      </c>
      <c r="H15" s="1311" t="s">
        <v>2376</v>
      </c>
    </row>
    <row r="16" spans="1:8" ht="27">
      <c r="A16" s="1051" t="s">
        <v>2345</v>
      </c>
      <c r="B16" s="1046" t="s">
        <v>2377</v>
      </c>
      <c r="C16" s="1106" t="s">
        <v>2347</v>
      </c>
      <c r="D16" s="1328"/>
      <c r="E16" s="1312"/>
      <c r="F16" s="1312"/>
      <c r="G16" s="1312"/>
      <c r="H16" s="1311"/>
    </row>
    <row r="17" spans="1:8" ht="64.5" customHeight="1">
      <c r="A17" s="1048" t="s">
        <v>2378</v>
      </c>
      <c r="B17" s="1048" t="s">
        <v>2379</v>
      </c>
      <c r="C17" s="1327" t="s">
        <v>2380</v>
      </c>
      <c r="D17" s="1328" t="s">
        <v>2381</v>
      </c>
      <c r="E17" s="1311" t="s">
        <v>2382</v>
      </c>
      <c r="F17" s="1312" t="s">
        <v>2383</v>
      </c>
      <c r="G17" s="1311" t="s">
        <v>2384</v>
      </c>
      <c r="H17" s="1337" t="s">
        <v>2385</v>
      </c>
    </row>
    <row r="18" spans="1:8" ht="24.75">
      <c r="A18" s="1051" t="s">
        <v>2345</v>
      </c>
      <c r="B18" s="1046" t="s">
        <v>2386</v>
      </c>
      <c r="C18" s="1327"/>
      <c r="D18" s="1328"/>
      <c r="E18" s="1312"/>
      <c r="F18" s="1312"/>
      <c r="G18" s="1312"/>
      <c r="H18" s="1337"/>
    </row>
    <row r="19" spans="1:8" ht="75.75" customHeight="1">
      <c r="A19" s="1048" t="s">
        <v>2387</v>
      </c>
      <c r="B19" s="1048" t="s">
        <v>2388</v>
      </c>
      <c r="C19" s="1327" t="s">
        <v>2389</v>
      </c>
      <c r="D19" s="1328" t="s">
        <v>2390</v>
      </c>
      <c r="E19" s="1311" t="s">
        <v>2391</v>
      </c>
      <c r="F19" s="1312" t="s">
        <v>2392</v>
      </c>
      <c r="G19" s="1311" t="s">
        <v>2393</v>
      </c>
      <c r="H19" s="1311" t="s">
        <v>2394</v>
      </c>
    </row>
    <row r="20" spans="1:8">
      <c r="A20" s="1051" t="s">
        <v>2327</v>
      </c>
      <c r="B20" s="1046" t="s">
        <v>2395</v>
      </c>
      <c r="C20" s="1327"/>
      <c r="D20" s="1328"/>
      <c r="E20" s="1312"/>
      <c r="F20" s="1312"/>
      <c r="G20" s="1312"/>
      <c r="H20" s="1311"/>
    </row>
    <row r="21" spans="1:8" ht="57.75" customHeight="1">
      <c r="A21" s="1055" t="s">
        <v>2396</v>
      </c>
      <c r="B21" s="1055" t="s">
        <v>2397</v>
      </c>
      <c r="C21" s="1338" t="s">
        <v>2398</v>
      </c>
      <c r="D21" s="1339" t="s">
        <v>2351</v>
      </c>
      <c r="E21" s="1296" t="s">
        <v>2352</v>
      </c>
      <c r="F21" s="1312" t="s">
        <v>2399</v>
      </c>
      <c r="G21" s="1311" t="s">
        <v>2375</v>
      </c>
      <c r="H21" s="1340" t="s">
        <v>2400</v>
      </c>
    </row>
    <row r="22" spans="1:8">
      <c r="A22" s="1056" t="s">
        <v>2401</v>
      </c>
      <c r="B22" s="1057" t="s">
        <v>2402</v>
      </c>
      <c r="C22" s="1338"/>
      <c r="D22" s="1339"/>
      <c r="E22" s="1322"/>
      <c r="F22" s="1312"/>
      <c r="G22" s="1312"/>
      <c r="H22" s="1340"/>
    </row>
    <row r="23" spans="1:8" ht="75" customHeight="1">
      <c r="A23" s="1048" t="s">
        <v>2403</v>
      </c>
      <c r="B23" s="1048" t="s">
        <v>2404</v>
      </c>
      <c r="C23" s="1327" t="s">
        <v>2405</v>
      </c>
      <c r="D23" s="1328" t="s">
        <v>2406</v>
      </c>
      <c r="E23" s="1311" t="s">
        <v>2407</v>
      </c>
      <c r="F23" s="1312" t="s">
        <v>2408</v>
      </c>
      <c r="G23" s="1311" t="s">
        <v>2409</v>
      </c>
      <c r="H23" s="1311"/>
    </row>
    <row r="24" spans="1:8">
      <c r="A24" s="1051" t="s">
        <v>2327</v>
      </c>
      <c r="B24" s="1046" t="s">
        <v>2410</v>
      </c>
      <c r="C24" s="1327"/>
      <c r="D24" s="1328"/>
      <c r="E24" s="1312"/>
      <c r="F24" s="1312"/>
      <c r="G24" s="1312"/>
      <c r="H24" s="1311"/>
    </row>
    <row r="25" spans="1:8" ht="76.5" customHeight="1">
      <c r="A25" s="1048" t="s">
        <v>2411</v>
      </c>
      <c r="B25" s="1052" t="s">
        <v>2412</v>
      </c>
      <c r="C25" s="1335" t="s">
        <v>2413</v>
      </c>
      <c r="D25" s="1336" t="s">
        <v>2414</v>
      </c>
      <c r="E25" s="1311" t="s">
        <v>2415</v>
      </c>
      <c r="F25" s="1312" t="s">
        <v>2416</v>
      </c>
      <c r="G25" s="1311" t="s">
        <v>2417</v>
      </c>
      <c r="H25" s="1341" t="s">
        <v>2418</v>
      </c>
    </row>
    <row r="26" spans="1:8" ht="18" customHeight="1">
      <c r="A26" s="1051" t="s">
        <v>2327</v>
      </c>
      <c r="B26" s="1054" t="s">
        <v>2419</v>
      </c>
      <c r="C26" s="1335"/>
      <c r="D26" s="1336"/>
      <c r="E26" s="1312"/>
      <c r="F26" s="1312"/>
      <c r="G26" s="1312"/>
      <c r="H26" s="1341"/>
    </row>
    <row r="27" spans="1:8" ht="75.75" customHeight="1">
      <c r="A27" s="1048" t="s">
        <v>2420</v>
      </c>
      <c r="B27" s="1052" t="s">
        <v>2421</v>
      </c>
      <c r="C27" s="1335"/>
      <c r="D27" s="1336" t="s">
        <v>2422</v>
      </c>
      <c r="E27" s="1311" t="s">
        <v>2423</v>
      </c>
      <c r="F27" s="1312" t="s">
        <v>2424</v>
      </c>
      <c r="G27" s="1311" t="s">
        <v>2425</v>
      </c>
      <c r="H27" s="1337" t="s">
        <v>2426</v>
      </c>
    </row>
    <row r="28" spans="1:8">
      <c r="A28" s="1051" t="s">
        <v>2327</v>
      </c>
      <c r="B28" s="1054" t="s">
        <v>2427</v>
      </c>
      <c r="C28" s="1335"/>
      <c r="D28" s="1336"/>
      <c r="E28" s="1312"/>
      <c r="F28" s="1312"/>
      <c r="G28" s="1312"/>
      <c r="H28" s="1337"/>
    </row>
    <row r="29" spans="1:8" ht="79.5" customHeight="1">
      <c r="A29" s="1048" t="s">
        <v>2428</v>
      </c>
      <c r="B29" s="1052" t="s">
        <v>2429</v>
      </c>
      <c r="C29" s="1335" t="s">
        <v>2430</v>
      </c>
      <c r="D29" s="1336" t="s">
        <v>2431</v>
      </c>
      <c r="E29" s="1311" t="s">
        <v>2432</v>
      </c>
      <c r="F29" s="1312" t="s">
        <v>2433</v>
      </c>
      <c r="G29" s="1311" t="s">
        <v>2434</v>
      </c>
      <c r="H29" s="1337" t="s">
        <v>2435</v>
      </c>
    </row>
    <row r="30" spans="1:8">
      <c r="A30" s="1051" t="s">
        <v>2436</v>
      </c>
      <c r="B30" s="1054" t="s">
        <v>2437</v>
      </c>
      <c r="C30" s="1335"/>
      <c r="D30" s="1336"/>
      <c r="E30" s="1312"/>
      <c r="F30" s="1312"/>
      <c r="G30" s="1312"/>
      <c r="H30" s="1337"/>
    </row>
    <row r="31" spans="1:8" ht="73.5" customHeight="1">
      <c r="A31" s="1048" t="s">
        <v>2438</v>
      </c>
      <c r="B31" s="1048" t="s">
        <v>2439</v>
      </c>
      <c r="C31" s="1327" t="s">
        <v>2440</v>
      </c>
      <c r="D31" s="1328" t="s">
        <v>2441</v>
      </c>
      <c r="E31" s="1311" t="s">
        <v>2442</v>
      </c>
      <c r="F31" s="1312" t="s">
        <v>2443</v>
      </c>
      <c r="G31" s="1311" t="s">
        <v>2444</v>
      </c>
      <c r="H31" s="1298" t="s">
        <v>2445</v>
      </c>
    </row>
    <row r="32" spans="1:8">
      <c r="A32" s="1051" t="s">
        <v>2335</v>
      </c>
      <c r="B32" s="1046" t="s">
        <v>2446</v>
      </c>
      <c r="C32" s="1327"/>
      <c r="D32" s="1328"/>
      <c r="E32" s="1312"/>
      <c r="F32" s="1312"/>
      <c r="G32" s="1312"/>
      <c r="H32" s="1299"/>
    </row>
    <row r="33" spans="1:8" ht="96" customHeight="1">
      <c r="A33" s="1048" t="s">
        <v>1935</v>
      </c>
      <c r="B33" s="1052" t="s">
        <v>2412</v>
      </c>
      <c r="C33" s="1335" t="s">
        <v>2447</v>
      </c>
      <c r="D33" s="1336" t="s">
        <v>2340</v>
      </c>
      <c r="E33" s="1311" t="s">
        <v>2448</v>
      </c>
      <c r="F33" s="1312" t="s">
        <v>2449</v>
      </c>
      <c r="G33" s="1311" t="s">
        <v>2450</v>
      </c>
      <c r="H33" s="1298" t="s">
        <v>2451</v>
      </c>
    </row>
    <row r="34" spans="1:8" ht="24.75">
      <c r="A34" s="1051" t="s">
        <v>2345</v>
      </c>
      <c r="B34" s="1054" t="s">
        <v>2402</v>
      </c>
      <c r="C34" s="1335"/>
      <c r="D34" s="1336"/>
      <c r="E34" s="1312"/>
      <c r="F34" s="1312"/>
      <c r="G34" s="1312"/>
      <c r="H34" s="1299"/>
    </row>
    <row r="35" spans="1:8" ht="115.5" customHeight="1">
      <c r="A35" s="1058" t="s">
        <v>2452</v>
      </c>
      <c r="B35" s="1048" t="s">
        <v>2453</v>
      </c>
      <c r="C35" s="1320" t="s">
        <v>2454</v>
      </c>
      <c r="D35" s="1309" t="s">
        <v>2331</v>
      </c>
      <c r="E35" s="1296" t="s">
        <v>2332</v>
      </c>
      <c r="F35" s="1318" t="s">
        <v>2455</v>
      </c>
      <c r="G35" s="1296" t="s">
        <v>2456</v>
      </c>
      <c r="H35" s="1296"/>
    </row>
    <row r="36" spans="1:8" ht="64.5" customHeight="1">
      <c r="A36" s="1059" t="s">
        <v>2335</v>
      </c>
      <c r="B36" s="1060" t="s">
        <v>2457</v>
      </c>
      <c r="C36" s="1321"/>
      <c r="D36" s="1310"/>
      <c r="E36" s="1317"/>
      <c r="F36" s="1317"/>
      <c r="G36" s="1317"/>
      <c r="H36" s="1304"/>
    </row>
    <row r="37" spans="1:8" ht="139.5" customHeight="1">
      <c r="A37" s="1061" t="s">
        <v>2458</v>
      </c>
      <c r="B37" s="1061" t="s">
        <v>2459</v>
      </c>
      <c r="C37" s="1307" t="s">
        <v>2380</v>
      </c>
      <c r="D37" s="1309" t="s">
        <v>2381</v>
      </c>
      <c r="E37" s="1296" t="s">
        <v>2460</v>
      </c>
      <c r="F37" s="1318" t="s">
        <v>2461</v>
      </c>
      <c r="G37" s="1311" t="s">
        <v>2462</v>
      </c>
      <c r="H37" s="1296" t="s">
        <v>2463</v>
      </c>
    </row>
    <row r="38" spans="1:8">
      <c r="A38" s="1063" t="s">
        <v>2464</v>
      </c>
      <c r="B38" s="1062" t="s">
        <v>2465</v>
      </c>
      <c r="C38" s="1308"/>
      <c r="D38" s="1310"/>
      <c r="E38" s="1322"/>
      <c r="F38" s="1322"/>
      <c r="G38" s="1312"/>
      <c r="H38" s="1304"/>
    </row>
    <row r="39" spans="1:8" ht="111" customHeight="1">
      <c r="A39" s="1064" t="s">
        <v>2466</v>
      </c>
      <c r="B39" s="1064" t="s">
        <v>1920</v>
      </c>
      <c r="C39" s="1320" t="s">
        <v>2467</v>
      </c>
      <c r="D39" s="1309" t="s">
        <v>2351</v>
      </c>
      <c r="E39" s="1296" t="s">
        <v>2352</v>
      </c>
      <c r="F39" s="1318" t="s">
        <v>2468</v>
      </c>
      <c r="G39" s="1296" t="s">
        <v>2469</v>
      </c>
      <c r="H39" s="1323"/>
    </row>
    <row r="40" spans="1:8">
      <c r="A40" s="1051" t="s">
        <v>2401</v>
      </c>
      <c r="B40" s="1046" t="s">
        <v>2346</v>
      </c>
      <c r="C40" s="1321"/>
      <c r="D40" s="1310"/>
      <c r="E40" s="1322"/>
      <c r="F40" s="1317"/>
      <c r="G40" s="1317"/>
      <c r="H40" s="1324"/>
    </row>
    <row r="41" spans="1:8" ht="105" customHeight="1">
      <c r="A41" s="1048" t="s">
        <v>1941</v>
      </c>
      <c r="B41" s="1052" t="s">
        <v>2470</v>
      </c>
      <c r="C41" s="1315" t="s">
        <v>2471</v>
      </c>
      <c r="D41" s="1294" t="s">
        <v>2472</v>
      </c>
      <c r="E41" s="1296" t="s">
        <v>2473</v>
      </c>
      <c r="F41" s="1318" t="s">
        <v>2474</v>
      </c>
      <c r="G41" s="1296" t="s">
        <v>2475</v>
      </c>
      <c r="H41" s="1298" t="s">
        <v>2476</v>
      </c>
    </row>
    <row r="42" spans="1:8">
      <c r="A42" s="1051" t="s">
        <v>2477</v>
      </c>
      <c r="B42" s="1054" t="s">
        <v>2478</v>
      </c>
      <c r="C42" s="1316"/>
      <c r="D42" s="1295"/>
      <c r="E42" s="1317"/>
      <c r="F42" s="1317"/>
      <c r="G42" s="1317"/>
      <c r="H42" s="1299"/>
    </row>
    <row r="43" spans="1:8" ht="111.75" customHeight="1">
      <c r="A43" s="1048" t="s">
        <v>2479</v>
      </c>
      <c r="B43" s="1052" t="s">
        <v>2480</v>
      </c>
      <c r="C43" s="1315" t="s">
        <v>2481</v>
      </c>
      <c r="D43" s="1294" t="s">
        <v>2482</v>
      </c>
      <c r="E43" s="1296" t="s">
        <v>2483</v>
      </c>
      <c r="F43" s="1318" t="s">
        <v>2484</v>
      </c>
      <c r="G43" s="1296" t="s">
        <v>2450</v>
      </c>
      <c r="H43" s="1298" t="s">
        <v>2485</v>
      </c>
    </row>
    <row r="44" spans="1:8">
      <c r="A44" s="1051" t="s">
        <v>2327</v>
      </c>
      <c r="B44" s="1054" t="s">
        <v>2437</v>
      </c>
      <c r="C44" s="1316"/>
      <c r="D44" s="1295"/>
      <c r="E44" s="1317"/>
      <c r="F44" s="1317"/>
      <c r="G44" s="1317"/>
      <c r="H44" s="1299"/>
    </row>
    <row r="45" spans="1:8" ht="93.75" customHeight="1">
      <c r="A45" s="1048" t="s">
        <v>2486</v>
      </c>
      <c r="B45" s="1052" t="s">
        <v>2487</v>
      </c>
      <c r="C45" s="1315" t="s">
        <v>2488</v>
      </c>
      <c r="D45" s="1294" t="s">
        <v>2489</v>
      </c>
      <c r="E45" s="1296" t="s">
        <v>2490</v>
      </c>
      <c r="F45" s="1318" t="s">
        <v>2491</v>
      </c>
      <c r="G45" s="1296" t="s">
        <v>2492</v>
      </c>
      <c r="H45" s="1313" t="s">
        <v>2493</v>
      </c>
    </row>
    <row r="46" spans="1:8">
      <c r="A46" s="1051" t="s">
        <v>2335</v>
      </c>
      <c r="B46" s="1054" t="s">
        <v>2494</v>
      </c>
      <c r="C46" s="1316"/>
      <c r="D46" s="1295"/>
      <c r="E46" s="1317"/>
      <c r="F46" s="1317"/>
      <c r="G46" s="1317"/>
      <c r="H46" s="1314"/>
    </row>
    <row r="47" spans="1:8" ht="105.75" customHeight="1">
      <c r="A47" s="1048" t="s">
        <v>1957</v>
      </c>
      <c r="B47" s="1052" t="s">
        <v>2495</v>
      </c>
      <c r="C47" s="1315"/>
      <c r="D47" s="1294" t="s">
        <v>2406</v>
      </c>
      <c r="E47" s="1296" t="s">
        <v>2496</v>
      </c>
      <c r="F47" s="1318" t="s">
        <v>2497</v>
      </c>
      <c r="G47" s="1296" t="s">
        <v>2409</v>
      </c>
      <c r="H47" s="1296" t="s">
        <v>2498</v>
      </c>
    </row>
    <row r="48" spans="1:8">
      <c r="A48" s="1051" t="s">
        <v>2499</v>
      </c>
      <c r="B48" s="1054" t="s">
        <v>2500</v>
      </c>
      <c r="C48" s="1316"/>
      <c r="D48" s="1295"/>
      <c r="E48" s="1322"/>
      <c r="F48" s="1317"/>
      <c r="G48" s="1317"/>
      <c r="H48" s="1304"/>
    </row>
    <row r="49" spans="1:8" ht="90.75" customHeight="1">
      <c r="A49" s="1048" t="s">
        <v>1925</v>
      </c>
      <c r="B49" s="1048" t="s">
        <v>1926</v>
      </c>
      <c r="C49" s="1307" t="s">
        <v>2501</v>
      </c>
      <c r="D49" s="1309" t="s">
        <v>2502</v>
      </c>
      <c r="E49" s="1296" t="s">
        <v>2503</v>
      </c>
      <c r="F49" s="1318" t="s">
        <v>2504</v>
      </c>
      <c r="G49" s="1296" t="s">
        <v>2505</v>
      </c>
      <c r="H49" s="1342" t="s">
        <v>2506</v>
      </c>
    </row>
    <row r="50" spans="1:8">
      <c r="A50" s="1051" t="s">
        <v>2327</v>
      </c>
      <c r="B50" s="1046" t="s">
        <v>2507</v>
      </c>
      <c r="C50" s="1321"/>
      <c r="D50" s="1310"/>
      <c r="E50" s="1322"/>
      <c r="F50" s="1317"/>
      <c r="G50" s="1317"/>
      <c r="H50" s="1343"/>
    </row>
    <row r="51" spans="1:8" ht="87" customHeight="1">
      <c r="A51" s="1048" t="s">
        <v>1963</v>
      </c>
      <c r="B51" s="1055" t="s">
        <v>2508</v>
      </c>
      <c r="C51" s="1344" t="s">
        <v>2509</v>
      </c>
      <c r="D51" s="1302" t="s">
        <v>2510</v>
      </c>
      <c r="E51" s="1296" t="s">
        <v>2511</v>
      </c>
      <c r="F51" s="1318" t="s">
        <v>2512</v>
      </c>
      <c r="G51" s="1296" t="s">
        <v>2513</v>
      </c>
      <c r="H51" s="1298" t="s">
        <v>2514</v>
      </c>
    </row>
    <row r="52" spans="1:8">
      <c r="A52" s="1051" t="s">
        <v>2327</v>
      </c>
      <c r="B52" s="1057" t="s">
        <v>2515</v>
      </c>
      <c r="C52" s="1345"/>
      <c r="D52" s="1303"/>
      <c r="E52" s="1317"/>
      <c r="F52" s="1317"/>
      <c r="G52" s="1317"/>
      <c r="H52" s="1299"/>
    </row>
    <row r="53" spans="1:8" ht="97.5" customHeight="1">
      <c r="A53" s="1048" t="s">
        <v>2516</v>
      </c>
      <c r="B53" s="1048" t="s">
        <v>1961</v>
      </c>
      <c r="C53" s="1320" t="s">
        <v>2517</v>
      </c>
      <c r="D53" s="1309" t="s">
        <v>2518</v>
      </c>
      <c r="E53" s="1296" t="s">
        <v>2519</v>
      </c>
      <c r="F53" s="1318" t="s">
        <v>2520</v>
      </c>
      <c r="G53" s="1296" t="s">
        <v>2521</v>
      </c>
      <c r="H53" s="1313" t="s">
        <v>2522</v>
      </c>
    </row>
    <row r="54" spans="1:8">
      <c r="A54" s="1051" t="s">
        <v>2327</v>
      </c>
      <c r="B54" s="1046" t="s">
        <v>2457</v>
      </c>
      <c r="C54" s="1321"/>
      <c r="D54" s="1310"/>
      <c r="E54" s="1317"/>
      <c r="F54" s="1317"/>
      <c r="G54" s="1317"/>
      <c r="H54" s="1314"/>
    </row>
    <row r="55" spans="1:8" ht="104.25" customHeight="1">
      <c r="A55" s="1055" t="s">
        <v>2523</v>
      </c>
      <c r="B55" s="1055" t="s">
        <v>2357</v>
      </c>
      <c r="C55" s="1344" t="s">
        <v>2524</v>
      </c>
      <c r="D55" s="1302" t="s">
        <v>2525</v>
      </c>
      <c r="E55" s="1296" t="s">
        <v>2526</v>
      </c>
      <c r="F55" s="1318" t="s">
        <v>2527</v>
      </c>
      <c r="G55" s="1296" t="s">
        <v>2528</v>
      </c>
      <c r="H55" s="1313" t="s">
        <v>2529</v>
      </c>
    </row>
    <row r="56" spans="1:8">
      <c r="A56" s="1056" t="s">
        <v>2335</v>
      </c>
      <c r="B56" s="1057" t="s">
        <v>2377</v>
      </c>
      <c r="C56" s="1345"/>
      <c r="D56" s="1303"/>
      <c r="E56" s="1317"/>
      <c r="F56" s="1317"/>
      <c r="G56" s="1317"/>
      <c r="H56" s="1314"/>
    </row>
    <row r="57" spans="1:8" ht="138" customHeight="1">
      <c r="A57" s="1048" t="s">
        <v>2530</v>
      </c>
      <c r="B57" s="1055" t="s">
        <v>2470</v>
      </c>
      <c r="C57" s="1344" t="s">
        <v>2531</v>
      </c>
      <c r="D57" s="1302" t="s">
        <v>2532</v>
      </c>
      <c r="E57" s="1296" t="s">
        <v>2533</v>
      </c>
      <c r="F57" s="1318" t="s">
        <v>2534</v>
      </c>
      <c r="G57" s="1296" t="s">
        <v>2535</v>
      </c>
      <c r="H57" s="1298" t="s">
        <v>2536</v>
      </c>
    </row>
    <row r="58" spans="1:8">
      <c r="A58" s="1065" t="s">
        <v>2327</v>
      </c>
      <c r="B58" s="1057" t="s">
        <v>2402</v>
      </c>
      <c r="C58" s="1345"/>
      <c r="D58" s="1303"/>
      <c r="E58" s="1322"/>
      <c r="F58" s="1317"/>
      <c r="G58" s="1317"/>
      <c r="H58" s="1299"/>
    </row>
    <row r="59" spans="1:8" ht="149.25" customHeight="1">
      <c r="A59" s="1048" t="s">
        <v>2537</v>
      </c>
      <c r="B59" s="1055" t="s">
        <v>2470</v>
      </c>
      <c r="C59" s="1344" t="s">
        <v>2538</v>
      </c>
      <c r="D59" s="1302" t="s">
        <v>2539</v>
      </c>
      <c r="E59" s="1296" t="s">
        <v>2540</v>
      </c>
      <c r="F59" s="1318" t="s">
        <v>2541</v>
      </c>
      <c r="G59" s="1296" t="s">
        <v>2542</v>
      </c>
      <c r="H59" s="1298" t="s">
        <v>2543</v>
      </c>
    </row>
    <row r="60" spans="1:8">
      <c r="A60" s="1051" t="s">
        <v>2327</v>
      </c>
      <c r="B60" s="1057" t="s">
        <v>2507</v>
      </c>
      <c r="C60" s="1345"/>
      <c r="D60" s="1303"/>
      <c r="E60" s="1317"/>
      <c r="F60" s="1317"/>
      <c r="G60" s="1317"/>
      <c r="H60" s="1299"/>
    </row>
    <row r="61" spans="1:8" ht="85.5" customHeight="1">
      <c r="A61" s="1048" t="s">
        <v>2544</v>
      </c>
      <c r="B61" s="1048" t="s">
        <v>2545</v>
      </c>
      <c r="C61" s="1061" t="s">
        <v>2546</v>
      </c>
      <c r="D61" s="1309" t="s">
        <v>2340</v>
      </c>
      <c r="E61" s="1311" t="s">
        <v>2547</v>
      </c>
      <c r="F61" s="1318" t="s">
        <v>2548</v>
      </c>
      <c r="G61" s="1296" t="s">
        <v>2542</v>
      </c>
      <c r="H61" s="1296" t="s">
        <v>2549</v>
      </c>
    </row>
    <row r="62" spans="1:8" ht="27">
      <c r="A62" s="1050" t="s">
        <v>2345</v>
      </c>
      <c r="B62" s="1046" t="s">
        <v>2377</v>
      </c>
      <c r="C62" s="1106" t="s">
        <v>2347</v>
      </c>
      <c r="D62" s="1310"/>
      <c r="E62" s="1312"/>
      <c r="F62" s="1317"/>
      <c r="G62" s="1317"/>
      <c r="H62" s="1304"/>
    </row>
    <row r="63" spans="1:8" ht="120" customHeight="1">
      <c r="A63" s="1048" t="s">
        <v>2550</v>
      </c>
      <c r="B63" s="1052" t="s">
        <v>2551</v>
      </c>
      <c r="C63" s="1315" t="s">
        <v>2552</v>
      </c>
      <c r="D63" s="1294" t="s">
        <v>2553</v>
      </c>
      <c r="E63" s="1296" t="s">
        <v>2554</v>
      </c>
      <c r="F63" s="1318" t="s">
        <v>2555</v>
      </c>
      <c r="G63" s="1296" t="s">
        <v>2542</v>
      </c>
      <c r="H63" s="1296" t="s">
        <v>2556</v>
      </c>
    </row>
    <row r="64" spans="1:8">
      <c r="A64" s="1051" t="s">
        <v>2327</v>
      </c>
      <c r="B64" s="1054" t="s">
        <v>2494</v>
      </c>
      <c r="C64" s="1316"/>
      <c r="D64" s="1295"/>
      <c r="E64" s="1317"/>
      <c r="F64" s="1317"/>
      <c r="G64" s="1317"/>
      <c r="H64" s="1304"/>
    </row>
    <row r="65" spans="1:8" ht="147.75" customHeight="1">
      <c r="A65" s="1048" t="s">
        <v>2557</v>
      </c>
      <c r="B65" s="1048" t="s">
        <v>2558</v>
      </c>
      <c r="C65" s="1320" t="s">
        <v>2559</v>
      </c>
      <c r="D65" s="1309" t="s">
        <v>2560</v>
      </c>
      <c r="E65" s="1296" t="s">
        <v>2561</v>
      </c>
      <c r="F65" s="1318" t="s">
        <v>2562</v>
      </c>
      <c r="G65" s="1296" t="s">
        <v>2563</v>
      </c>
      <c r="H65" s="1296"/>
    </row>
    <row r="66" spans="1:8">
      <c r="A66" s="1051" t="s">
        <v>2327</v>
      </c>
      <c r="B66" s="1046" t="s">
        <v>2500</v>
      </c>
      <c r="C66" s="1321"/>
      <c r="D66" s="1310"/>
      <c r="E66" s="1317"/>
      <c r="F66" s="1317"/>
      <c r="G66" s="1317"/>
      <c r="H66" s="1304"/>
    </row>
    <row r="67" spans="1:8" ht="147" customHeight="1">
      <c r="A67" s="1048" t="s">
        <v>2564</v>
      </c>
      <c r="B67" s="1055" t="s">
        <v>1942</v>
      </c>
      <c r="C67" s="1344" t="s">
        <v>2565</v>
      </c>
      <c r="D67" s="1302" t="s">
        <v>2566</v>
      </c>
      <c r="E67" s="1296" t="s">
        <v>2567</v>
      </c>
      <c r="F67" s="1318" t="s">
        <v>2568</v>
      </c>
      <c r="G67" s="1296" t="s">
        <v>2569</v>
      </c>
      <c r="H67" s="1298" t="s">
        <v>2570</v>
      </c>
    </row>
    <row r="68" spans="1:8">
      <c r="A68" s="1065" t="s">
        <v>2327</v>
      </c>
      <c r="B68" s="1057" t="s">
        <v>2571</v>
      </c>
      <c r="C68" s="1345"/>
      <c r="D68" s="1303"/>
      <c r="E68" s="1317"/>
      <c r="F68" s="1317"/>
      <c r="G68" s="1317"/>
      <c r="H68" s="1299"/>
    </row>
    <row r="69" spans="1:8" ht="170.25" customHeight="1">
      <c r="A69" s="1048" t="s">
        <v>2572</v>
      </c>
      <c r="B69" s="1052" t="s">
        <v>2573</v>
      </c>
      <c r="C69" s="1315" t="s">
        <v>2574</v>
      </c>
      <c r="D69" s="1294" t="s">
        <v>2575</v>
      </c>
      <c r="E69" s="1296" t="s">
        <v>2576</v>
      </c>
      <c r="F69" s="1318" t="s">
        <v>2577</v>
      </c>
      <c r="G69" s="1296" t="s">
        <v>2578</v>
      </c>
      <c r="H69" s="1298" t="s">
        <v>2579</v>
      </c>
    </row>
    <row r="70" spans="1:8">
      <c r="A70" s="1065" t="s">
        <v>2327</v>
      </c>
      <c r="B70" s="1054" t="s">
        <v>2437</v>
      </c>
      <c r="C70" s="1316"/>
      <c r="D70" s="1295"/>
      <c r="E70" s="1322"/>
      <c r="F70" s="1317"/>
      <c r="G70" s="1317"/>
      <c r="H70" s="1299"/>
    </row>
    <row r="71" spans="1:8" ht="164.25" customHeight="1">
      <c r="A71" s="1048" t="s">
        <v>2580</v>
      </c>
      <c r="B71" s="1048" t="s">
        <v>1939</v>
      </c>
      <c r="C71" s="1320" t="s">
        <v>2581</v>
      </c>
      <c r="D71" s="1309" t="s">
        <v>2582</v>
      </c>
      <c r="E71" s="1296" t="s">
        <v>2583</v>
      </c>
      <c r="F71" s="1318" t="s">
        <v>2584</v>
      </c>
      <c r="G71" s="1296" t="s">
        <v>2475</v>
      </c>
      <c r="H71" s="1296"/>
    </row>
    <row r="72" spans="1:8">
      <c r="A72" s="1065" t="s">
        <v>2327</v>
      </c>
      <c r="B72" s="1046" t="s">
        <v>2585</v>
      </c>
      <c r="C72" s="1321"/>
      <c r="D72" s="1310"/>
      <c r="E72" s="1317"/>
      <c r="F72" s="1317"/>
      <c r="G72" s="1317"/>
      <c r="H72" s="1304"/>
    </row>
    <row r="73" spans="1:8" ht="165.75" customHeight="1">
      <c r="A73" s="1048" t="s">
        <v>1995</v>
      </c>
      <c r="B73" s="1052" t="s">
        <v>1996</v>
      </c>
      <c r="C73" s="1315" t="s">
        <v>2586</v>
      </c>
      <c r="D73" s="1294" t="s">
        <v>2587</v>
      </c>
      <c r="E73" s="1296" t="s">
        <v>2588</v>
      </c>
      <c r="F73" s="1318" t="s">
        <v>2589</v>
      </c>
      <c r="G73" s="1296" t="s">
        <v>2417</v>
      </c>
      <c r="H73" s="1296" t="s">
        <v>2590</v>
      </c>
    </row>
    <row r="74" spans="1:8">
      <c r="A74" s="1065" t="s">
        <v>2327</v>
      </c>
      <c r="B74" s="1054" t="s">
        <v>2591</v>
      </c>
      <c r="C74" s="1316"/>
      <c r="D74" s="1295"/>
      <c r="E74" s="1317"/>
      <c r="F74" s="1317"/>
      <c r="G74" s="1317"/>
      <c r="H74" s="1304"/>
    </row>
    <row r="75" spans="1:8" ht="143.25" customHeight="1">
      <c r="A75" s="1048" t="s">
        <v>2592</v>
      </c>
      <c r="B75" s="1052" t="s">
        <v>1942</v>
      </c>
      <c r="C75" s="1315" t="s">
        <v>2593</v>
      </c>
      <c r="D75" s="1294" t="s">
        <v>2594</v>
      </c>
      <c r="E75" s="1318" t="s">
        <v>2595</v>
      </c>
      <c r="F75" s="1318" t="s">
        <v>2596</v>
      </c>
      <c r="G75" s="1296" t="s">
        <v>2417</v>
      </c>
      <c r="H75" s="1296" t="s">
        <v>2597</v>
      </c>
    </row>
    <row r="76" spans="1:8">
      <c r="A76" s="1065" t="s">
        <v>2335</v>
      </c>
      <c r="B76" s="1054" t="s">
        <v>2402</v>
      </c>
      <c r="C76" s="1316"/>
      <c r="D76" s="1295"/>
      <c r="E76" s="1317"/>
      <c r="F76" s="1317"/>
      <c r="G76" s="1317"/>
      <c r="H76" s="1304"/>
    </row>
    <row r="77" spans="1:8" ht="141" customHeight="1">
      <c r="A77" s="1048" t="s">
        <v>2598</v>
      </c>
      <c r="B77" s="1048" t="s">
        <v>1945</v>
      </c>
      <c r="C77" s="1320" t="s">
        <v>2599</v>
      </c>
      <c r="D77" s="1309" t="s">
        <v>2600</v>
      </c>
      <c r="E77" s="1296" t="s">
        <v>2601</v>
      </c>
      <c r="F77" s="1318" t="s">
        <v>2602</v>
      </c>
      <c r="G77" s="1296" t="s">
        <v>2475</v>
      </c>
      <c r="H77" s="1296"/>
    </row>
    <row r="78" spans="1:8">
      <c r="A78" s="1065" t="s">
        <v>2327</v>
      </c>
      <c r="B78" s="1046" t="s">
        <v>2603</v>
      </c>
      <c r="C78" s="1321"/>
      <c r="D78" s="1310"/>
      <c r="E78" s="1322"/>
      <c r="F78" s="1317"/>
      <c r="G78" s="1317"/>
      <c r="H78" s="1304"/>
    </row>
    <row r="79" spans="1:8" ht="131.25" customHeight="1">
      <c r="A79" s="1048" t="s">
        <v>2604</v>
      </c>
      <c r="B79" s="1052" t="s">
        <v>2429</v>
      </c>
      <c r="C79" s="1315" t="s">
        <v>2605</v>
      </c>
      <c r="D79" s="1294" t="s">
        <v>2606</v>
      </c>
      <c r="E79" s="1296" t="s">
        <v>2607</v>
      </c>
      <c r="F79" s="1318" t="s">
        <v>2608</v>
      </c>
      <c r="G79" s="1296" t="s">
        <v>2475</v>
      </c>
      <c r="H79" s="1298" t="s">
        <v>2609</v>
      </c>
    </row>
    <row r="80" spans="1:8">
      <c r="A80" s="1051" t="s">
        <v>2327</v>
      </c>
      <c r="B80" s="1054" t="s">
        <v>2395</v>
      </c>
      <c r="C80" s="1316"/>
      <c r="D80" s="1295"/>
      <c r="E80" s="1322"/>
      <c r="F80" s="1317"/>
      <c r="G80" s="1317"/>
      <c r="H80" s="1299"/>
    </row>
    <row r="81" spans="1:8" ht="138" customHeight="1">
      <c r="A81" s="1048" t="s">
        <v>2610</v>
      </c>
      <c r="B81" s="1052" t="s">
        <v>1908</v>
      </c>
      <c r="C81" s="1315" t="s">
        <v>2611</v>
      </c>
      <c r="D81" s="1294" t="s">
        <v>2612</v>
      </c>
      <c r="E81" s="1296" t="s">
        <v>2613</v>
      </c>
      <c r="F81" s="1318" t="s">
        <v>2614</v>
      </c>
      <c r="G81" s="1296" t="s">
        <v>2542</v>
      </c>
      <c r="H81" s="1296" t="s">
        <v>2615</v>
      </c>
    </row>
    <row r="82" spans="1:8">
      <c r="A82" s="1051" t="s">
        <v>2477</v>
      </c>
      <c r="B82" s="1054" t="s">
        <v>2402</v>
      </c>
      <c r="C82" s="1316"/>
      <c r="D82" s="1295"/>
      <c r="E82" s="1317"/>
      <c r="F82" s="1317"/>
      <c r="G82" s="1317"/>
      <c r="H82" s="1304"/>
    </row>
    <row r="83" spans="1:8" ht="106.5" customHeight="1">
      <c r="A83" s="1048" t="s">
        <v>2616</v>
      </c>
      <c r="B83" s="1052" t="s">
        <v>2301</v>
      </c>
      <c r="C83" s="1315" t="s">
        <v>2617</v>
      </c>
      <c r="D83" s="1294" t="s">
        <v>2618</v>
      </c>
      <c r="E83" s="1296" t="s">
        <v>2619</v>
      </c>
      <c r="F83" s="1318" t="s">
        <v>2620</v>
      </c>
      <c r="G83" s="1296" t="s">
        <v>2621</v>
      </c>
      <c r="H83" s="1319" t="s">
        <v>2622</v>
      </c>
    </row>
    <row r="84" spans="1:8">
      <c r="A84" s="1071" t="s">
        <v>2335</v>
      </c>
      <c r="B84" s="1054" t="s">
        <v>2346</v>
      </c>
      <c r="C84" s="1316"/>
      <c r="D84" s="1295"/>
      <c r="E84" s="1317"/>
      <c r="F84" s="1317"/>
      <c r="G84" s="1317"/>
      <c r="H84" s="1297"/>
    </row>
    <row r="85" spans="1:8" ht="98.25" customHeight="1">
      <c r="A85" s="1048" t="s">
        <v>2623</v>
      </c>
      <c r="B85" s="1048" t="s">
        <v>1942</v>
      </c>
      <c r="C85" s="1320" t="s">
        <v>2624</v>
      </c>
      <c r="D85" s="1309" t="s">
        <v>2625</v>
      </c>
      <c r="E85" s="1296" t="s">
        <v>2626</v>
      </c>
      <c r="F85" s="1318" t="s">
        <v>2627</v>
      </c>
      <c r="G85" s="1296" t="s">
        <v>2628</v>
      </c>
      <c r="H85" s="1296" t="s">
        <v>2629</v>
      </c>
    </row>
    <row r="86" spans="1:8">
      <c r="A86" s="1071" t="s">
        <v>2335</v>
      </c>
      <c r="B86" s="1046" t="s">
        <v>2402</v>
      </c>
      <c r="C86" s="1321"/>
      <c r="D86" s="1310"/>
      <c r="E86" s="1317"/>
      <c r="F86" s="1317"/>
      <c r="G86" s="1317"/>
      <c r="H86" s="1304"/>
    </row>
    <row r="87" spans="1:8" ht="165" customHeight="1">
      <c r="A87" s="1048" t="s">
        <v>2630</v>
      </c>
      <c r="B87" s="1052" t="s">
        <v>2631</v>
      </c>
      <c r="C87" s="1292" t="s">
        <v>2632</v>
      </c>
      <c r="D87" s="1294" t="s">
        <v>2422</v>
      </c>
      <c r="E87" s="1311" t="s">
        <v>2633</v>
      </c>
      <c r="F87" s="1296" t="s">
        <v>2634</v>
      </c>
      <c r="G87" s="1296" t="s">
        <v>2425</v>
      </c>
      <c r="H87" s="1296" t="s">
        <v>2635</v>
      </c>
    </row>
    <row r="88" spans="1:8">
      <c r="A88" s="1065" t="s">
        <v>2327</v>
      </c>
      <c r="B88" s="1054" t="s">
        <v>2636</v>
      </c>
      <c r="C88" s="1293"/>
      <c r="D88" s="1295"/>
      <c r="E88" s="1312"/>
      <c r="F88" s="1297"/>
      <c r="G88" s="1297"/>
      <c r="H88" s="1304"/>
    </row>
    <row r="89" spans="1:8" ht="122.25" customHeight="1">
      <c r="A89" s="1048" t="s">
        <v>2637</v>
      </c>
      <c r="B89" s="1048" t="s">
        <v>2470</v>
      </c>
      <c r="C89" s="1307" t="s">
        <v>2638</v>
      </c>
      <c r="D89" s="1309" t="s">
        <v>2639</v>
      </c>
      <c r="E89" s="1296" t="s">
        <v>2640</v>
      </c>
      <c r="F89" s="1296" t="s">
        <v>2641</v>
      </c>
      <c r="G89" s="1296" t="s">
        <v>2642</v>
      </c>
      <c r="H89" s="1296" t="s">
        <v>2643</v>
      </c>
    </row>
    <row r="90" spans="1:8" ht="24.75">
      <c r="A90" s="1073" t="s">
        <v>2345</v>
      </c>
      <c r="B90" s="1046" t="s">
        <v>2419</v>
      </c>
      <c r="C90" s="1308"/>
      <c r="D90" s="1310"/>
      <c r="E90" s="1297"/>
      <c r="F90" s="1297"/>
      <c r="G90" s="1297"/>
      <c r="H90" s="1304"/>
    </row>
    <row r="91" spans="1:8" ht="135.75" customHeight="1">
      <c r="A91" s="1048" t="s">
        <v>2011</v>
      </c>
      <c r="B91" s="1052" t="s">
        <v>2357</v>
      </c>
      <c r="C91" s="1292" t="s">
        <v>2644</v>
      </c>
      <c r="D91" s="1294" t="s">
        <v>2645</v>
      </c>
      <c r="E91" s="1296" t="s">
        <v>2646</v>
      </c>
      <c r="F91" s="1296" t="s">
        <v>2647</v>
      </c>
      <c r="G91" s="1296" t="s">
        <v>2434</v>
      </c>
      <c r="H91" s="1296" t="s">
        <v>2648</v>
      </c>
    </row>
    <row r="92" spans="1:8">
      <c r="A92" s="1065" t="s">
        <v>2327</v>
      </c>
      <c r="B92" s="1054" t="s">
        <v>2500</v>
      </c>
      <c r="C92" s="1293"/>
      <c r="D92" s="1295"/>
      <c r="E92" s="1297"/>
      <c r="F92" s="1297"/>
      <c r="G92" s="1297"/>
      <c r="H92" s="1304"/>
    </row>
    <row r="93" spans="1:8" ht="123" customHeight="1">
      <c r="A93" s="1061" t="s">
        <v>2649</v>
      </c>
      <c r="B93" s="1074" t="s">
        <v>2650</v>
      </c>
      <c r="C93" s="1305" t="s">
        <v>2651</v>
      </c>
      <c r="D93" s="1302" t="s">
        <v>2652</v>
      </c>
      <c r="E93" s="1296" t="s">
        <v>2653</v>
      </c>
      <c r="F93" s="1296" t="s">
        <v>2654</v>
      </c>
      <c r="G93" s="1296" t="s">
        <v>2528</v>
      </c>
      <c r="H93" s="1313" t="s">
        <v>2655</v>
      </c>
    </row>
    <row r="94" spans="1:8">
      <c r="A94" s="1075" t="s">
        <v>2327</v>
      </c>
      <c r="B94" s="1076" t="s">
        <v>2369</v>
      </c>
      <c r="C94" s="1306"/>
      <c r="D94" s="1303"/>
      <c r="E94" s="1297"/>
      <c r="F94" s="1297"/>
      <c r="G94" s="1297"/>
      <c r="H94" s="1314"/>
    </row>
    <row r="95" spans="1:8" ht="117.75" customHeight="1">
      <c r="A95" s="1048" t="s">
        <v>2656</v>
      </c>
      <c r="B95" s="1048" t="s">
        <v>2657</v>
      </c>
      <c r="C95" s="1307" t="s">
        <v>2658</v>
      </c>
      <c r="D95" s="1309" t="s">
        <v>2659</v>
      </c>
      <c r="E95" s="1296" t="s">
        <v>2660</v>
      </c>
      <c r="F95" s="1296" t="s">
        <v>2661</v>
      </c>
      <c r="G95" s="1296" t="s">
        <v>2521</v>
      </c>
      <c r="H95" s="1296" t="s">
        <v>2662</v>
      </c>
    </row>
    <row r="96" spans="1:8" ht="24.75">
      <c r="A96" s="1073" t="s">
        <v>2345</v>
      </c>
      <c r="B96" s="1046" t="s">
        <v>2663</v>
      </c>
      <c r="C96" s="1308"/>
      <c r="D96" s="1310"/>
      <c r="E96" s="1297"/>
      <c r="F96" s="1297"/>
      <c r="G96" s="1297"/>
      <c r="H96" s="1304"/>
    </row>
    <row r="97" spans="1:8" ht="124.5" customHeight="1">
      <c r="A97" s="1048" t="s">
        <v>2664</v>
      </c>
      <c r="B97" s="1048" t="s">
        <v>1967</v>
      </c>
      <c r="C97" s="1307" t="s">
        <v>2665</v>
      </c>
      <c r="D97" s="1309" t="s">
        <v>2666</v>
      </c>
      <c r="E97" s="1296" t="s">
        <v>2667</v>
      </c>
      <c r="F97" s="1296" t="s">
        <v>2668</v>
      </c>
      <c r="G97" s="1296" t="s">
        <v>2669</v>
      </c>
      <c r="H97" s="1296" t="s">
        <v>2670</v>
      </c>
    </row>
    <row r="98" spans="1:8">
      <c r="A98" s="1065" t="s">
        <v>2335</v>
      </c>
      <c r="B98" s="1046" t="s">
        <v>2671</v>
      </c>
      <c r="C98" s="1308"/>
      <c r="D98" s="1310"/>
      <c r="E98" s="1297"/>
      <c r="F98" s="1297"/>
      <c r="G98" s="1297"/>
      <c r="H98" s="1304"/>
    </row>
    <row r="99" spans="1:8" ht="123.75" customHeight="1">
      <c r="A99" s="1048" t="s">
        <v>2672</v>
      </c>
      <c r="B99" s="1055" t="s">
        <v>2017</v>
      </c>
      <c r="C99" s="1305" t="s">
        <v>2673</v>
      </c>
      <c r="D99" s="1302" t="s">
        <v>2390</v>
      </c>
      <c r="E99" s="1296" t="s">
        <v>2674</v>
      </c>
      <c r="F99" s="1296" t="s">
        <v>2675</v>
      </c>
      <c r="G99" s="1296" t="s">
        <v>2676</v>
      </c>
      <c r="H99" s="1313" t="s">
        <v>2677</v>
      </c>
    </row>
    <row r="100" spans="1:8">
      <c r="A100" s="1065" t="s">
        <v>2327</v>
      </c>
      <c r="B100" s="1057" t="s">
        <v>2507</v>
      </c>
      <c r="C100" s="1306"/>
      <c r="D100" s="1303"/>
      <c r="E100" s="1297"/>
      <c r="F100" s="1297"/>
      <c r="G100" s="1297"/>
      <c r="H100" s="1314"/>
    </row>
    <row r="101" spans="1:8" ht="114" customHeight="1">
      <c r="A101" s="1048" t="s">
        <v>2678</v>
      </c>
      <c r="B101" s="1055" t="s">
        <v>2357</v>
      </c>
      <c r="C101" s="1305" t="s">
        <v>2679</v>
      </c>
      <c r="D101" s="1302" t="s">
        <v>2680</v>
      </c>
      <c r="E101" s="1296" t="s">
        <v>2681</v>
      </c>
      <c r="F101" s="1296" t="s">
        <v>2682</v>
      </c>
      <c r="G101" s="1296" t="s">
        <v>2683</v>
      </c>
      <c r="H101" s="1313" t="s">
        <v>2684</v>
      </c>
    </row>
    <row r="102" spans="1:8">
      <c r="A102" s="1065" t="s">
        <v>2327</v>
      </c>
      <c r="B102" s="1057" t="s">
        <v>2585</v>
      </c>
      <c r="C102" s="1306"/>
      <c r="D102" s="1303"/>
      <c r="E102" s="1297"/>
      <c r="F102" s="1297"/>
      <c r="G102" s="1297"/>
      <c r="H102" s="1314"/>
    </row>
    <row r="103" spans="1:8" ht="119.25" customHeight="1">
      <c r="A103" s="1048" t="s">
        <v>2685</v>
      </c>
      <c r="B103" s="1055" t="s">
        <v>2686</v>
      </c>
      <c r="C103" s="1305" t="s">
        <v>2687</v>
      </c>
      <c r="D103" s="1302" t="s">
        <v>2688</v>
      </c>
      <c r="E103" s="1296" t="s">
        <v>2689</v>
      </c>
      <c r="F103" s="1296" t="s">
        <v>2690</v>
      </c>
      <c r="G103" s="1296" t="s">
        <v>2683</v>
      </c>
      <c r="H103" s="1296" t="s">
        <v>2691</v>
      </c>
    </row>
    <row r="104" spans="1:8">
      <c r="A104" s="1065" t="s">
        <v>2327</v>
      </c>
      <c r="B104" s="1057" t="s">
        <v>2500</v>
      </c>
      <c r="C104" s="1306"/>
      <c r="D104" s="1303"/>
      <c r="E104" s="1297"/>
      <c r="F104" s="1297"/>
      <c r="G104" s="1297"/>
      <c r="H104" s="1304"/>
    </row>
    <row r="105" spans="1:8" ht="106.5" customHeight="1">
      <c r="A105" s="1048" t="s">
        <v>2692</v>
      </c>
      <c r="B105" s="1055" t="s">
        <v>2693</v>
      </c>
      <c r="C105" s="1305" t="s">
        <v>2694</v>
      </c>
      <c r="D105" s="1302" t="s">
        <v>2431</v>
      </c>
      <c r="E105" s="1311" t="s">
        <v>2695</v>
      </c>
      <c r="F105" s="1296" t="s">
        <v>2696</v>
      </c>
      <c r="G105" s="1296" t="s">
        <v>2434</v>
      </c>
      <c r="H105" s="1296" t="s">
        <v>2697</v>
      </c>
    </row>
    <row r="106" spans="1:8">
      <c r="A106" s="1065" t="s">
        <v>2327</v>
      </c>
      <c r="B106" s="1057" t="s">
        <v>2446</v>
      </c>
      <c r="C106" s="1306"/>
      <c r="D106" s="1303"/>
      <c r="E106" s="1312"/>
      <c r="F106" s="1297"/>
      <c r="G106" s="1297"/>
      <c r="H106" s="1304"/>
    </row>
    <row r="107" spans="1:8" ht="135.75" customHeight="1">
      <c r="A107" s="1048" t="s">
        <v>2698</v>
      </c>
      <c r="B107" s="1048" t="s">
        <v>2470</v>
      </c>
      <c r="C107" s="1307" t="s">
        <v>2699</v>
      </c>
      <c r="D107" s="1309" t="s">
        <v>2700</v>
      </c>
      <c r="E107" s="1296" t="s">
        <v>2701</v>
      </c>
      <c r="F107" s="1296" t="s">
        <v>2702</v>
      </c>
      <c r="G107" s="1296" t="s">
        <v>2703</v>
      </c>
      <c r="H107" s="1296"/>
    </row>
    <row r="108" spans="1:8">
      <c r="A108" s="1065" t="s">
        <v>2327</v>
      </c>
      <c r="B108" s="1046" t="s">
        <v>2346</v>
      </c>
      <c r="C108" s="1308"/>
      <c r="D108" s="1310"/>
      <c r="E108" s="1297"/>
      <c r="F108" s="1297"/>
      <c r="G108" s="1297"/>
      <c r="H108" s="1304"/>
    </row>
    <row r="109" spans="1:8" ht="144.75" customHeight="1">
      <c r="A109" s="1048" t="s">
        <v>2704</v>
      </c>
      <c r="B109" s="1055" t="s">
        <v>2026</v>
      </c>
      <c r="C109" s="1305" t="s">
        <v>2705</v>
      </c>
      <c r="D109" s="1302" t="s">
        <v>2706</v>
      </c>
      <c r="E109" s="1296" t="s">
        <v>2707</v>
      </c>
      <c r="F109" s="1296" t="s">
        <v>2708</v>
      </c>
      <c r="G109" s="1296" t="s">
        <v>2709</v>
      </c>
      <c r="H109" s="1296" t="s">
        <v>2710</v>
      </c>
    </row>
    <row r="110" spans="1:8">
      <c r="A110" s="1065" t="s">
        <v>2327</v>
      </c>
      <c r="B110" s="1057" t="s">
        <v>2402</v>
      </c>
      <c r="C110" s="1306"/>
      <c r="D110" s="1303"/>
      <c r="E110" s="1297"/>
      <c r="F110" s="1297"/>
      <c r="G110" s="1297"/>
      <c r="H110" s="1304"/>
    </row>
    <row r="111" spans="1:8" ht="127.5" customHeight="1">
      <c r="A111" s="1048" t="s">
        <v>2028</v>
      </c>
      <c r="B111" s="1055" t="s">
        <v>1942</v>
      </c>
      <c r="C111" s="1305" t="s">
        <v>2673</v>
      </c>
      <c r="D111" s="1305"/>
      <c r="E111" s="1296" t="s">
        <v>2711</v>
      </c>
      <c r="F111" s="1296" t="s">
        <v>2712</v>
      </c>
      <c r="G111" s="1296" t="s">
        <v>2713</v>
      </c>
      <c r="H111" s="1296" t="s">
        <v>2714</v>
      </c>
    </row>
    <row r="112" spans="1:8">
      <c r="A112" s="1065" t="s">
        <v>2327</v>
      </c>
      <c r="B112" s="1057" t="s">
        <v>2457</v>
      </c>
      <c r="C112" s="1306"/>
      <c r="D112" s="1306"/>
      <c r="E112" s="1297"/>
      <c r="F112" s="1297"/>
      <c r="G112" s="1297"/>
      <c r="H112" s="1304"/>
    </row>
    <row r="113" spans="1:8" ht="143.25" customHeight="1">
      <c r="A113" s="1048" t="s">
        <v>2030</v>
      </c>
      <c r="B113" s="1055" t="s">
        <v>2631</v>
      </c>
      <c r="C113" s="1305" t="s">
        <v>2715</v>
      </c>
      <c r="D113" s="1302" t="s">
        <v>2716</v>
      </c>
      <c r="E113" s="1296" t="s">
        <v>2717</v>
      </c>
      <c r="F113" s="1296" t="s">
        <v>2718</v>
      </c>
      <c r="G113" s="1296" t="s">
        <v>2719</v>
      </c>
      <c r="H113" s="1296" t="s">
        <v>2720</v>
      </c>
    </row>
    <row r="114" spans="1:8">
      <c r="A114" s="1065" t="s">
        <v>2327</v>
      </c>
      <c r="B114" s="1057" t="s">
        <v>2507</v>
      </c>
      <c r="C114" s="1306"/>
      <c r="D114" s="1303"/>
      <c r="E114" s="1297"/>
      <c r="F114" s="1297"/>
      <c r="G114" s="1297"/>
      <c r="H114" s="1304"/>
    </row>
    <row r="115" spans="1:8" ht="117.75" customHeight="1">
      <c r="A115" s="1048" t="s">
        <v>2721</v>
      </c>
      <c r="B115" s="1052" t="s">
        <v>2722</v>
      </c>
      <c r="C115" s="1292" t="s">
        <v>2723</v>
      </c>
      <c r="D115" s="1294" t="s">
        <v>2724</v>
      </c>
      <c r="E115" s="1296" t="s">
        <v>2725</v>
      </c>
      <c r="F115" s="1296" t="s">
        <v>2726</v>
      </c>
      <c r="G115" s="1296" t="s">
        <v>2505</v>
      </c>
      <c r="H115" s="1298" t="s">
        <v>2727</v>
      </c>
    </row>
    <row r="116" spans="1:8">
      <c r="A116" s="1051" t="s">
        <v>2477</v>
      </c>
      <c r="B116" s="1054" t="s">
        <v>2728</v>
      </c>
      <c r="C116" s="1293"/>
      <c r="D116" s="1295"/>
      <c r="E116" s="1297"/>
      <c r="F116" s="1297"/>
      <c r="G116" s="1297"/>
      <c r="H116" s="1299"/>
    </row>
    <row r="117" spans="1:8" ht="123.75" customHeight="1">
      <c r="A117" s="1048" t="s">
        <v>2729</v>
      </c>
      <c r="B117" s="1055" t="s">
        <v>2730</v>
      </c>
      <c r="C117" s="1300" t="s">
        <v>2731</v>
      </c>
      <c r="D117" s="1302" t="s">
        <v>2732</v>
      </c>
      <c r="E117" s="1296" t="s">
        <v>2733</v>
      </c>
      <c r="F117" s="1296" t="s">
        <v>2734</v>
      </c>
      <c r="G117" s="1296" t="s">
        <v>2735</v>
      </c>
      <c r="H117" s="1296" t="s">
        <v>2736</v>
      </c>
    </row>
    <row r="118" spans="1:8">
      <c r="A118" s="1071" t="s">
        <v>2335</v>
      </c>
      <c r="B118" s="1057" t="s">
        <v>2328</v>
      </c>
      <c r="C118" s="1301"/>
      <c r="D118" s="1303"/>
      <c r="E118" s="1297"/>
      <c r="F118" s="1297"/>
      <c r="G118" s="1297"/>
      <c r="H118" s="1304"/>
    </row>
    <row r="119" spans="1:8" ht="114" customHeight="1">
      <c r="A119" s="1048" t="s">
        <v>2737</v>
      </c>
      <c r="B119" s="1048" t="s">
        <v>1933</v>
      </c>
      <c r="C119" s="1320" t="s">
        <v>2738</v>
      </c>
      <c r="D119" s="1309" t="s">
        <v>2322</v>
      </c>
      <c r="E119" s="1296" t="s">
        <v>2739</v>
      </c>
      <c r="F119" s="1318" t="s">
        <v>2740</v>
      </c>
      <c r="G119" s="1296" t="s">
        <v>2741</v>
      </c>
      <c r="H119" s="1296" t="s">
        <v>2742</v>
      </c>
    </row>
    <row r="120" spans="1:8">
      <c r="A120" s="1051" t="s">
        <v>2743</v>
      </c>
      <c r="B120" s="1046" t="s">
        <v>2437</v>
      </c>
      <c r="C120" s="1321"/>
      <c r="D120" s="1310"/>
      <c r="E120" s="1317"/>
      <c r="F120" s="1317"/>
      <c r="G120" s="1317"/>
      <c r="H120" s="1304"/>
    </row>
    <row r="121" spans="1:8" ht="106.5" customHeight="1">
      <c r="A121" s="1048" t="s">
        <v>2039</v>
      </c>
      <c r="B121" s="1052" t="s">
        <v>2686</v>
      </c>
      <c r="C121" s="1315" t="s">
        <v>2389</v>
      </c>
      <c r="D121" s="1294" t="s">
        <v>2744</v>
      </c>
      <c r="E121" s="1296" t="s">
        <v>2745</v>
      </c>
      <c r="F121" s="1318" t="s">
        <v>2746</v>
      </c>
      <c r="G121" s="1296" t="s">
        <v>2384</v>
      </c>
      <c r="H121" s="1296" t="s">
        <v>2747</v>
      </c>
    </row>
    <row r="122" spans="1:8">
      <c r="A122" s="1051" t="s">
        <v>2327</v>
      </c>
      <c r="B122" s="1054" t="s">
        <v>2591</v>
      </c>
      <c r="C122" s="1346"/>
      <c r="D122" s="1347"/>
      <c r="E122" s="1348"/>
      <c r="F122" s="1348"/>
      <c r="G122" s="1348"/>
      <c r="H122" s="1349"/>
    </row>
    <row r="123" spans="1:8" ht="183" customHeight="1">
      <c r="A123" s="1048" t="s">
        <v>2748</v>
      </c>
      <c r="B123" s="1136" t="s">
        <v>2749</v>
      </c>
      <c r="C123" s="1353" t="s">
        <v>2750</v>
      </c>
      <c r="D123" s="1354" t="s">
        <v>2351</v>
      </c>
      <c r="E123" s="1355" t="s">
        <v>2352</v>
      </c>
      <c r="F123" s="1356" t="s">
        <v>2751</v>
      </c>
      <c r="G123" s="1355" t="s">
        <v>2752</v>
      </c>
      <c r="H123" s="1311" t="s">
        <v>2753</v>
      </c>
    </row>
    <row r="124" spans="1:8">
      <c r="A124" s="1065" t="s">
        <v>2754</v>
      </c>
      <c r="B124" s="1137" t="s">
        <v>2591</v>
      </c>
      <c r="C124" s="1353"/>
      <c r="D124" s="1354"/>
      <c r="E124" s="1356"/>
      <c r="F124" s="1357"/>
      <c r="G124" s="1357"/>
      <c r="H124" s="1311"/>
    </row>
    <row r="125" spans="1:8" s="1086" customFormat="1" ht="15.75" customHeight="1">
      <c r="A125" s="1350" t="s">
        <v>2755</v>
      </c>
      <c r="B125" s="1350"/>
      <c r="C125" s="1351"/>
      <c r="D125" s="1352"/>
      <c r="E125" s="1352"/>
      <c r="F125" s="1352"/>
      <c r="G125" s="1351"/>
      <c r="H125" s="1351"/>
    </row>
    <row r="126" spans="1:8" s="1087" customFormat="1" ht="65.25" customHeight="1">
      <c r="A126" s="1148" t="s">
        <v>2756</v>
      </c>
      <c r="B126" s="1269"/>
      <c r="C126" s="1372"/>
      <c r="D126" s="1375" t="s">
        <v>2757</v>
      </c>
      <c r="E126" s="1375"/>
      <c r="F126" s="1296" t="s">
        <v>2758</v>
      </c>
      <c r="G126" s="1296" t="s">
        <v>2384</v>
      </c>
      <c r="H126" s="1381" t="s">
        <v>2044</v>
      </c>
    </row>
    <row r="127" spans="1:8" s="1087" customFormat="1" ht="15.75" customHeight="1">
      <c r="A127" s="1149" t="s">
        <v>2759</v>
      </c>
      <c r="B127" s="1371"/>
      <c r="C127" s="1373"/>
      <c r="D127" s="1376"/>
      <c r="E127" s="1376"/>
      <c r="F127" s="1297"/>
      <c r="G127" s="1297"/>
      <c r="H127" s="1382"/>
    </row>
    <row r="128" spans="1:8" s="1087" customFormat="1" ht="53.25" customHeight="1">
      <c r="A128" s="1150" t="s">
        <v>2760</v>
      </c>
      <c r="B128" s="1374"/>
      <c r="C128" s="1374"/>
      <c r="D128" s="1377"/>
      <c r="E128" s="1379"/>
      <c r="F128" s="1296" t="s">
        <v>2761</v>
      </c>
      <c r="G128" s="1296" t="s">
        <v>2384</v>
      </c>
      <c r="H128" s="1383" t="s">
        <v>2049</v>
      </c>
    </row>
    <row r="129" spans="1:8" s="1087" customFormat="1">
      <c r="A129" s="1151" t="s">
        <v>2759</v>
      </c>
      <c r="B129" s="1371"/>
      <c r="C129" s="1371"/>
      <c r="D129" s="1378"/>
      <c r="E129" s="1380"/>
      <c r="F129" s="1297"/>
      <c r="G129" s="1297"/>
      <c r="H129" s="1382"/>
    </row>
    <row r="130" spans="1:8" s="1087" customFormat="1" ht="37.5" customHeight="1">
      <c r="A130" s="1150" t="s">
        <v>2762</v>
      </c>
      <c r="B130" s="1374"/>
      <c r="C130" s="1374"/>
      <c r="D130" s="1364"/>
      <c r="E130" s="1366"/>
      <c r="F130" s="1358" t="s">
        <v>2763</v>
      </c>
      <c r="G130" s="1296" t="s">
        <v>2384</v>
      </c>
      <c r="H130" s="299" t="s">
        <v>2051</v>
      </c>
    </row>
    <row r="131" spans="1:8" s="1087" customFormat="1">
      <c r="A131" s="1153" t="s">
        <v>2759</v>
      </c>
      <c r="B131" s="1371"/>
      <c r="C131" s="1371"/>
      <c r="D131" s="1365"/>
      <c r="E131" s="1367"/>
      <c r="F131" s="1359"/>
      <c r="G131" s="1297"/>
      <c r="H131" s="1152"/>
    </row>
    <row r="132" spans="1:8" s="1087" customFormat="1" ht="40.5" customHeight="1">
      <c r="A132" s="1157" t="s">
        <v>2764</v>
      </c>
      <c r="B132" s="1360"/>
      <c r="C132" s="1362"/>
      <c r="D132" s="1364"/>
      <c r="E132" s="1366"/>
      <c r="F132" s="1358" t="s">
        <v>2765</v>
      </c>
      <c r="G132" s="1368"/>
      <c r="H132" s="302" t="s">
        <v>2053</v>
      </c>
    </row>
    <row r="133" spans="1:8" s="1088" customFormat="1">
      <c r="A133" s="1155" t="s">
        <v>2759</v>
      </c>
      <c r="B133" s="1361"/>
      <c r="C133" s="1363"/>
      <c r="D133" s="1365"/>
      <c r="E133" s="1367"/>
      <c r="F133" s="1359"/>
      <c r="G133" s="1359"/>
      <c r="H133" s="1154"/>
    </row>
    <row r="134" spans="1:8" s="4" customFormat="1" ht="36.75" customHeight="1">
      <c r="A134" s="1160" t="s">
        <v>2766</v>
      </c>
      <c r="B134" s="1369" t="s">
        <v>2043</v>
      </c>
      <c r="C134" s="1370"/>
      <c r="D134" s="1384"/>
      <c r="E134" s="1385"/>
      <c r="F134" s="1386" t="s">
        <v>2767</v>
      </c>
      <c r="G134" s="1368" t="s">
        <v>2768</v>
      </c>
      <c r="H134" s="1161" t="s">
        <v>2055</v>
      </c>
    </row>
    <row r="135" spans="1:8" s="4" customFormat="1">
      <c r="A135" s="1162" t="s">
        <v>2769</v>
      </c>
      <c r="B135" s="1369"/>
      <c r="C135" s="1370"/>
      <c r="D135" s="1384"/>
      <c r="E135" s="1385"/>
      <c r="F135" s="1386"/>
      <c r="G135" s="1359"/>
      <c r="H135" s="1161"/>
    </row>
    <row r="136" spans="1:8" s="1086" customFormat="1" ht="30.75">
      <c r="A136" s="314" t="s">
        <v>2057</v>
      </c>
      <c r="B136" s="1158"/>
      <c r="C136" s="1142"/>
      <c r="D136" s="1146"/>
      <c r="E136" s="1147"/>
      <c r="F136" s="1163" t="s">
        <v>2770</v>
      </c>
      <c r="G136" s="1156" t="s">
        <v>2771</v>
      </c>
      <c r="H136" s="304" t="s">
        <v>2058</v>
      </c>
    </row>
    <row r="137" spans="1:8" s="1087" customFormat="1" ht="27">
      <c r="A137" s="309" t="s">
        <v>2060</v>
      </c>
      <c r="B137" s="1158"/>
      <c r="C137" s="1142"/>
      <c r="D137" s="538"/>
      <c r="E137" s="1044"/>
      <c r="F137" s="304" t="s">
        <v>2772</v>
      </c>
      <c r="G137" s="1143"/>
      <c r="H137" s="304" t="s">
        <v>2061</v>
      </c>
    </row>
    <row r="138" spans="1:8" s="1087" customFormat="1" ht="40.5">
      <c r="A138" s="307" t="s">
        <v>2063</v>
      </c>
      <c r="B138" s="1158"/>
      <c r="C138" s="1142"/>
      <c r="D138" s="538"/>
      <c r="E138" s="1044"/>
      <c r="F138" s="304" t="s">
        <v>2773</v>
      </c>
      <c r="G138" s="1143"/>
      <c r="H138" s="304" t="s">
        <v>2064</v>
      </c>
    </row>
    <row r="139" spans="1:8" s="1087" customFormat="1">
      <c r="A139" s="309" t="s">
        <v>2066</v>
      </c>
      <c r="B139" s="1158"/>
      <c r="C139" s="1142"/>
      <c r="D139" s="538"/>
      <c r="E139" s="1044"/>
      <c r="F139" s="304" t="s">
        <v>2774</v>
      </c>
      <c r="G139" s="1143"/>
      <c r="H139" s="304" t="s">
        <v>2067</v>
      </c>
    </row>
    <row r="140" spans="1:8" s="1087" customFormat="1" ht="27">
      <c r="A140" s="309" t="s">
        <v>2068</v>
      </c>
      <c r="B140" s="1158"/>
      <c r="C140" s="1142"/>
      <c r="D140" s="538"/>
      <c r="E140" s="1044"/>
      <c r="F140" s="304" t="s">
        <v>2775</v>
      </c>
      <c r="G140" s="1143"/>
      <c r="H140" s="304" t="s">
        <v>2069</v>
      </c>
    </row>
    <row r="141" spans="1:8" s="1087" customFormat="1">
      <c r="A141" s="309" t="s">
        <v>2070</v>
      </c>
      <c r="B141" s="1158"/>
      <c r="C141" s="1142"/>
      <c r="D141" s="538"/>
      <c r="E141" s="1044"/>
      <c r="F141" s="1044" t="s">
        <v>2776</v>
      </c>
      <c r="G141" s="1143"/>
      <c r="H141" s="304" t="s">
        <v>2071</v>
      </c>
    </row>
    <row r="142" spans="1:8" s="1087" customFormat="1">
      <c r="A142" s="309" t="s">
        <v>2072</v>
      </c>
      <c r="B142" s="1158"/>
      <c r="C142" s="1142"/>
      <c r="D142" s="538"/>
      <c r="E142" s="1044"/>
      <c r="F142" s="304" t="s">
        <v>2777</v>
      </c>
      <c r="G142" s="1143"/>
      <c r="H142" s="304" t="s">
        <v>2073</v>
      </c>
    </row>
    <row r="143" spans="1:8" s="1087" customFormat="1">
      <c r="A143" s="309" t="s">
        <v>2074</v>
      </c>
      <c r="B143" s="1158"/>
      <c r="C143" s="1142"/>
      <c r="D143" s="538"/>
      <c r="E143" s="1044"/>
      <c r="F143" s="304" t="s">
        <v>2778</v>
      </c>
      <c r="G143" s="1143"/>
      <c r="H143" s="304" t="s">
        <v>2075</v>
      </c>
    </row>
    <row r="144" spans="1:8" s="1087" customFormat="1">
      <c r="A144" s="309" t="s">
        <v>2076</v>
      </c>
      <c r="B144" s="1158"/>
      <c r="C144" s="1142"/>
      <c r="D144" s="538"/>
      <c r="E144" s="1044"/>
      <c r="F144" s="304" t="s">
        <v>2779</v>
      </c>
      <c r="G144" s="1143"/>
      <c r="H144" s="304" t="s">
        <v>2077</v>
      </c>
    </row>
    <row r="145" spans="1:8" s="1087" customFormat="1" ht="67.5">
      <c r="A145" s="309" t="s">
        <v>2078</v>
      </c>
      <c r="B145" s="1158"/>
      <c r="C145" s="1142"/>
      <c r="D145" s="538"/>
      <c r="E145" s="1044"/>
      <c r="F145" s="304" t="s">
        <v>2780</v>
      </c>
      <c r="G145" s="1143"/>
      <c r="H145" s="304" t="s">
        <v>2079</v>
      </c>
    </row>
    <row r="146" spans="1:8" s="1087" customFormat="1" ht="40.5">
      <c r="A146" s="312" t="s">
        <v>2080</v>
      </c>
      <c r="B146" s="1158"/>
      <c r="C146" s="1142"/>
      <c r="D146" s="538"/>
      <c r="E146" s="1044"/>
      <c r="F146" s="304" t="s">
        <v>2781</v>
      </c>
      <c r="G146" s="1143"/>
      <c r="H146" s="304" t="s">
        <v>2081</v>
      </c>
    </row>
    <row r="147" spans="1:8" s="1087" customFormat="1" ht="27">
      <c r="A147" s="309" t="s">
        <v>2082</v>
      </c>
      <c r="B147" s="1158"/>
      <c r="C147" s="1142"/>
      <c r="D147" s="538"/>
      <c r="E147" s="1044"/>
      <c r="F147" s="304" t="s">
        <v>2782</v>
      </c>
      <c r="G147" s="1143"/>
      <c r="H147" s="304" t="s">
        <v>2083</v>
      </c>
    </row>
    <row r="148" spans="1:8" s="1087" customFormat="1">
      <c r="A148" s="307" t="s">
        <v>2084</v>
      </c>
      <c r="B148" s="1158"/>
      <c r="C148" s="1142"/>
      <c r="D148" s="538"/>
      <c r="E148" s="1044"/>
      <c r="F148" s="304" t="s">
        <v>2783</v>
      </c>
      <c r="G148" s="1143"/>
      <c r="H148" s="304" t="s">
        <v>2085</v>
      </c>
    </row>
    <row r="149" spans="1:8" s="1087" customFormat="1">
      <c r="A149" s="312" t="s">
        <v>2086</v>
      </c>
      <c r="B149" s="1158"/>
      <c r="C149" s="1142"/>
      <c r="D149" s="538"/>
      <c r="E149" s="1044"/>
      <c r="F149" s="304" t="s">
        <v>2784</v>
      </c>
      <c r="G149" s="1143"/>
      <c r="H149" s="304" t="s">
        <v>2087</v>
      </c>
    </row>
    <row r="150" spans="1:8" s="1087" customFormat="1">
      <c r="A150" s="309" t="s">
        <v>2088</v>
      </c>
      <c r="B150" s="1158"/>
      <c r="C150" s="1142"/>
      <c r="D150" s="538"/>
      <c r="E150" s="1044"/>
      <c r="F150" s="1044" t="s">
        <v>2785</v>
      </c>
      <c r="G150" s="1143"/>
      <c r="H150" s="304" t="s">
        <v>2089</v>
      </c>
    </row>
    <row r="151" spans="1:8" s="1087" customFormat="1" ht="108">
      <c r="A151" s="307" t="s">
        <v>2090</v>
      </c>
      <c r="B151" s="1158"/>
      <c r="C151" s="1142"/>
      <c r="D151" s="538"/>
      <c r="E151" s="1044"/>
      <c r="F151" s="304" t="s">
        <v>2786</v>
      </c>
      <c r="G151" s="1143"/>
      <c r="H151" s="304" t="s">
        <v>2091</v>
      </c>
    </row>
    <row r="152" spans="1:8" s="1087" customFormat="1">
      <c r="A152" s="309" t="s">
        <v>2092</v>
      </c>
      <c r="B152" s="1158"/>
      <c r="C152" s="1142"/>
      <c r="D152" s="538"/>
      <c r="E152" s="1044"/>
      <c r="F152" s="304" t="s">
        <v>2787</v>
      </c>
      <c r="G152" s="1143"/>
      <c r="H152" s="304" t="s">
        <v>2093</v>
      </c>
    </row>
    <row r="153" spans="1:8" s="1087" customFormat="1" ht="148.5">
      <c r="A153" s="309" t="s">
        <v>2094</v>
      </c>
      <c r="B153" s="1158"/>
      <c r="C153" s="1142"/>
      <c r="D153" s="538"/>
      <c r="E153" s="1044"/>
      <c r="F153" s="304" t="s">
        <v>2788</v>
      </c>
      <c r="G153" s="1143"/>
      <c r="H153" s="304" t="s">
        <v>2095</v>
      </c>
    </row>
    <row r="154" spans="1:8" s="1087" customFormat="1" ht="27">
      <c r="A154" s="309" t="s">
        <v>2096</v>
      </c>
      <c r="B154" s="1158"/>
      <c r="C154" s="1142"/>
      <c r="D154" s="538"/>
      <c r="E154" s="1044"/>
      <c r="F154" s="304" t="s">
        <v>2789</v>
      </c>
      <c r="G154" s="1143"/>
      <c r="H154" s="304" t="s">
        <v>2097</v>
      </c>
    </row>
    <row r="155" spans="1:8" s="1087" customFormat="1" ht="27">
      <c r="A155" s="307" t="s">
        <v>2098</v>
      </c>
      <c r="B155" s="1158"/>
      <c r="C155" s="1142"/>
      <c r="D155" s="538"/>
      <c r="E155" s="1044"/>
      <c r="F155" s="304" t="s">
        <v>2790</v>
      </c>
      <c r="G155" s="1143"/>
      <c r="H155" s="304" t="s">
        <v>2099</v>
      </c>
    </row>
    <row r="156" spans="1:8" s="1087" customFormat="1">
      <c r="A156" s="313" t="s">
        <v>2100</v>
      </c>
      <c r="B156" s="1158"/>
      <c r="C156" s="1142"/>
      <c r="D156" s="538"/>
      <c r="E156" s="1044"/>
      <c r="F156" s="304" t="s">
        <v>2791</v>
      </c>
      <c r="G156" s="1143"/>
      <c r="H156" s="304" t="s">
        <v>2101</v>
      </c>
    </row>
    <row r="157" spans="1:8" s="1087" customFormat="1">
      <c r="A157" s="309" t="s">
        <v>2102</v>
      </c>
      <c r="B157" s="1158"/>
      <c r="C157" s="1142"/>
      <c r="D157" s="538"/>
      <c r="E157" s="1044"/>
      <c r="F157" s="304" t="s">
        <v>2792</v>
      </c>
      <c r="G157" s="1143"/>
      <c r="H157" s="304" t="s">
        <v>2103</v>
      </c>
    </row>
    <row r="158" spans="1:8" s="1087" customFormat="1" ht="40.5">
      <c r="A158" s="309" t="s">
        <v>2104</v>
      </c>
      <c r="B158" s="1158"/>
      <c r="C158" s="1142"/>
      <c r="D158" s="538"/>
      <c r="E158" s="1044"/>
      <c r="F158" s="304" t="s">
        <v>2793</v>
      </c>
      <c r="G158" s="1143"/>
      <c r="H158" s="304" t="s">
        <v>2105</v>
      </c>
    </row>
    <row r="159" spans="1:8" s="1087" customFormat="1" ht="67.5">
      <c r="A159" s="307" t="s">
        <v>2106</v>
      </c>
      <c r="B159" s="1158"/>
      <c r="C159" s="1142"/>
      <c r="D159" s="538"/>
      <c r="E159" s="1044"/>
      <c r="F159" s="304" t="s">
        <v>2794</v>
      </c>
      <c r="G159" s="1143"/>
      <c r="H159" s="304" t="s">
        <v>2107</v>
      </c>
    </row>
    <row r="160" spans="1:8" s="1087" customFormat="1">
      <c r="A160" s="309" t="s">
        <v>2108</v>
      </c>
      <c r="B160" s="1158"/>
      <c r="C160" s="1142"/>
      <c r="D160" s="538"/>
      <c r="E160" s="1044"/>
      <c r="F160" s="304" t="s">
        <v>2795</v>
      </c>
      <c r="G160" s="1143"/>
      <c r="H160" s="304" t="s">
        <v>2109</v>
      </c>
    </row>
    <row r="161" spans="1:8" s="1087" customFormat="1">
      <c r="A161" s="307" t="s">
        <v>2110</v>
      </c>
      <c r="B161" s="1158"/>
      <c r="C161" s="1142"/>
      <c r="D161" s="538"/>
      <c r="E161" s="1044"/>
      <c r="F161" s="304" t="s">
        <v>2796</v>
      </c>
      <c r="G161" s="1143"/>
      <c r="H161" s="304" t="s">
        <v>2111</v>
      </c>
    </row>
    <row r="162" spans="1:8" s="1087" customFormat="1">
      <c r="A162" s="307" t="s">
        <v>2112</v>
      </c>
      <c r="B162" s="1158"/>
      <c r="C162" s="1142"/>
      <c r="D162" s="538"/>
      <c r="E162" s="1044"/>
      <c r="F162" s="304" t="s">
        <v>2797</v>
      </c>
      <c r="G162" s="1143"/>
      <c r="H162" s="304" t="s">
        <v>2113</v>
      </c>
    </row>
    <row r="163" spans="1:8" s="1087" customFormat="1">
      <c r="A163" s="309" t="s">
        <v>2114</v>
      </c>
      <c r="B163" s="1158"/>
      <c r="C163" s="1142"/>
      <c r="D163" s="538"/>
      <c r="E163" s="1044"/>
      <c r="F163" s="304" t="s">
        <v>2798</v>
      </c>
      <c r="G163" s="1143"/>
      <c r="H163" s="304" t="s">
        <v>2115</v>
      </c>
    </row>
    <row r="164" spans="1:8" s="1087" customFormat="1">
      <c r="A164" s="309" t="s">
        <v>2116</v>
      </c>
      <c r="B164" s="1158"/>
      <c r="C164" s="1142"/>
      <c r="D164" s="538"/>
      <c r="E164" s="1044"/>
      <c r="F164" s="304" t="s">
        <v>2799</v>
      </c>
      <c r="G164" s="1143"/>
      <c r="H164" s="304" t="s">
        <v>2117</v>
      </c>
    </row>
    <row r="165" spans="1:8" s="1087" customFormat="1" ht="27">
      <c r="A165" s="309" t="s">
        <v>2118</v>
      </c>
      <c r="B165" s="1158"/>
      <c r="C165" s="1142"/>
      <c r="D165" s="538"/>
      <c r="E165" s="1044"/>
      <c r="F165" s="304" t="s">
        <v>2800</v>
      </c>
      <c r="G165" s="1143"/>
      <c r="H165" s="304" t="s">
        <v>2119</v>
      </c>
    </row>
    <row r="166" spans="1:8" s="1087" customFormat="1" ht="67.5">
      <c r="A166" s="309" t="s">
        <v>2120</v>
      </c>
      <c r="B166" s="1158"/>
      <c r="C166" s="1142"/>
      <c r="D166" s="538"/>
      <c r="E166" s="1044"/>
      <c r="F166" s="304" t="s">
        <v>2801</v>
      </c>
      <c r="G166" s="1143"/>
      <c r="H166" s="304" t="s">
        <v>2121</v>
      </c>
    </row>
    <row r="167" spans="1:8" s="1087" customFormat="1">
      <c r="A167" s="309" t="s">
        <v>2122</v>
      </c>
      <c r="B167" s="1158"/>
      <c r="C167" s="1142"/>
      <c r="D167" s="538"/>
      <c r="E167" s="1044"/>
      <c r="F167" s="304" t="s">
        <v>2802</v>
      </c>
      <c r="G167" s="1143"/>
      <c r="H167" s="304" t="s">
        <v>2123</v>
      </c>
    </row>
    <row r="168" spans="1:8" s="1087" customFormat="1" ht="40.5">
      <c r="A168" s="309" t="s">
        <v>2124</v>
      </c>
      <c r="B168" s="1158"/>
      <c r="C168" s="1142"/>
      <c r="D168" s="538"/>
      <c r="E168" s="1044"/>
      <c r="F168" s="304" t="s">
        <v>2803</v>
      </c>
      <c r="G168" s="1143"/>
      <c r="H168" s="304" t="s">
        <v>2125</v>
      </c>
    </row>
    <row r="169" spans="1:8" s="1087" customFormat="1" ht="27">
      <c r="A169" s="309" t="s">
        <v>2126</v>
      </c>
      <c r="B169" s="1158"/>
      <c r="C169" s="1142"/>
      <c r="D169" s="538"/>
      <c r="E169" s="1044"/>
      <c r="F169" s="304" t="s">
        <v>2804</v>
      </c>
      <c r="G169" s="1143"/>
      <c r="H169" s="304" t="s">
        <v>2127</v>
      </c>
    </row>
    <row r="170" spans="1:8" s="1087" customFormat="1" ht="27">
      <c r="A170" s="309" t="s">
        <v>2128</v>
      </c>
      <c r="B170" s="1158"/>
      <c r="C170" s="1142"/>
      <c r="D170" s="538"/>
      <c r="E170" s="1044"/>
      <c r="F170" s="304" t="s">
        <v>2805</v>
      </c>
      <c r="G170" s="1143"/>
      <c r="H170" s="304" t="s">
        <v>2129</v>
      </c>
    </row>
    <row r="171" spans="1:8" s="1087" customFormat="1">
      <c r="A171" s="309" t="s">
        <v>2130</v>
      </c>
      <c r="B171" s="1158"/>
      <c r="C171" s="1142"/>
      <c r="D171" s="538"/>
      <c r="E171" s="1044"/>
      <c r="F171" s="304" t="s">
        <v>2806</v>
      </c>
      <c r="G171" s="1143"/>
      <c r="H171" s="304" t="s">
        <v>2131</v>
      </c>
    </row>
    <row r="172" spans="1:8" s="1087" customFormat="1">
      <c r="A172" s="309" t="s">
        <v>2132</v>
      </c>
      <c r="B172" s="1158"/>
      <c r="C172" s="1142"/>
      <c r="D172" s="538"/>
      <c r="E172" s="1044"/>
      <c r="F172" s="304" t="s">
        <v>2807</v>
      </c>
      <c r="G172" s="1143"/>
      <c r="H172" s="304" t="s">
        <v>2133</v>
      </c>
    </row>
    <row r="173" spans="1:8" s="1087" customFormat="1">
      <c r="A173" s="309" t="s">
        <v>2134</v>
      </c>
      <c r="B173" s="1158"/>
      <c r="C173" s="1142"/>
      <c r="D173" s="538"/>
      <c r="E173" s="1044"/>
      <c r="F173" s="304" t="s">
        <v>2808</v>
      </c>
      <c r="G173" s="1143"/>
      <c r="H173" s="304" t="s">
        <v>2135</v>
      </c>
    </row>
    <row r="174" spans="1:8" s="1087" customFormat="1" ht="27">
      <c r="A174" s="307" t="s">
        <v>2136</v>
      </c>
      <c r="B174" s="1158"/>
      <c r="C174" s="1142"/>
      <c r="D174" s="538"/>
      <c r="E174" s="1044"/>
      <c r="F174" s="304" t="s">
        <v>2809</v>
      </c>
      <c r="G174" s="1143"/>
      <c r="H174" s="304" t="s">
        <v>2137</v>
      </c>
    </row>
    <row r="175" spans="1:8" s="1087" customFormat="1">
      <c r="A175" s="307" t="s">
        <v>2138</v>
      </c>
      <c r="B175" s="1158"/>
      <c r="C175" s="1142"/>
      <c r="D175" s="538"/>
      <c r="E175" s="1044"/>
      <c r="F175" s="304" t="s">
        <v>2810</v>
      </c>
      <c r="G175" s="1143"/>
      <c r="H175" s="304" t="s">
        <v>2139</v>
      </c>
    </row>
    <row r="176" spans="1:8" s="1087" customFormat="1" ht="27">
      <c r="A176" s="307" t="s">
        <v>2140</v>
      </c>
      <c r="B176" s="1158"/>
      <c r="C176" s="1142"/>
      <c r="D176" s="538"/>
      <c r="E176" s="1044"/>
      <c r="F176" s="304" t="s">
        <v>2811</v>
      </c>
      <c r="G176" s="1143"/>
      <c r="H176" s="304" t="s">
        <v>2141</v>
      </c>
    </row>
    <row r="177" spans="1:8" s="1087" customFormat="1">
      <c r="A177" s="309" t="s">
        <v>2142</v>
      </c>
      <c r="B177" s="1158"/>
      <c r="C177" s="1142"/>
      <c r="D177" s="538"/>
      <c r="E177" s="1044"/>
      <c r="F177" s="304" t="s">
        <v>2812</v>
      </c>
      <c r="G177" s="1143"/>
      <c r="H177" s="304" t="s">
        <v>2143</v>
      </c>
    </row>
    <row r="178" spans="1:8" s="1087" customFormat="1" ht="27">
      <c r="A178" s="309" t="s">
        <v>2144</v>
      </c>
      <c r="B178" s="1158"/>
      <c r="C178" s="1142"/>
      <c r="D178" s="538"/>
      <c r="E178" s="1044"/>
      <c r="F178" s="304" t="s">
        <v>2813</v>
      </c>
      <c r="G178" s="1143"/>
      <c r="H178" s="304" t="s">
        <v>2145</v>
      </c>
    </row>
    <row r="179" spans="1:8" s="1087" customFormat="1">
      <c r="A179" s="309" t="s">
        <v>2146</v>
      </c>
      <c r="B179" s="1158"/>
      <c r="C179" s="1142"/>
      <c r="D179" s="538"/>
      <c r="E179" s="1044"/>
      <c r="F179" s="304" t="s">
        <v>2814</v>
      </c>
      <c r="G179" s="1143"/>
      <c r="H179" s="304" t="s">
        <v>2147</v>
      </c>
    </row>
    <row r="180" spans="1:8" s="1087" customFormat="1">
      <c r="A180" s="307" t="s">
        <v>2148</v>
      </c>
      <c r="B180" s="1158"/>
      <c r="C180" s="1142"/>
      <c r="D180" s="538"/>
      <c r="E180" s="1044"/>
      <c r="F180" s="304" t="s">
        <v>2815</v>
      </c>
      <c r="G180" s="1143"/>
      <c r="H180" s="304" t="s">
        <v>2149</v>
      </c>
    </row>
    <row r="181" spans="1:8" s="1087" customFormat="1">
      <c r="A181" s="309" t="s">
        <v>2150</v>
      </c>
      <c r="B181" s="1158"/>
      <c r="C181" s="1142"/>
      <c r="D181" s="538"/>
      <c r="E181" s="1044"/>
      <c r="F181" s="304" t="s">
        <v>2816</v>
      </c>
      <c r="G181" s="1143"/>
      <c r="H181" s="304" t="s">
        <v>2151</v>
      </c>
    </row>
    <row r="182" spans="1:8" s="1087" customFormat="1">
      <c r="A182" s="309" t="s">
        <v>2152</v>
      </c>
      <c r="B182" s="1158"/>
      <c r="C182" s="1142"/>
      <c r="D182" s="538"/>
      <c r="E182" s="1044"/>
      <c r="F182" s="304" t="s">
        <v>2817</v>
      </c>
      <c r="G182" s="1143"/>
      <c r="H182" s="304" t="s">
        <v>2153</v>
      </c>
    </row>
    <row r="183" spans="1:8" s="1087" customFormat="1">
      <c r="A183" s="307" t="s">
        <v>2154</v>
      </c>
      <c r="B183" s="1158"/>
      <c r="C183" s="1142"/>
      <c r="D183" s="538"/>
      <c r="E183" s="1044"/>
      <c r="F183" s="304" t="s">
        <v>2818</v>
      </c>
      <c r="G183" s="1143"/>
      <c r="H183" s="304" t="s">
        <v>2155</v>
      </c>
    </row>
    <row r="184" spans="1:8" s="1087" customFormat="1">
      <c r="A184" s="307" t="s">
        <v>2156</v>
      </c>
      <c r="B184" s="1158"/>
      <c r="C184" s="1142"/>
      <c r="D184" s="538"/>
      <c r="E184" s="1044"/>
      <c r="F184" s="304" t="s">
        <v>2819</v>
      </c>
      <c r="G184" s="1143"/>
      <c r="H184" s="304" t="s">
        <v>2157</v>
      </c>
    </row>
    <row r="185" spans="1:8" s="1087" customFormat="1">
      <c r="A185" s="309" t="s">
        <v>2158</v>
      </c>
      <c r="B185" s="1158"/>
      <c r="C185" s="1142"/>
      <c r="D185" s="538"/>
      <c r="E185" s="1044"/>
      <c r="F185" s="304" t="s">
        <v>2820</v>
      </c>
      <c r="G185" s="1143"/>
      <c r="H185" s="304" t="s">
        <v>2159</v>
      </c>
    </row>
    <row r="186" spans="1:8" s="1087" customFormat="1" ht="27">
      <c r="A186" s="309" t="s">
        <v>2160</v>
      </c>
      <c r="B186" s="1158"/>
      <c r="C186" s="1142"/>
      <c r="D186" s="538"/>
      <c r="E186" s="1044"/>
      <c r="F186" s="304" t="s">
        <v>2821</v>
      </c>
      <c r="G186" s="1143"/>
      <c r="H186" s="304" t="s">
        <v>2161</v>
      </c>
    </row>
    <row r="187" spans="1:8" s="1087" customFormat="1">
      <c r="A187" s="307" t="s">
        <v>2162</v>
      </c>
      <c r="B187" s="1158"/>
      <c r="C187" s="1142"/>
      <c r="D187" s="538"/>
      <c r="E187" s="1044"/>
      <c r="F187" s="304" t="s">
        <v>2822</v>
      </c>
      <c r="G187" s="1143"/>
      <c r="H187" s="304" t="s">
        <v>2163</v>
      </c>
    </row>
    <row r="188" spans="1:8" s="1087" customFormat="1">
      <c r="A188" s="307" t="s">
        <v>2164</v>
      </c>
      <c r="B188" s="1158"/>
      <c r="C188" s="1142"/>
      <c r="D188" s="538"/>
      <c r="E188" s="1044"/>
      <c r="F188" s="304" t="s">
        <v>2823</v>
      </c>
      <c r="G188" s="1143"/>
      <c r="H188" s="304" t="s">
        <v>2165</v>
      </c>
    </row>
    <row r="189" spans="1:8" s="1087" customFormat="1">
      <c r="A189" s="309" t="s">
        <v>2166</v>
      </c>
      <c r="B189" s="1158"/>
      <c r="C189" s="1142"/>
      <c r="D189" s="538"/>
      <c r="E189" s="1044"/>
      <c r="F189" s="304" t="s">
        <v>2824</v>
      </c>
      <c r="G189" s="1143"/>
      <c r="H189" s="304" t="s">
        <v>2167</v>
      </c>
    </row>
    <row r="190" spans="1:8" s="1087" customFormat="1">
      <c r="A190" s="309" t="s">
        <v>2168</v>
      </c>
      <c r="B190" s="1158"/>
      <c r="C190" s="1142"/>
      <c r="D190" s="538"/>
      <c r="E190" s="1044"/>
      <c r="F190" s="1164" t="s">
        <v>2825</v>
      </c>
      <c r="G190" s="1143"/>
      <c r="H190" s="304" t="s">
        <v>2169</v>
      </c>
    </row>
    <row r="191" spans="1:8" s="1087" customFormat="1" ht="27">
      <c r="A191" s="309" t="s">
        <v>2170</v>
      </c>
      <c r="B191" s="1158"/>
      <c r="C191" s="1142"/>
      <c r="D191" s="538"/>
      <c r="E191" s="1044"/>
      <c r="F191" s="1164" t="s">
        <v>2826</v>
      </c>
      <c r="G191" s="1143"/>
      <c r="H191" s="304" t="s">
        <v>2171</v>
      </c>
    </row>
    <row r="192" spans="1:8" s="1087" customFormat="1">
      <c r="A192" s="307" t="s">
        <v>2172</v>
      </c>
      <c r="B192" s="1158"/>
      <c r="C192" s="1142"/>
      <c r="D192" s="538"/>
      <c r="E192" s="1044"/>
      <c r="F192" s="1044"/>
      <c r="G192" s="1143"/>
      <c r="H192" s="304" t="s">
        <v>2173</v>
      </c>
    </row>
    <row r="193" spans="1:8" s="1087" customFormat="1">
      <c r="A193" s="307" t="s">
        <v>2174</v>
      </c>
      <c r="B193" s="1158"/>
      <c r="C193" s="1142"/>
      <c r="D193" s="538"/>
      <c r="E193" s="1044"/>
      <c r="F193" s="1044"/>
      <c r="G193" s="1143"/>
      <c r="H193" s="304" t="s">
        <v>2175</v>
      </c>
    </row>
    <row r="194" spans="1:8" s="1087" customFormat="1" ht="40.5">
      <c r="A194" s="309" t="s">
        <v>2176</v>
      </c>
      <c r="B194" s="1158"/>
      <c r="C194" s="1142"/>
      <c r="D194" s="538"/>
      <c r="E194" s="1044"/>
      <c r="F194" s="1044"/>
      <c r="G194" s="1143"/>
      <c r="H194" s="304" t="s">
        <v>2177</v>
      </c>
    </row>
    <row r="195" spans="1:8" s="1087" customFormat="1" ht="40.5">
      <c r="A195" s="309" t="s">
        <v>2178</v>
      </c>
      <c r="B195" s="1158"/>
      <c r="C195" s="1142"/>
      <c r="D195" s="538"/>
      <c r="E195" s="1044"/>
      <c r="F195" s="1044"/>
      <c r="G195" s="1143"/>
      <c r="H195" s="304" t="s">
        <v>2179</v>
      </c>
    </row>
    <row r="196" spans="1:8" s="1088" customFormat="1">
      <c r="A196" s="309" t="s">
        <v>2180</v>
      </c>
      <c r="B196" s="1158"/>
      <c r="C196" s="1142"/>
      <c r="D196" s="538"/>
      <c r="E196" s="1044"/>
      <c r="F196" s="1044"/>
      <c r="G196" s="1144"/>
      <c r="H196" s="304" t="s">
        <v>2181</v>
      </c>
    </row>
    <row r="197" spans="1:8">
      <c r="A197" s="309" t="s">
        <v>2182</v>
      </c>
      <c r="B197" s="1158"/>
      <c r="C197" s="1142"/>
      <c r="D197" s="538"/>
      <c r="E197" s="1044"/>
      <c r="F197" s="1044"/>
      <c r="G197" s="1145"/>
      <c r="H197" s="304" t="s">
        <v>2183</v>
      </c>
    </row>
    <row r="198" spans="1:8" ht="27">
      <c r="A198" s="309" t="s">
        <v>2184</v>
      </c>
      <c r="B198" s="1158"/>
      <c r="C198" s="1142"/>
      <c r="D198" s="538"/>
      <c r="E198" s="1044"/>
      <c r="F198" s="1044"/>
      <c r="G198" s="1145"/>
      <c r="H198" s="304" t="s">
        <v>2185</v>
      </c>
    </row>
    <row r="199" spans="1:8" ht="40.5">
      <c r="A199" s="309" t="s">
        <v>2186</v>
      </c>
      <c r="B199" s="1158"/>
      <c r="C199" s="1142"/>
      <c r="D199" s="538"/>
      <c r="E199" s="1044"/>
      <c r="F199" s="1044"/>
      <c r="G199" s="1145"/>
      <c r="H199" s="304" t="s">
        <v>2187</v>
      </c>
    </row>
    <row r="200" spans="1:8">
      <c r="A200" s="309" t="s">
        <v>2188</v>
      </c>
      <c r="B200" s="1158"/>
      <c r="C200" s="1142"/>
      <c r="D200" s="538"/>
      <c r="E200" s="1044"/>
      <c r="F200" s="1044"/>
      <c r="G200" s="1145"/>
      <c r="H200" s="304" t="s">
        <v>2189</v>
      </c>
    </row>
    <row r="201" spans="1:8">
      <c r="A201" s="307" t="s">
        <v>2190</v>
      </c>
      <c r="B201" s="1158"/>
      <c r="C201" s="1142"/>
      <c r="D201" s="538"/>
      <c r="E201" s="1044"/>
      <c r="F201" s="1044"/>
      <c r="G201" s="1145"/>
      <c r="H201" s="304" t="s">
        <v>2191</v>
      </c>
    </row>
    <row r="202" spans="1:8">
      <c r="A202" s="314" t="s">
        <v>2192</v>
      </c>
      <c r="B202" s="1158"/>
      <c r="C202" s="1142"/>
      <c r="D202" s="538"/>
      <c r="E202" s="1044"/>
      <c r="F202" s="1044"/>
      <c r="G202" s="1145"/>
      <c r="H202" s="304" t="s">
        <v>2193</v>
      </c>
    </row>
    <row r="203" spans="1:8">
      <c r="A203" s="307" t="s">
        <v>2194</v>
      </c>
      <c r="B203" s="1158"/>
      <c r="C203" s="1142"/>
      <c r="D203" s="538"/>
      <c r="E203" s="1044"/>
      <c r="F203" s="1044"/>
      <c r="G203" s="1145"/>
      <c r="H203" s="304" t="s">
        <v>2195</v>
      </c>
    </row>
    <row r="204" spans="1:8">
      <c r="A204" s="307" t="s">
        <v>2196</v>
      </c>
      <c r="B204" s="1158"/>
      <c r="C204" s="1142"/>
      <c r="D204" s="538"/>
      <c r="E204" s="1044"/>
      <c r="F204" s="1044"/>
      <c r="G204" s="1145"/>
      <c r="H204" s="304" t="s">
        <v>2197</v>
      </c>
    </row>
    <row r="205" spans="1:8">
      <c r="A205" s="307" t="s">
        <v>2198</v>
      </c>
      <c r="B205" s="1158"/>
      <c r="C205" s="1142"/>
      <c r="D205" s="538"/>
      <c r="E205" s="1044"/>
      <c r="F205" s="1044"/>
      <c r="G205" s="1145"/>
      <c r="H205" s="304" t="s">
        <v>2199</v>
      </c>
    </row>
    <row r="206" spans="1:8" ht="40.5">
      <c r="A206" s="307" t="s">
        <v>2200</v>
      </c>
      <c r="B206" s="1158"/>
      <c r="C206" s="1142"/>
      <c r="D206" s="538"/>
      <c r="E206" s="1044"/>
      <c r="F206" s="1044"/>
      <c r="G206" s="1145"/>
      <c r="H206" s="304" t="s">
        <v>2201</v>
      </c>
    </row>
    <row r="207" spans="1:8">
      <c r="A207" s="307" t="s">
        <v>2202</v>
      </c>
      <c r="B207" s="1158"/>
      <c r="C207" s="1142"/>
      <c r="D207" s="538"/>
      <c r="E207" s="1044"/>
      <c r="F207" s="1044"/>
      <c r="G207" s="1145"/>
      <c r="H207" s="304" t="s">
        <v>2203</v>
      </c>
    </row>
    <row r="208" spans="1:8">
      <c r="A208" s="309" t="s">
        <v>2204</v>
      </c>
      <c r="B208" s="1158"/>
      <c r="C208" s="1142"/>
      <c r="D208" s="538"/>
      <c r="E208" s="1044"/>
      <c r="F208" s="1044"/>
      <c r="G208" s="1145"/>
      <c r="H208" s="304" t="s">
        <v>2205</v>
      </c>
    </row>
    <row r="209" spans="1:8">
      <c r="A209" s="307" t="s">
        <v>2206</v>
      </c>
      <c r="B209" s="1158"/>
      <c r="C209" s="1142"/>
      <c r="D209" s="538"/>
      <c r="E209" s="1044"/>
      <c r="F209" s="1044"/>
      <c r="G209" s="1145"/>
      <c r="H209" s="304"/>
    </row>
    <row r="210" spans="1:8">
      <c r="A210" s="307" t="s">
        <v>2207</v>
      </c>
      <c r="B210" s="1158"/>
      <c r="C210" s="304"/>
      <c r="D210" s="1146"/>
      <c r="E210" s="1147"/>
      <c r="F210" s="1147"/>
      <c r="G210" s="1044"/>
      <c r="H210" s="304"/>
    </row>
    <row r="211" spans="1:8">
      <c r="A211" s="309" t="s">
        <v>2208</v>
      </c>
      <c r="B211" s="1158"/>
      <c r="C211" s="304"/>
      <c r="D211" s="538"/>
      <c r="E211" s="1044"/>
      <c r="F211" s="1044"/>
      <c r="G211" s="1044"/>
      <c r="H211" s="304"/>
    </row>
    <row r="212" spans="1:8">
      <c r="A212" s="309" t="s">
        <v>2209</v>
      </c>
      <c r="B212" s="1158"/>
      <c r="C212" s="304"/>
      <c r="D212" s="538"/>
      <c r="E212" s="1044"/>
      <c r="F212" s="1044"/>
      <c r="G212" s="1044"/>
      <c r="H212" s="304"/>
    </row>
    <row r="213" spans="1:8">
      <c r="A213" s="307" t="s">
        <v>2210</v>
      </c>
      <c r="B213" s="1158"/>
      <c r="C213" s="304"/>
      <c r="D213" s="538"/>
      <c r="E213" s="1044"/>
      <c r="F213" s="1044"/>
      <c r="G213" s="1044"/>
      <c r="H213" s="304"/>
    </row>
    <row r="214" spans="1:8">
      <c r="A214" s="314" t="s">
        <v>2211</v>
      </c>
      <c r="B214" s="1158"/>
      <c r="C214" s="304"/>
      <c r="D214" s="538"/>
      <c r="E214" s="1044"/>
      <c r="F214" s="1044"/>
      <c r="G214" s="1044"/>
      <c r="H214" s="304"/>
    </row>
    <row r="215" spans="1:8">
      <c r="A215" s="309" t="s">
        <v>2212</v>
      </c>
      <c r="B215" s="1158"/>
      <c r="C215" s="304"/>
      <c r="D215" s="538"/>
      <c r="E215" s="1044"/>
      <c r="F215" s="1044"/>
      <c r="G215" s="1044"/>
      <c r="H215" s="304"/>
    </row>
    <row r="216" spans="1:8">
      <c r="A216" s="307" t="s">
        <v>2213</v>
      </c>
      <c r="B216" s="1158"/>
      <c r="C216" s="304"/>
      <c r="D216" s="538"/>
      <c r="E216" s="1044"/>
      <c r="F216" s="1044"/>
      <c r="G216" s="1044"/>
      <c r="H216" s="304"/>
    </row>
    <row r="217" spans="1:8">
      <c r="A217" s="307" t="s">
        <v>2214</v>
      </c>
      <c r="B217" s="1158"/>
      <c r="C217" s="304"/>
      <c r="D217" s="538"/>
      <c r="E217" s="1044"/>
      <c r="F217" s="1044"/>
      <c r="G217" s="1044"/>
      <c r="H217" s="304"/>
    </row>
    <row r="218" spans="1:8">
      <c r="A218" s="309" t="s">
        <v>2215</v>
      </c>
      <c r="B218" s="1158"/>
      <c r="C218" s="304"/>
      <c r="D218" s="538"/>
      <c r="E218" s="1044"/>
      <c r="F218" s="1044"/>
      <c r="G218" s="1044"/>
      <c r="H218" s="304" t="s">
        <v>2216</v>
      </c>
    </row>
    <row r="219" spans="1:8">
      <c r="A219" s="309" t="s">
        <v>2218</v>
      </c>
      <c r="B219" s="1158"/>
      <c r="C219" s="304"/>
      <c r="D219" s="538"/>
      <c r="E219" s="1044"/>
      <c r="F219" s="1044"/>
      <c r="G219" s="1044"/>
      <c r="H219" s="304"/>
    </row>
    <row r="220" spans="1:8">
      <c r="A220" s="307" t="s">
        <v>2219</v>
      </c>
      <c r="B220" s="1158"/>
      <c r="C220" s="304"/>
      <c r="D220" s="538"/>
      <c r="E220" s="1044"/>
      <c r="F220" s="1044"/>
      <c r="G220" s="1044"/>
      <c r="H220" s="304"/>
    </row>
    <row r="221" spans="1:8">
      <c r="A221" s="307" t="s">
        <v>2220</v>
      </c>
      <c r="B221" s="1158"/>
      <c r="C221" s="304"/>
      <c r="D221" s="538"/>
      <c r="E221" s="1044"/>
      <c r="F221" s="1044"/>
      <c r="G221" s="1044"/>
      <c r="H221" s="304"/>
    </row>
    <row r="222" spans="1:8">
      <c r="A222" s="314" t="s">
        <v>2221</v>
      </c>
      <c r="B222" s="1158"/>
      <c r="C222" s="304"/>
      <c r="D222" s="538"/>
      <c r="E222" s="1044"/>
      <c r="F222" s="1044"/>
      <c r="G222" s="1044"/>
      <c r="H222" s="304"/>
    </row>
    <row r="223" spans="1:8">
      <c r="A223" s="307" t="s">
        <v>2222</v>
      </c>
      <c r="B223" s="1158"/>
      <c r="C223" s="304"/>
      <c r="D223" s="538"/>
      <c r="E223" s="1044"/>
      <c r="F223" s="1044"/>
      <c r="G223" s="1044"/>
      <c r="H223" s="304"/>
    </row>
    <row r="224" spans="1:8">
      <c r="A224" s="309" t="s">
        <v>2223</v>
      </c>
      <c r="B224" s="1158"/>
      <c r="C224" s="304"/>
      <c r="D224" s="538"/>
      <c r="E224" s="1044"/>
      <c r="F224" s="1044"/>
      <c r="G224" s="1044"/>
      <c r="H224" s="304"/>
    </row>
    <row r="225" spans="1:8">
      <c r="A225" s="307" t="s">
        <v>2224</v>
      </c>
      <c r="B225" s="1158"/>
      <c r="C225" s="304"/>
      <c r="D225" s="538"/>
      <c r="E225" s="1044"/>
      <c r="F225" s="1044"/>
      <c r="G225" s="1044"/>
      <c r="H225" s="304"/>
    </row>
    <row r="226" spans="1:8">
      <c r="A226" s="314" t="s">
        <v>2225</v>
      </c>
      <c r="B226" s="1158"/>
      <c r="C226" s="304"/>
      <c r="D226" s="538"/>
      <c r="E226" s="1044"/>
      <c r="F226" s="1044"/>
      <c r="G226" s="1044"/>
      <c r="H226" s="304"/>
    </row>
    <row r="227" spans="1:8">
      <c r="A227" s="314" t="s">
        <v>2226</v>
      </c>
      <c r="B227" s="1158"/>
      <c r="C227" s="304"/>
      <c r="D227" s="538"/>
      <c r="E227" s="1044"/>
      <c r="F227" s="1044"/>
      <c r="G227" s="1044"/>
      <c r="H227" s="304"/>
    </row>
    <row r="228" spans="1:8">
      <c r="A228" s="307" t="s">
        <v>2227</v>
      </c>
      <c r="B228" s="1158"/>
      <c r="C228" s="304"/>
      <c r="D228" s="538"/>
      <c r="E228" s="1044"/>
      <c r="F228" s="1044"/>
      <c r="G228" s="1044"/>
      <c r="H228" s="304"/>
    </row>
    <row r="229" spans="1:8">
      <c r="A229" s="314" t="s">
        <v>2228</v>
      </c>
      <c r="B229" s="1158"/>
      <c r="C229" s="304"/>
      <c r="D229" s="538"/>
      <c r="E229" s="1044"/>
      <c r="F229" s="1044"/>
      <c r="G229" s="1044"/>
      <c r="H229" s="304"/>
    </row>
    <row r="230" spans="1:8">
      <c r="A230" s="314" t="s">
        <v>2229</v>
      </c>
      <c r="B230" s="1158"/>
      <c r="C230" s="304"/>
      <c r="D230" s="538"/>
      <c r="E230" s="1044"/>
      <c r="F230" s="1044"/>
      <c r="G230" s="1044"/>
      <c r="H230" s="304"/>
    </row>
    <row r="231" spans="1:8">
      <c r="A231" s="314" t="s">
        <v>2230</v>
      </c>
      <c r="B231" s="1158"/>
      <c r="C231" s="304"/>
      <c r="D231" s="538"/>
      <c r="E231" s="1044"/>
      <c r="F231" s="1044"/>
      <c r="G231" s="1044"/>
      <c r="H231" s="304"/>
    </row>
    <row r="232" spans="1:8">
      <c r="A232" s="314" t="s">
        <v>2231</v>
      </c>
      <c r="B232" s="1158"/>
      <c r="C232" s="304"/>
      <c r="D232" s="538"/>
      <c r="E232" s="1044"/>
      <c r="F232" s="1044"/>
      <c r="G232" s="1044"/>
      <c r="H232" s="304"/>
    </row>
    <row r="233" spans="1:8">
      <c r="A233" s="314" t="s">
        <v>2232</v>
      </c>
      <c r="B233" s="1158"/>
      <c r="C233" s="304"/>
      <c r="D233" s="538"/>
      <c r="E233" s="1044"/>
      <c r="F233" s="1044"/>
      <c r="G233" s="1044"/>
      <c r="H233" s="304"/>
    </row>
    <row r="234" spans="1:8">
      <c r="A234" s="314" t="s">
        <v>2233</v>
      </c>
      <c r="B234" s="1158"/>
      <c r="C234" s="304"/>
      <c r="D234" s="538"/>
      <c r="E234" s="1044"/>
      <c r="F234" s="1044"/>
      <c r="G234" s="1044"/>
      <c r="H234" s="304"/>
    </row>
    <row r="235" spans="1:8">
      <c r="A235" s="314" t="s">
        <v>2234</v>
      </c>
      <c r="B235" s="1158"/>
      <c r="C235" s="304"/>
      <c r="D235" s="538"/>
      <c r="E235" s="1044"/>
      <c r="F235" s="1044"/>
      <c r="G235" s="1044"/>
      <c r="H235" s="304"/>
    </row>
    <row r="236" spans="1:8">
      <c r="A236" s="314" t="s">
        <v>2235</v>
      </c>
      <c r="B236" s="1158"/>
      <c r="C236" s="304"/>
      <c r="D236" s="538"/>
      <c r="E236" s="1044"/>
      <c r="F236" s="1044"/>
      <c r="G236" s="1044"/>
      <c r="H236" s="304"/>
    </row>
    <row r="237" spans="1:8">
      <c r="A237" s="314" t="s">
        <v>2236</v>
      </c>
      <c r="B237" s="1158"/>
      <c r="C237" s="304"/>
      <c r="D237" s="538"/>
      <c r="E237" s="1044"/>
      <c r="F237" s="1044"/>
      <c r="G237" s="1044"/>
      <c r="H237" s="304"/>
    </row>
    <row r="238" spans="1:8">
      <c r="A238" s="314" t="s">
        <v>2237</v>
      </c>
      <c r="B238" s="1158"/>
      <c r="C238" s="304"/>
      <c r="D238" s="538"/>
      <c r="E238" s="1044"/>
      <c r="F238" s="1044"/>
      <c r="G238" s="1044"/>
      <c r="H238" s="304"/>
    </row>
    <row r="239" spans="1:8">
      <c r="A239" s="314" t="s">
        <v>2238</v>
      </c>
      <c r="B239" s="1158"/>
      <c r="C239" s="304"/>
      <c r="D239" s="538"/>
      <c r="E239" s="1044"/>
      <c r="F239" s="1044"/>
      <c r="G239" s="1044"/>
      <c r="H239" s="304"/>
    </row>
    <row r="240" spans="1:8">
      <c r="A240" s="314" t="s">
        <v>2239</v>
      </c>
      <c r="B240" s="1158"/>
      <c r="C240" s="304"/>
      <c r="D240" s="538"/>
      <c r="E240" s="1044"/>
      <c r="F240" s="1044"/>
      <c r="G240" s="1044"/>
      <c r="H240" s="304"/>
    </row>
    <row r="241" spans="1:8">
      <c r="A241" s="314" t="s">
        <v>2240</v>
      </c>
      <c r="B241" s="1158"/>
      <c r="C241" s="304"/>
      <c r="D241" s="538"/>
      <c r="E241" s="1044"/>
      <c r="F241" s="1044"/>
      <c r="G241" s="1044"/>
      <c r="H241" s="304"/>
    </row>
    <row r="242" spans="1:8">
      <c r="A242" s="314" t="s">
        <v>2241</v>
      </c>
      <c r="B242" s="1158"/>
      <c r="C242" s="304"/>
      <c r="D242" s="538"/>
      <c r="E242" s="1044"/>
      <c r="F242" s="1044"/>
      <c r="G242" s="1044"/>
      <c r="H242" s="304"/>
    </row>
    <row r="243" spans="1:8">
      <c r="A243" s="314" t="s">
        <v>2242</v>
      </c>
      <c r="B243" s="1158"/>
      <c r="C243" s="304"/>
      <c r="D243" s="538"/>
      <c r="E243" s="1044"/>
      <c r="F243" s="1044"/>
      <c r="G243" s="1044"/>
      <c r="H243" s="304"/>
    </row>
    <row r="244" spans="1:8">
      <c r="A244" s="314" t="s">
        <v>2243</v>
      </c>
      <c r="B244" s="1158"/>
      <c r="C244" s="315"/>
      <c r="D244" s="538"/>
      <c r="E244" s="1044"/>
      <c r="F244" s="1044"/>
      <c r="G244" s="1044"/>
      <c r="H244" s="315"/>
    </row>
    <row r="245" spans="1:8">
      <c r="A245" s="307" t="s">
        <v>2244</v>
      </c>
      <c r="B245" s="1158"/>
      <c r="C245" s="315"/>
      <c r="D245" s="538"/>
      <c r="E245" s="1044"/>
      <c r="F245" s="1044"/>
      <c r="G245" s="1044"/>
      <c r="H245" s="315"/>
    </row>
    <row r="246" spans="1:8">
      <c r="A246" s="314" t="s">
        <v>2245</v>
      </c>
      <c r="B246" s="1158"/>
      <c r="C246" s="315"/>
      <c r="D246" s="538"/>
      <c r="E246" s="1044"/>
      <c r="F246" s="1044"/>
      <c r="G246" s="1044"/>
      <c r="H246" s="315"/>
    </row>
    <row r="247" spans="1:8">
      <c r="A247" s="314" t="s">
        <v>2246</v>
      </c>
      <c r="B247" s="1158"/>
      <c r="C247" s="315"/>
      <c r="D247" s="538"/>
      <c r="E247" s="1044"/>
      <c r="F247" s="1044"/>
      <c r="G247" s="1044"/>
      <c r="H247" s="315"/>
    </row>
    <row r="248" spans="1:8">
      <c r="A248" s="314" t="s">
        <v>2247</v>
      </c>
      <c r="B248" s="1158"/>
      <c r="C248" s="315"/>
      <c r="D248" s="538"/>
      <c r="E248" s="1044"/>
      <c r="F248" s="1044"/>
      <c r="G248" s="1044"/>
      <c r="H248" s="315"/>
    </row>
    <row r="249" spans="1:8">
      <c r="A249" s="314" t="s">
        <v>2248</v>
      </c>
      <c r="B249" s="1158"/>
      <c r="C249" s="304"/>
      <c r="D249" s="538"/>
      <c r="E249" s="1044"/>
      <c r="F249" s="1044"/>
      <c r="G249" s="1044"/>
      <c r="H249" s="304"/>
    </row>
    <row r="250" spans="1:8">
      <c r="A250" s="309" t="s">
        <v>2249</v>
      </c>
      <c r="B250" s="1158"/>
      <c r="C250" s="304"/>
      <c r="D250" s="538"/>
      <c r="E250" s="1044"/>
      <c r="F250" s="1044"/>
      <c r="G250" s="1044"/>
      <c r="H250" s="304"/>
    </row>
    <row r="251" spans="1:8">
      <c r="A251" s="309" t="s">
        <v>2250</v>
      </c>
      <c r="B251" s="1158"/>
      <c r="C251" s="304"/>
      <c r="D251" s="538"/>
      <c r="E251" s="1044"/>
      <c r="F251" s="1044"/>
      <c r="G251" s="1044"/>
      <c r="H251" s="304"/>
    </row>
    <row r="252" spans="1:8">
      <c r="A252" s="307" t="s">
        <v>2251</v>
      </c>
      <c r="B252" s="1158"/>
      <c r="C252" s="304"/>
      <c r="D252" s="538"/>
      <c r="E252" s="1044"/>
      <c r="F252" s="1044"/>
      <c r="G252" s="1044"/>
      <c r="H252" s="304"/>
    </row>
    <row r="253" spans="1:8">
      <c r="A253" s="314" t="s">
        <v>2252</v>
      </c>
      <c r="B253" s="1158"/>
      <c r="C253" s="304"/>
      <c r="D253" s="538"/>
      <c r="E253" s="1044"/>
      <c r="F253" s="1044"/>
      <c r="G253" s="1044"/>
      <c r="H253" s="304"/>
    </row>
    <row r="254" spans="1:8">
      <c r="A254" s="314" t="s">
        <v>2253</v>
      </c>
      <c r="B254" s="1158"/>
      <c r="C254" s="304"/>
      <c r="D254" s="1045"/>
      <c r="E254" s="1044"/>
      <c r="F254" s="1044"/>
      <c r="G254" s="1044"/>
      <c r="H254" s="304"/>
    </row>
    <row r="255" spans="1:8">
      <c r="A255" s="314" t="s">
        <v>2254</v>
      </c>
      <c r="B255" s="1158"/>
      <c r="C255" s="304"/>
      <c r="D255" s="1045"/>
      <c r="E255" s="1044"/>
      <c r="F255" s="1044"/>
      <c r="G255" s="1044"/>
      <c r="H255" s="304"/>
    </row>
    <row r="256" spans="1:8">
      <c r="A256" s="307" t="s">
        <v>2255</v>
      </c>
      <c r="B256" s="1158"/>
      <c r="C256" s="304"/>
      <c r="D256" s="1045"/>
      <c r="E256" s="1044"/>
      <c r="F256" s="1044"/>
      <c r="G256" s="1044"/>
      <c r="H256" s="304"/>
    </row>
    <row r="257" spans="1:8">
      <c r="A257" s="309" t="s">
        <v>2256</v>
      </c>
      <c r="B257" s="1158"/>
      <c r="C257" s="304"/>
      <c r="D257" s="1045"/>
      <c r="E257" s="1044"/>
      <c r="F257" s="1044"/>
      <c r="G257" s="1044"/>
      <c r="H257" s="304"/>
    </row>
    <row r="258" spans="1:8">
      <c r="A258" s="307" t="s">
        <v>2257</v>
      </c>
      <c r="B258" s="1158"/>
      <c r="C258" s="304"/>
      <c r="D258" s="1045"/>
      <c r="E258" s="1044"/>
      <c r="F258" s="1044"/>
      <c r="G258" s="1044"/>
      <c r="H258" s="304"/>
    </row>
    <row r="259" spans="1:8">
      <c r="A259" s="307" t="s">
        <v>2258</v>
      </c>
      <c r="B259" s="1158"/>
      <c r="C259" s="304"/>
      <c r="D259" s="1045"/>
      <c r="E259" s="1044"/>
      <c r="F259" s="1044"/>
      <c r="G259" s="1044"/>
      <c r="H259" s="304"/>
    </row>
    <row r="260" spans="1:8">
      <c r="A260" s="307" t="s">
        <v>2259</v>
      </c>
      <c r="B260" s="1158"/>
      <c r="C260" s="304"/>
      <c r="D260" s="1045"/>
      <c r="E260" s="1044"/>
      <c r="F260" s="1044"/>
      <c r="G260" s="1044"/>
      <c r="H260" s="304"/>
    </row>
    <row r="261" spans="1:8">
      <c r="A261" s="307" t="s">
        <v>2260</v>
      </c>
      <c r="B261" s="1158"/>
      <c r="C261" s="304"/>
      <c r="D261" s="538"/>
      <c r="E261" s="1044"/>
      <c r="F261" s="1044"/>
      <c r="G261" s="1044"/>
      <c r="H261" s="304"/>
    </row>
    <row r="262" spans="1:8">
      <c r="A262" s="307" t="s">
        <v>2261</v>
      </c>
      <c r="B262" s="1159"/>
      <c r="C262" s="304"/>
      <c r="D262" s="538"/>
      <c r="E262" s="1044"/>
      <c r="F262" s="1044"/>
      <c r="G262" s="1044"/>
      <c r="H262" s="304"/>
    </row>
    <row r="263" spans="1:8">
      <c r="A263" s="316" t="s">
        <v>2262</v>
      </c>
      <c r="B263" s="1288" t="s">
        <v>2043</v>
      </c>
      <c r="C263" s="1290"/>
      <c r="D263" s="538"/>
      <c r="E263" s="1044"/>
      <c r="F263" s="1044"/>
      <c r="G263" s="1044"/>
      <c r="H263" s="1290" t="s">
        <v>2263</v>
      </c>
    </row>
    <row r="264" spans="1:8">
      <c r="A264" s="317" t="s">
        <v>2264</v>
      </c>
      <c r="B264" s="1289"/>
      <c r="C264" s="1291"/>
      <c r="D264" s="538"/>
      <c r="E264" s="1044"/>
      <c r="F264" s="1044"/>
      <c r="G264" s="1044"/>
      <c r="H264" s="1291"/>
    </row>
    <row r="265" spans="1:8" ht="27">
      <c r="A265" s="318" t="s">
        <v>2265</v>
      </c>
      <c r="B265" s="1269" t="s">
        <v>2043</v>
      </c>
      <c r="C265" s="319"/>
      <c r="D265" s="538"/>
      <c r="E265" s="1044"/>
      <c r="F265" s="1044"/>
      <c r="G265" s="1044"/>
      <c r="H265" s="319" t="s">
        <v>2266</v>
      </c>
    </row>
    <row r="266" spans="1:8" ht="27">
      <c r="A266" s="318" t="s">
        <v>2267</v>
      </c>
      <c r="B266" s="1270"/>
      <c r="C266" s="320"/>
      <c r="D266" s="538"/>
      <c r="E266" s="1044"/>
      <c r="F266" s="1044"/>
      <c r="G266" s="1044"/>
      <c r="H266" s="320" t="s">
        <v>2268</v>
      </c>
    </row>
    <row r="267" spans="1:8" ht="27">
      <c r="A267" s="321" t="s">
        <v>2269</v>
      </c>
      <c r="B267" s="1271" t="s">
        <v>2043</v>
      </c>
      <c r="C267" s="322"/>
      <c r="D267" s="538"/>
      <c r="E267" s="1044"/>
      <c r="F267" s="1044"/>
      <c r="G267" s="1044"/>
      <c r="H267" s="322" t="s">
        <v>2270</v>
      </c>
    </row>
    <row r="268" spans="1:8" ht="40.5">
      <c r="A268" s="325" t="s">
        <v>2271</v>
      </c>
      <c r="B268" s="1271"/>
      <c r="C268" s="322"/>
      <c r="D268" s="538"/>
      <c r="E268" s="1044"/>
      <c r="F268" s="1044"/>
      <c r="G268" s="1044"/>
      <c r="H268" s="322" t="s">
        <v>2272</v>
      </c>
    </row>
    <row r="269" spans="1:8" ht="40.5">
      <c r="A269" s="325" t="s">
        <v>2273</v>
      </c>
      <c r="B269" s="1271"/>
      <c r="C269" s="322"/>
      <c r="D269" s="538"/>
      <c r="E269" s="1044"/>
      <c r="F269" s="1044"/>
      <c r="G269" s="1044"/>
      <c r="H269" s="322" t="s">
        <v>2274</v>
      </c>
    </row>
    <row r="270" spans="1:8">
      <c r="A270" s="325" t="s">
        <v>2275</v>
      </c>
      <c r="B270" s="1271"/>
      <c r="C270" s="322"/>
      <c r="D270" s="538"/>
      <c r="E270" s="1044"/>
      <c r="F270" s="1044"/>
      <c r="G270" s="1044"/>
      <c r="H270" s="322" t="s">
        <v>2276</v>
      </c>
    </row>
    <row r="271" spans="1:8">
      <c r="A271" s="325" t="s">
        <v>2277</v>
      </c>
      <c r="B271" s="1271"/>
      <c r="C271" s="322"/>
      <c r="D271" s="538"/>
      <c r="E271" s="1044"/>
      <c r="F271" s="1044"/>
      <c r="G271" s="1044"/>
      <c r="H271" s="322" t="s">
        <v>2278</v>
      </c>
    </row>
    <row r="272" spans="1:8" ht="27">
      <c r="A272" s="325" t="s">
        <v>2279</v>
      </c>
      <c r="B272" s="1271"/>
      <c r="C272" s="322"/>
      <c r="D272" s="538"/>
      <c r="E272" s="1044"/>
      <c r="F272" s="1044"/>
      <c r="G272" s="1044"/>
      <c r="H272" s="322" t="s">
        <v>2280</v>
      </c>
    </row>
    <row r="273" spans="1:8" ht="27">
      <c r="A273" s="326" t="s">
        <v>2281</v>
      </c>
      <c r="B273" s="1272"/>
      <c r="C273" s="327"/>
      <c r="D273" s="538"/>
      <c r="E273" s="1044"/>
      <c r="F273" s="1044"/>
      <c r="G273" s="1044"/>
      <c r="H273" s="327" t="s">
        <v>2282</v>
      </c>
    </row>
    <row r="274" spans="1:8">
      <c r="A274" s="328" t="s">
        <v>2283</v>
      </c>
      <c r="B274" s="1273" t="s">
        <v>2043</v>
      </c>
      <c r="C274" s="329"/>
      <c r="D274" s="538"/>
      <c r="E274" s="1044"/>
      <c r="F274" s="1044"/>
      <c r="G274" s="1044"/>
      <c r="H274" s="329" t="s">
        <v>2284</v>
      </c>
    </row>
    <row r="275" spans="1:8">
      <c r="A275" s="330" t="s">
        <v>2285</v>
      </c>
      <c r="B275" s="1274"/>
      <c r="C275" s="331"/>
      <c r="D275" s="538"/>
      <c r="E275" s="1044"/>
      <c r="F275" s="1044"/>
      <c r="G275" s="1044"/>
      <c r="H275" s="331" t="s">
        <v>2286</v>
      </c>
    </row>
    <row r="276" spans="1:8">
      <c r="A276" s="318" t="s">
        <v>2287</v>
      </c>
      <c r="B276" s="1274"/>
      <c r="C276" s="331"/>
      <c r="D276" s="538"/>
      <c r="E276" s="1044"/>
      <c r="F276" s="1044"/>
      <c r="G276" s="1044"/>
      <c r="H276" s="331" t="s">
        <v>2288</v>
      </c>
    </row>
    <row r="277" spans="1:8">
      <c r="A277" s="318" t="s">
        <v>2289</v>
      </c>
      <c r="B277" s="1274"/>
      <c r="C277" s="331"/>
      <c r="D277" s="538"/>
      <c r="E277" s="1044"/>
      <c r="F277" s="1044"/>
      <c r="G277" s="1044"/>
      <c r="H277" s="331" t="s">
        <v>2290</v>
      </c>
    </row>
    <row r="278" spans="1:8">
      <c r="A278" s="318" t="s">
        <v>2291</v>
      </c>
      <c r="B278" s="1274"/>
      <c r="C278" s="331"/>
      <c r="D278" s="538"/>
      <c r="E278" s="1044"/>
      <c r="F278" s="1044"/>
      <c r="G278" s="1044"/>
      <c r="H278" s="331" t="s">
        <v>2292</v>
      </c>
    </row>
    <row r="279" spans="1:8">
      <c r="A279" s="318" t="s">
        <v>2293</v>
      </c>
      <c r="B279" s="1274"/>
      <c r="C279" s="331"/>
      <c r="D279" s="538"/>
      <c r="E279" s="1044"/>
      <c r="F279" s="1044"/>
      <c r="G279" s="1044"/>
      <c r="H279" s="331" t="s">
        <v>2294</v>
      </c>
    </row>
    <row r="280" spans="1:8">
      <c r="A280" s="318" t="s">
        <v>2295</v>
      </c>
      <c r="B280" s="1274"/>
      <c r="C280" s="332"/>
      <c r="D280" s="538"/>
      <c r="E280" s="1044"/>
      <c r="F280" s="1044"/>
      <c r="G280" s="1044"/>
      <c r="H280" s="332"/>
    </row>
    <row r="281" spans="1:8">
      <c r="A281" s="318" t="s">
        <v>2296</v>
      </c>
      <c r="B281" s="1274"/>
      <c r="C281" s="333"/>
      <c r="D281" s="538"/>
      <c r="E281" s="1044"/>
      <c r="F281" s="1044"/>
      <c r="G281" s="1044"/>
      <c r="H281" s="333"/>
    </row>
    <row r="282" spans="1:8">
      <c r="A282" s="330" t="s">
        <v>2297</v>
      </c>
      <c r="B282" s="1274"/>
      <c r="C282" s="333"/>
      <c r="D282" s="538"/>
      <c r="E282" s="1044"/>
      <c r="F282" s="1044"/>
      <c r="G282" s="1044"/>
      <c r="H282" s="333"/>
    </row>
    <row r="283" spans="1:8">
      <c r="A283" s="334" t="s">
        <v>2298</v>
      </c>
      <c r="B283" s="1274"/>
      <c r="C283" s="333"/>
      <c r="D283" s="538"/>
      <c r="E283" s="1044"/>
      <c r="F283" s="1044"/>
      <c r="G283" s="1044"/>
      <c r="H283" s="333"/>
    </row>
    <row r="284" spans="1:8">
      <c r="A284" s="335" t="s">
        <v>2299</v>
      </c>
      <c r="B284" s="1275"/>
      <c r="C284" s="333"/>
      <c r="D284" s="538"/>
      <c r="E284" s="1044"/>
      <c r="F284" s="1044"/>
      <c r="G284" s="1044"/>
      <c r="H284" s="333"/>
    </row>
    <row r="285" spans="1:8">
      <c r="A285" s="328" t="s">
        <v>2300</v>
      </c>
      <c r="B285" s="1269" t="s">
        <v>2301</v>
      </c>
      <c r="C285" s="319"/>
      <c r="H285" s="319" t="s">
        <v>2302</v>
      </c>
    </row>
    <row r="286" spans="1:8">
      <c r="A286" s="336" t="s">
        <v>2303</v>
      </c>
      <c r="B286" s="1270"/>
      <c r="C286" s="337"/>
      <c r="H286" s="337" t="s">
        <v>2304</v>
      </c>
    </row>
  </sheetData>
  <mergeCells count="409">
    <mergeCell ref="B274:B284"/>
    <mergeCell ref="B285:B286"/>
    <mergeCell ref="B126:B127"/>
    <mergeCell ref="H263:H264"/>
    <mergeCell ref="C126:C127"/>
    <mergeCell ref="B128:B129"/>
    <mergeCell ref="C128:C129"/>
    <mergeCell ref="D126:D127"/>
    <mergeCell ref="D128:D129"/>
    <mergeCell ref="E128:E129"/>
    <mergeCell ref="E126:E127"/>
    <mergeCell ref="F126:F127"/>
    <mergeCell ref="G126:G127"/>
    <mergeCell ref="H126:H127"/>
    <mergeCell ref="H128:H129"/>
    <mergeCell ref="B130:B131"/>
    <mergeCell ref="C130:C131"/>
    <mergeCell ref="D130:D131"/>
    <mergeCell ref="E130:E131"/>
    <mergeCell ref="D134:D135"/>
    <mergeCell ref="E134:E135"/>
    <mergeCell ref="F134:F135"/>
    <mergeCell ref="G134:G135"/>
    <mergeCell ref="A125:H125"/>
    <mergeCell ref="B263:B264"/>
    <mergeCell ref="C263:C264"/>
    <mergeCell ref="B265:B266"/>
    <mergeCell ref="B267:B273"/>
    <mergeCell ref="C123:C124"/>
    <mergeCell ref="D123:D124"/>
    <mergeCell ref="E123:E124"/>
    <mergeCell ref="F123:F124"/>
    <mergeCell ref="G123:G124"/>
    <mergeCell ref="H123:H124"/>
    <mergeCell ref="F128:F129"/>
    <mergeCell ref="G128:G129"/>
    <mergeCell ref="F130:F131"/>
    <mergeCell ref="B132:B133"/>
    <mergeCell ref="C132:C133"/>
    <mergeCell ref="D132:D133"/>
    <mergeCell ref="E132:E133"/>
    <mergeCell ref="F132:F133"/>
    <mergeCell ref="G132:G133"/>
    <mergeCell ref="G130:G131"/>
    <mergeCell ref="B134:B135"/>
    <mergeCell ref="C134:C135"/>
    <mergeCell ref="D119:D120"/>
    <mergeCell ref="C119:C120"/>
    <mergeCell ref="F119:F120"/>
    <mergeCell ref="E119:E120"/>
    <mergeCell ref="G119:G120"/>
    <mergeCell ref="H119:H120"/>
    <mergeCell ref="C121:C122"/>
    <mergeCell ref="D121:D122"/>
    <mergeCell ref="E121:E122"/>
    <mergeCell ref="F121:F122"/>
    <mergeCell ref="G121:G122"/>
    <mergeCell ref="H121:H122"/>
    <mergeCell ref="C91:C92"/>
    <mergeCell ref="D91:D92"/>
    <mergeCell ref="E91:E92"/>
    <mergeCell ref="F91:F92"/>
    <mergeCell ref="G91:G92"/>
    <mergeCell ref="H91:H92"/>
    <mergeCell ref="H93:H94"/>
    <mergeCell ref="G93:G94"/>
    <mergeCell ref="F93:F94"/>
    <mergeCell ref="E93:E94"/>
    <mergeCell ref="C93:C94"/>
    <mergeCell ref="D93:D94"/>
    <mergeCell ref="C87:C88"/>
    <mergeCell ref="D87:D88"/>
    <mergeCell ref="E87:E88"/>
    <mergeCell ref="F87:F88"/>
    <mergeCell ref="G87:G88"/>
    <mergeCell ref="H87:H88"/>
    <mergeCell ref="C89:C90"/>
    <mergeCell ref="D89:D90"/>
    <mergeCell ref="E89:E90"/>
    <mergeCell ref="F89:F90"/>
    <mergeCell ref="G89:G90"/>
    <mergeCell ref="H89:H90"/>
    <mergeCell ref="C81:C82"/>
    <mergeCell ref="D81:D82"/>
    <mergeCell ref="E81:E82"/>
    <mergeCell ref="F81:F82"/>
    <mergeCell ref="G81:G82"/>
    <mergeCell ref="H81:H82"/>
    <mergeCell ref="C77:C78"/>
    <mergeCell ref="D77:D78"/>
    <mergeCell ref="E77:E78"/>
    <mergeCell ref="F77:F78"/>
    <mergeCell ref="G77:G78"/>
    <mergeCell ref="H77:H78"/>
    <mergeCell ref="E79:E80"/>
    <mergeCell ref="F79:F80"/>
    <mergeCell ref="G79:G80"/>
    <mergeCell ref="H79:H80"/>
    <mergeCell ref="C79:C80"/>
    <mergeCell ref="D79:D80"/>
    <mergeCell ref="C73:C74"/>
    <mergeCell ref="D73:D74"/>
    <mergeCell ref="E73:E74"/>
    <mergeCell ref="F73:F74"/>
    <mergeCell ref="G73:G74"/>
    <mergeCell ref="H73:H74"/>
    <mergeCell ref="C75:C76"/>
    <mergeCell ref="D75:D76"/>
    <mergeCell ref="E75:E76"/>
    <mergeCell ref="F75:F76"/>
    <mergeCell ref="G75:G76"/>
    <mergeCell ref="H75:H76"/>
    <mergeCell ref="C69:C70"/>
    <mergeCell ref="D69:D70"/>
    <mergeCell ref="E69:E70"/>
    <mergeCell ref="F69:F70"/>
    <mergeCell ref="G69:G70"/>
    <mergeCell ref="H69:H70"/>
    <mergeCell ref="C71:C72"/>
    <mergeCell ref="D71:D72"/>
    <mergeCell ref="E71:E72"/>
    <mergeCell ref="F71:F72"/>
    <mergeCell ref="G71:G72"/>
    <mergeCell ref="H71:H72"/>
    <mergeCell ref="C65:C66"/>
    <mergeCell ref="D65:D66"/>
    <mergeCell ref="E65:E66"/>
    <mergeCell ref="F65:F66"/>
    <mergeCell ref="G65:G66"/>
    <mergeCell ref="H65:H66"/>
    <mergeCell ref="C67:C68"/>
    <mergeCell ref="D67:D68"/>
    <mergeCell ref="E67:E68"/>
    <mergeCell ref="F67:F68"/>
    <mergeCell ref="G67:G68"/>
    <mergeCell ref="H67:H68"/>
    <mergeCell ref="D61:D62"/>
    <mergeCell ref="E61:E62"/>
    <mergeCell ref="F61:F62"/>
    <mergeCell ref="G61:G62"/>
    <mergeCell ref="H61:H62"/>
    <mergeCell ref="C63:C64"/>
    <mergeCell ref="D63:D64"/>
    <mergeCell ref="E63:E64"/>
    <mergeCell ref="F63:F64"/>
    <mergeCell ref="G63:G64"/>
    <mergeCell ref="H63:H64"/>
    <mergeCell ref="C57:C58"/>
    <mergeCell ref="D57:D58"/>
    <mergeCell ref="E57:E58"/>
    <mergeCell ref="F57:F58"/>
    <mergeCell ref="G57:G58"/>
    <mergeCell ref="H57:H58"/>
    <mergeCell ref="C59:C60"/>
    <mergeCell ref="D59:D60"/>
    <mergeCell ref="E59:E60"/>
    <mergeCell ref="F59:F60"/>
    <mergeCell ref="G59:G60"/>
    <mergeCell ref="H59:H60"/>
    <mergeCell ref="C53:C54"/>
    <mergeCell ref="D53:D54"/>
    <mergeCell ref="E53:E54"/>
    <mergeCell ref="F53:F54"/>
    <mergeCell ref="G53:G54"/>
    <mergeCell ref="H53:H54"/>
    <mergeCell ref="C55:C56"/>
    <mergeCell ref="D55:D56"/>
    <mergeCell ref="E55:E56"/>
    <mergeCell ref="F55:F56"/>
    <mergeCell ref="G55:G56"/>
    <mergeCell ref="H55:H56"/>
    <mergeCell ref="H47:H48"/>
    <mergeCell ref="C49:C50"/>
    <mergeCell ref="D49:D50"/>
    <mergeCell ref="E49:E50"/>
    <mergeCell ref="F49:F50"/>
    <mergeCell ref="G49:G50"/>
    <mergeCell ref="H49:H50"/>
    <mergeCell ref="C51:C52"/>
    <mergeCell ref="D51:D52"/>
    <mergeCell ref="E51:E52"/>
    <mergeCell ref="F51:F52"/>
    <mergeCell ref="G51:G52"/>
    <mergeCell ref="H51:H52"/>
    <mergeCell ref="C47:C48"/>
    <mergeCell ref="D47:D48"/>
    <mergeCell ref="E47:E48"/>
    <mergeCell ref="F47:F48"/>
    <mergeCell ref="G47:G48"/>
    <mergeCell ref="H31:H32"/>
    <mergeCell ref="H33:H34"/>
    <mergeCell ref="C35:C36"/>
    <mergeCell ref="D35:D36"/>
    <mergeCell ref="E35:E36"/>
    <mergeCell ref="F35:F36"/>
    <mergeCell ref="G35:G36"/>
    <mergeCell ref="H35:H36"/>
    <mergeCell ref="C31:C32"/>
    <mergeCell ref="D31:D32"/>
    <mergeCell ref="E31:E32"/>
    <mergeCell ref="F31:F32"/>
    <mergeCell ref="G31:G32"/>
    <mergeCell ref="C33:C34"/>
    <mergeCell ref="D33:D34"/>
    <mergeCell ref="E33:E34"/>
    <mergeCell ref="F33:F34"/>
    <mergeCell ref="G33:G34"/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D7:D8"/>
    <mergeCell ref="E7:E8"/>
    <mergeCell ref="F7:F8"/>
    <mergeCell ref="G7:G8"/>
    <mergeCell ref="H7:H8"/>
    <mergeCell ref="A1:A2"/>
    <mergeCell ref="B1:B2"/>
    <mergeCell ref="C1:C2"/>
    <mergeCell ref="D1:D2"/>
    <mergeCell ref="E1:G1"/>
    <mergeCell ref="H1:H2"/>
    <mergeCell ref="C37:C38"/>
    <mergeCell ref="D37:D38"/>
    <mergeCell ref="E37:E38"/>
    <mergeCell ref="F37:F38"/>
    <mergeCell ref="G37:G38"/>
    <mergeCell ref="H37:H3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H43:H44"/>
    <mergeCell ref="C45:C46"/>
    <mergeCell ref="D45:D46"/>
    <mergeCell ref="E45:E46"/>
    <mergeCell ref="F45:F46"/>
    <mergeCell ref="G45:G46"/>
    <mergeCell ref="H45:H46"/>
    <mergeCell ref="C39:C40"/>
    <mergeCell ref="D39:D40"/>
    <mergeCell ref="E39:E40"/>
    <mergeCell ref="F39:F40"/>
    <mergeCell ref="G39:G40"/>
    <mergeCell ref="H39:H40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F43:F44"/>
    <mergeCell ref="G43:G44"/>
    <mergeCell ref="C83:C84"/>
    <mergeCell ref="D83:D84"/>
    <mergeCell ref="E83:E84"/>
    <mergeCell ref="F83:F84"/>
    <mergeCell ref="G83:G84"/>
    <mergeCell ref="H83:H84"/>
    <mergeCell ref="C85:C86"/>
    <mergeCell ref="D85:D86"/>
    <mergeCell ref="E85:E86"/>
    <mergeCell ref="F85:F86"/>
    <mergeCell ref="G85:G86"/>
    <mergeCell ref="H85:H86"/>
    <mergeCell ref="C95:C96"/>
    <mergeCell ref="D95:D96"/>
    <mergeCell ref="E95:E96"/>
    <mergeCell ref="F95:F96"/>
    <mergeCell ref="G95:G96"/>
    <mergeCell ref="H95:H96"/>
    <mergeCell ref="E97:E98"/>
    <mergeCell ref="F97:F98"/>
    <mergeCell ref="G97:G98"/>
    <mergeCell ref="H97:H98"/>
    <mergeCell ref="C97:C98"/>
    <mergeCell ref="D97:D98"/>
    <mergeCell ref="C99:C100"/>
    <mergeCell ref="D99:D100"/>
    <mergeCell ref="E99:E100"/>
    <mergeCell ref="F99:F100"/>
    <mergeCell ref="G99:G100"/>
    <mergeCell ref="H99:H100"/>
    <mergeCell ref="C101:C102"/>
    <mergeCell ref="D101:D102"/>
    <mergeCell ref="E101:E102"/>
    <mergeCell ref="F101:F102"/>
    <mergeCell ref="G101:G102"/>
    <mergeCell ref="H101:H102"/>
    <mergeCell ref="C103:C104"/>
    <mergeCell ref="D103:D104"/>
    <mergeCell ref="E103:E104"/>
    <mergeCell ref="F103:F104"/>
    <mergeCell ref="G103:G104"/>
    <mergeCell ref="H103:H104"/>
    <mergeCell ref="C105:C106"/>
    <mergeCell ref="D105:D106"/>
    <mergeCell ref="E105:E106"/>
    <mergeCell ref="F105:F106"/>
    <mergeCell ref="G105:G106"/>
    <mergeCell ref="H105:H106"/>
    <mergeCell ref="C107:C108"/>
    <mergeCell ref="D107:D108"/>
    <mergeCell ref="E107:E108"/>
    <mergeCell ref="F107:F108"/>
    <mergeCell ref="G107:G108"/>
    <mergeCell ref="H107:H108"/>
    <mergeCell ref="C109:C110"/>
    <mergeCell ref="D109:D110"/>
    <mergeCell ref="E109:E110"/>
    <mergeCell ref="F109:F110"/>
    <mergeCell ref="G109:G110"/>
    <mergeCell ref="H109:H110"/>
    <mergeCell ref="C111:C112"/>
    <mergeCell ref="D111:D112"/>
    <mergeCell ref="E111:E112"/>
    <mergeCell ref="F111:F112"/>
    <mergeCell ref="G111:G112"/>
    <mergeCell ref="H111:H112"/>
    <mergeCell ref="C113:C114"/>
    <mergeCell ref="D113:D114"/>
    <mergeCell ref="E113:E114"/>
    <mergeCell ref="F113:F114"/>
    <mergeCell ref="G113:G114"/>
    <mergeCell ref="H113:H114"/>
    <mergeCell ref="C115:C116"/>
    <mergeCell ref="D115:D116"/>
    <mergeCell ref="E115:E116"/>
    <mergeCell ref="F115:F116"/>
    <mergeCell ref="G115:G116"/>
    <mergeCell ref="H115:H116"/>
    <mergeCell ref="C117:C118"/>
    <mergeCell ref="D117:D118"/>
    <mergeCell ref="E117:E118"/>
    <mergeCell ref="F117:F118"/>
    <mergeCell ref="G117:G118"/>
    <mergeCell ref="H117:H118"/>
  </mergeCells>
  <hyperlinks>
    <hyperlink ref="D3" r:id="rId1" xr:uid="{1FAEA2CC-FA62-48D2-9372-8B8A08C189FB}"/>
    <hyperlink ref="D5" r:id="rId2" xr:uid="{C5687F83-1DD5-4FDA-A0E0-B84CDCDC99A0}"/>
    <hyperlink ref="D9" r:id="rId3" xr:uid="{9A8F3FC9-0B0F-49C3-A691-026F4A1F3F9F}"/>
    <hyperlink ref="D11" r:id="rId4" xr:uid="{B123E3B4-5527-40AA-BBCD-F4AC50DD473C}"/>
    <hyperlink ref="D13" r:id="rId5" xr:uid="{DEF7EADB-18CC-40A1-A992-683AA4ACBB22}"/>
    <hyperlink ref="D17" r:id="rId6" xr:uid="{D8D6E333-0FB1-435A-B745-8F575D0D8429}"/>
    <hyperlink ref="D19" r:id="rId7" xr:uid="{22BB08D1-F3D6-4E17-8C22-10FACBE91B5D}"/>
    <hyperlink ref="D21" r:id="rId8" xr:uid="{8172685F-5299-4C13-8701-40175E6F608D}"/>
    <hyperlink ref="D23" r:id="rId9" location="/agencia/inicio" xr:uid="{18DFDB82-4974-46C2-B779-DA70643074A8}"/>
    <hyperlink ref="D25" r:id="rId10" xr:uid="{6FF09713-52ED-48E0-B4EB-BA580C3F6CEE}"/>
    <hyperlink ref="D27" r:id="rId11" xr:uid="{F3CE5D95-4275-4986-8EE7-2E7049E1130E}"/>
    <hyperlink ref="D29" r:id="rId12" xr:uid="{D4B15A60-5935-487B-9E0B-E1ECFEE8E7AA}"/>
    <hyperlink ref="D31" r:id="rId13" xr:uid="{4632EBB7-E536-46A1-AF87-8201653D2AB0}"/>
    <hyperlink ref="D35" r:id="rId14" xr:uid="{99B004AB-B6C2-464D-B6D6-49EB346D0CA0}"/>
    <hyperlink ref="D39" r:id="rId15" xr:uid="{8A47D801-4AE6-4CA4-8F0A-7A4978CCF748}"/>
    <hyperlink ref="D41" r:id="rId16" xr:uid="{F9265E8A-939B-48C3-BA8C-DAE31550DCC3}"/>
    <hyperlink ref="D43" r:id="rId17" xr:uid="{31BACF8D-B11D-4F75-8C90-31D3542AA1C8}"/>
    <hyperlink ref="D45" r:id="rId18" xr:uid="{6A5AF529-4860-428D-BC13-53E7AFF92A80}"/>
    <hyperlink ref="D47" r:id="rId19" location="/agencia/inicio" xr:uid="{AA6F29A2-D543-4E48-B0FA-0085CC7DED46}"/>
    <hyperlink ref="D49" r:id="rId20" xr:uid="{B17F64B5-8679-44DB-8ED6-CEC15FBF460D}"/>
    <hyperlink ref="D51" r:id="rId21" xr:uid="{BC51C312-2E92-48CA-BDE0-6BB68B2C875D}"/>
    <hyperlink ref="D53" r:id="rId22" xr:uid="{34907B89-35A4-4A91-A2DE-01F259F568AF}"/>
    <hyperlink ref="D55" r:id="rId23" xr:uid="{CAE2D35F-5741-4F75-BA3C-9E365724CE47}"/>
    <hyperlink ref="D57" r:id="rId24" xr:uid="{EB272723-46FF-48C8-8431-9ED14A1698EA}"/>
    <hyperlink ref="D59" r:id="rId25" xr:uid="{67D42D08-A718-4C08-920A-5993893663DC}"/>
    <hyperlink ref="D63" r:id="rId26" xr:uid="{EC80D576-9A54-4DFB-B3EC-22A135A05810}"/>
    <hyperlink ref="D65" r:id="rId27" xr:uid="{98F387BB-9BD1-4EE1-81CE-D5800316B047}"/>
    <hyperlink ref="D67" r:id="rId28" xr:uid="{746B21F1-43D3-4294-B0DD-0E75479D0BAD}"/>
    <hyperlink ref="D69" r:id="rId29" xr:uid="{C322718E-5048-4490-A617-C4A18E8242CB}"/>
    <hyperlink ref="D71" r:id="rId30" xr:uid="{D067DAC4-7FDF-4AEE-B106-B558B6413ED8}"/>
    <hyperlink ref="D73" r:id="rId31" xr:uid="{5E506743-A3C1-41B1-8728-FD7033DC2261}"/>
    <hyperlink ref="D75" r:id="rId32" xr:uid="{E4DB45F2-D3FE-4E51-B036-1B0D944411E6}"/>
    <hyperlink ref="D77" r:id="rId33" xr:uid="{BD8FCCD3-2923-487A-BB02-6560BC585E36}"/>
    <hyperlink ref="D79" r:id="rId34" xr:uid="{C2B1CDFF-CBC1-4F64-9AA9-E89C3E612957}"/>
    <hyperlink ref="D81" r:id="rId35" xr:uid="{055932E8-38CD-47ED-8F06-58BAE0B069A5}"/>
    <hyperlink ref="D83" r:id="rId36" xr:uid="{DCBCB65F-216A-46C0-A57E-011A97B54243}"/>
    <hyperlink ref="D87" r:id="rId37" xr:uid="{EF57CD68-3138-4B48-870B-DA8096DE3E57}"/>
    <hyperlink ref="D89" r:id="rId38" xr:uid="{EF1AE347-73D7-4CCB-A043-D54B632DB750}"/>
    <hyperlink ref="D91" r:id="rId39" xr:uid="{AD77E9ED-E9AD-4F5B-A806-219FE7DEF7F7}"/>
    <hyperlink ref="D93" r:id="rId40" xr:uid="{38FE1788-53A5-4118-8619-D9A3871B0F96}"/>
    <hyperlink ref="D95" r:id="rId41" xr:uid="{ED978DF5-CA76-4967-9B20-177CC89C6A32}"/>
    <hyperlink ref="D97" r:id="rId42" xr:uid="{1FFBAB4A-0329-4F4F-9738-06DEDDE125E2}"/>
    <hyperlink ref="D99" r:id="rId43" xr:uid="{4887D3A1-BB16-41CA-8960-B7F02C6F0F49}"/>
    <hyperlink ref="D101" r:id="rId44" xr:uid="{0CD90812-EB1D-47A6-8CD9-E01206EC0C23}"/>
    <hyperlink ref="D103" r:id="rId45" location="/login" xr:uid="{3E69F005-909F-484F-A5CE-0735D2F82E43}"/>
    <hyperlink ref="D105" r:id="rId46" xr:uid="{62C9B3AA-A2D2-45F7-B256-2720CA1469D8}"/>
    <hyperlink ref="D107" r:id="rId47" xr:uid="{60219D10-988D-42A3-8393-EEC160F6E0B8}"/>
    <hyperlink ref="D109" r:id="rId48" xr:uid="{9FEC9237-B943-4371-BE80-7CC38D317567}"/>
    <hyperlink ref="D113" r:id="rId49" xr:uid="{33732605-5F6A-47D2-A767-7C4AA2D7DA3A}"/>
    <hyperlink ref="D115" r:id="rId50" xr:uid="{8E8932EB-64A8-4EC8-85DA-16BAABA6F492}"/>
    <hyperlink ref="D117" r:id="rId51" xr:uid="{31DBE11C-9967-4241-AF5E-A61A1B7D8819}"/>
    <hyperlink ref="D119" r:id="rId52" xr:uid="{019632F6-3274-44D0-8870-55670030333F}"/>
    <hyperlink ref="D121" r:id="rId53" xr:uid="{E929D3BA-3353-4C5C-9B30-BC836E03BAEC}"/>
    <hyperlink ref="D123" r:id="rId54" xr:uid="{5289B8AA-A181-426C-B9A7-9E78EAF39172}"/>
    <hyperlink ref="D85:D86" r:id="rId55" display="http://45.237.129.60:8822/" xr:uid="{4C0D8CB8-8901-4084-A585-6450C66CE54A}"/>
    <hyperlink ref="D7:D8" r:id="rId56" display="https://cliente.aguasdevaladares.com.br/entrar" xr:uid="{5BF19CF7-5B33-4B0B-9B21-8069F3399129}"/>
    <hyperlink ref="D15:D16" r:id="rId57" display="https://cliente.aguasdevaladares.com.br/entrar" xr:uid="{DBAED35F-65F0-4DCB-8E6A-86A39FD9DFEB}"/>
    <hyperlink ref="D33:D34" r:id="rId58" display="https://cliente.aguasdevaladares.com.br/entrar" xr:uid="{08F539C2-8B0A-4831-8678-1D5D5FB3B353}"/>
    <hyperlink ref="D61:D62" r:id="rId59" display="https://cliente.aguasdevaladares.com.br/entrar" xr:uid="{5304D900-E99D-4403-B2DB-4E5420B637B0}"/>
    <hyperlink ref="D37:D38" r:id="rId60" display="https://cesama.strategos.com.br:8443/AgenciaVirtualNovo/" xr:uid="{E0FCE2D1-4BD2-433C-B019-3956319BE28E}"/>
    <hyperlink ref="D97:D98" r:id="rId61" display="https://saaepassos.com.br/" xr:uid="{8060050E-F5C0-480D-885F-17C6C976575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5" ma:contentTypeDescription="Crie um novo documento." ma:contentTypeScope="" ma:versionID="6a022168024afc72da6ea3dc509b0a8f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a9a89a50b7dc5582b87a24cd504aca59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c0ab05-98b2-4e5f-9a8f-4a3def60ca84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NX7P7PXDSEBRWT5YKVCIMFJGVR7T55XA:ms-officescript%3A%2F%2Fonedrive_business_sharinglink%2Fu!aHR0cHM6Ly9jZWNhZDM2NS1teS5zaGFyZXBvaW50LmNvbS86dTovZy9wZXJzb25hbC94MjQzOTA4ODJfY2FfbWdfZ292X2JyL0VlT1JBeHRQdUZWRWhoVW1ySDgtOXVBQjRuYUE2TEJUcVowcHhpczJrc0JiMUE"/>
</scriptIds>
</file>

<file path=customXml/itemProps1.xml><?xml version="1.0" encoding="utf-8"?>
<ds:datastoreItem xmlns:ds="http://schemas.openxmlformats.org/officeDocument/2006/customXml" ds:itemID="{B0F04F8F-86A2-4BB7-8D58-59FAF3F78BF2}"/>
</file>

<file path=customXml/itemProps2.xml><?xml version="1.0" encoding="utf-8"?>
<ds:datastoreItem xmlns:ds="http://schemas.openxmlformats.org/officeDocument/2006/customXml" ds:itemID="{DB5C949D-5506-48AE-AC86-35174D86FBD0}"/>
</file>

<file path=customXml/itemProps3.xml><?xml version="1.0" encoding="utf-8"?>
<ds:datastoreItem xmlns:ds="http://schemas.openxmlformats.org/officeDocument/2006/customXml" ds:itemID="{01B25365-CDDE-4E7D-909D-6A020C32BC9B}"/>
</file>

<file path=customXml/itemProps4.xml><?xml version="1.0" encoding="utf-8"?>
<ds:datastoreItem xmlns:ds="http://schemas.openxmlformats.org/officeDocument/2006/customXml" ds:itemID="{D47FE39B-32E0-4D61-9633-E06C4E53B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Cristina Reno (SEJUSP)</cp:lastModifiedBy>
  <cp:revision/>
  <dcterms:created xsi:type="dcterms:W3CDTF">2025-08-05T14:16:09Z</dcterms:created>
  <dcterms:modified xsi:type="dcterms:W3CDTF">2026-04-06T14:20:18Z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9864000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